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ctrlProps/ctrlProp9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trlProps/ctrlProp10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trlProps/ctrlProp11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trlProps/ctrlProp12.xml" ContentType="application/vnd.ms-excel.controlproperti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trlProps/ctrlProp13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trlProps/ctrlProp14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+xml"/>
  <Override PartName="/xl/ctrlProps/ctrlProp15.xml" ContentType="application/vnd.ms-excel.controlproperti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6.xml" ContentType="application/vnd.openxmlformats-officedocument.drawing+xml"/>
  <Override PartName="/xl/ctrlProps/ctrlProp16.xml" ContentType="application/vnd.ms-excel.controlproperti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7.xml" ContentType="application/vnd.openxmlformats-officedocument.drawing+xml"/>
  <Override PartName="/xl/ctrlProps/ctrlProp17.xml" ContentType="application/vnd.ms-excel.controlproperti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8.xml" ContentType="application/vnd.openxmlformats-officedocument.drawing+xml"/>
  <Override PartName="/xl/ctrlProps/ctrlProp18.xml" ContentType="application/vnd.ms-excel.controlproperti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9.xml" ContentType="application/vnd.openxmlformats-officedocument.drawing+xml"/>
  <Override PartName="/xl/ctrlProps/ctrlProp19.xml" ContentType="application/vnd.ms-excel.controlproperti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0.xml" ContentType="application/vnd.openxmlformats-officedocument.drawing+xml"/>
  <Override PartName="/xl/ctrlProps/ctrlProp20.xml" ContentType="application/vnd.ms-excel.controlproperti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1.xml" ContentType="application/vnd.openxmlformats-officedocument.drawing+xml"/>
  <Override PartName="/xl/ctrlProps/ctrlProp21.xml" ContentType="application/vnd.ms-excel.controlproperti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2.xml" ContentType="application/vnd.openxmlformats-officedocument.drawing+xml"/>
  <Override PartName="/xl/ctrlProps/ctrlProp22.xml" ContentType="application/vnd.ms-excel.controlproperti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3.xml" ContentType="application/vnd.openxmlformats-officedocument.drawing+xml"/>
  <Override PartName="/xl/ctrlProps/ctrlProp23.xml" ContentType="application/vnd.ms-excel.controlproperti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4.xml" ContentType="application/vnd.openxmlformats-officedocument.drawing+xml"/>
  <Override PartName="/xl/ctrlProps/ctrlProp24.xml" ContentType="application/vnd.ms-excel.controlproperti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5.xml" ContentType="application/vnd.openxmlformats-officedocument.drawing+xml"/>
  <Override PartName="/xl/ctrlProps/ctrlProp25.xml" ContentType="application/vnd.ms-excel.controlproperties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6.xml" ContentType="application/vnd.openxmlformats-officedocument.drawing+xml"/>
  <Override PartName="/xl/ctrlProps/ctrlProp26.xml" ContentType="application/vnd.ms-excel.controlproperties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7.xml" ContentType="application/vnd.openxmlformats-officedocument.drawing+xml"/>
  <Override PartName="/xl/ctrlProps/ctrlProp27.xml" ContentType="application/vnd.ms-excel.controlproperties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8.xml" ContentType="application/vnd.openxmlformats-officedocument.drawing+xml"/>
  <Override PartName="/xl/ctrlProps/ctrlProp28.xml" ContentType="application/vnd.ms-excel.controlproperties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\Dropbox\Alessio D'addabbo\Project ideas\CO-EX NEW DATA ANALYSIS\"/>
    </mc:Choice>
  </mc:AlternateContent>
  <xr:revisionPtr revIDLastSave="0" documentId="13_ncr:1_{66D834E0-7DDE-48C5-BCFA-CA10C9FEA914}" xr6:coauthVersionLast="45" xr6:coauthVersionMax="45" xr10:uidLastSave="{00000000-0000-0000-0000-000000000000}"/>
  <bookViews>
    <workbookView xWindow="1515" yWindow="1515" windowWidth="57600" windowHeight="15435" tabRatio="948" xr2:uid="{00000000-000D-0000-FFFF-FFFF00000000}"/>
  </bookViews>
  <sheets>
    <sheet name="csv paste" sheetId="90" r:id="rId1"/>
    <sheet name="Summary" sheetId="11" r:id="rId2"/>
    <sheet name="1" sheetId="4" r:id="rId3"/>
    <sheet name="2" sheetId="97" r:id="rId4"/>
    <sheet name="3" sheetId="98" r:id="rId5"/>
    <sheet name="4" sheetId="99" r:id="rId6"/>
    <sheet name="5" sheetId="100" r:id="rId7"/>
    <sheet name="6" sheetId="101" r:id="rId8"/>
    <sheet name="7" sheetId="102" r:id="rId9"/>
    <sheet name="8" sheetId="103" r:id="rId10"/>
    <sheet name="9" sheetId="104" r:id="rId11"/>
    <sheet name="10" sheetId="105" r:id="rId12"/>
    <sheet name="11" sheetId="106" r:id="rId13"/>
    <sheet name="12" sheetId="107" r:id="rId14"/>
    <sheet name="13" sheetId="108" r:id="rId15"/>
    <sheet name="14" sheetId="109" r:id="rId16"/>
    <sheet name="15" sheetId="110" r:id="rId17"/>
    <sheet name="16" sheetId="111" r:id="rId18"/>
    <sheet name="17" sheetId="112" r:id="rId19"/>
    <sheet name="18" sheetId="113" r:id="rId20"/>
    <sheet name="19" sheetId="114" r:id="rId21"/>
    <sheet name="20" sheetId="115" r:id="rId22"/>
    <sheet name="21" sheetId="116" r:id="rId23"/>
    <sheet name="22" sheetId="117" r:id="rId24"/>
    <sheet name="23" sheetId="118" r:id="rId25"/>
    <sheet name="24" sheetId="119" r:id="rId26"/>
    <sheet name="25" sheetId="120" r:id="rId27"/>
    <sheet name="26" sheetId="121" r:id="rId28"/>
    <sheet name="27" sheetId="122" r:id="rId29"/>
    <sheet name="28" sheetId="123" r:id="rId30"/>
    <sheet name="Table of compositions" sheetId="8" r:id="rId31"/>
    <sheet name="Formula for adding in new comp" sheetId="94" r:id="rId32"/>
    <sheet name="Library" sheetId="95" r:id="rId33"/>
    <sheet name="myTable" sheetId="9" state="veryHidden" r:id="rId34"/>
  </sheets>
  <definedNames>
    <definedName name="_xlnm._FilterDatabase" localSheetId="30" hidden="1">'Table of compositions'!$H$1:$H$443</definedName>
    <definedName name="_xlnm.Print_Area" localSheetId="1">Summary!$R$2:$AL$22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28" i="11" l="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B29" i="11"/>
  <c r="C29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B30" i="11"/>
  <c r="C30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B31" i="11"/>
  <c r="C31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N30" i="4" l="1"/>
  <c r="N30" i="123"/>
  <c r="N29" i="123"/>
  <c r="N28" i="123"/>
  <c r="N27" i="123"/>
  <c r="N26" i="123"/>
  <c r="N25" i="123"/>
  <c r="N24" i="123"/>
  <c r="N30" i="122"/>
  <c r="N29" i="122"/>
  <c r="N28" i="122"/>
  <c r="N27" i="122"/>
  <c r="N26" i="122"/>
  <c r="N25" i="122"/>
  <c r="N24" i="122"/>
  <c r="N30" i="121"/>
  <c r="N29" i="121"/>
  <c r="N28" i="121"/>
  <c r="N27" i="121"/>
  <c r="N26" i="121"/>
  <c r="N25" i="121"/>
  <c r="N24" i="121"/>
  <c r="N30" i="120"/>
  <c r="N29" i="120"/>
  <c r="N28" i="120"/>
  <c r="N27" i="120"/>
  <c r="N26" i="120"/>
  <c r="N25" i="120"/>
  <c r="N24" i="120"/>
  <c r="N30" i="119"/>
  <c r="N29" i="119"/>
  <c r="N28" i="119"/>
  <c r="N27" i="119"/>
  <c r="N26" i="119"/>
  <c r="N25" i="119"/>
  <c r="N24" i="119"/>
  <c r="N30" i="118"/>
  <c r="N29" i="118"/>
  <c r="N28" i="118"/>
  <c r="N27" i="118"/>
  <c r="N26" i="118"/>
  <c r="N25" i="118"/>
  <c r="N24" i="118"/>
  <c r="N30" i="117"/>
  <c r="N29" i="117"/>
  <c r="N28" i="117"/>
  <c r="N27" i="117"/>
  <c r="N26" i="117"/>
  <c r="N25" i="117"/>
  <c r="N24" i="117"/>
  <c r="N30" i="116"/>
  <c r="N29" i="116"/>
  <c r="N28" i="116"/>
  <c r="N27" i="116"/>
  <c r="N26" i="116"/>
  <c r="N25" i="116"/>
  <c r="N24" i="116"/>
  <c r="N30" i="115"/>
  <c r="N29" i="115"/>
  <c r="N28" i="115"/>
  <c r="N27" i="115"/>
  <c r="N26" i="115"/>
  <c r="N25" i="115"/>
  <c r="N24" i="115"/>
  <c r="N30" i="114"/>
  <c r="N29" i="114"/>
  <c r="N28" i="114"/>
  <c r="N27" i="114"/>
  <c r="N26" i="114"/>
  <c r="N25" i="114"/>
  <c r="N24" i="114"/>
  <c r="N30" i="113"/>
  <c r="N29" i="113"/>
  <c r="N28" i="113"/>
  <c r="N27" i="113"/>
  <c r="N26" i="113"/>
  <c r="N25" i="113"/>
  <c r="N24" i="113"/>
  <c r="N30" i="112"/>
  <c r="N29" i="112"/>
  <c r="N28" i="112"/>
  <c r="N27" i="112"/>
  <c r="N26" i="112"/>
  <c r="N25" i="112"/>
  <c r="N24" i="112"/>
  <c r="N30" i="111"/>
  <c r="N29" i="111"/>
  <c r="N28" i="111"/>
  <c r="N27" i="111"/>
  <c r="N26" i="111"/>
  <c r="N25" i="111"/>
  <c r="N24" i="111"/>
  <c r="N30" i="110"/>
  <c r="N29" i="110"/>
  <c r="N28" i="110"/>
  <c r="N27" i="110"/>
  <c r="N26" i="110"/>
  <c r="N25" i="110"/>
  <c r="N24" i="110"/>
  <c r="N30" i="109"/>
  <c r="N29" i="109"/>
  <c r="N28" i="109"/>
  <c r="N27" i="109"/>
  <c r="N26" i="109"/>
  <c r="N25" i="109"/>
  <c r="N24" i="109"/>
  <c r="N30" i="108"/>
  <c r="N29" i="108"/>
  <c r="N28" i="108"/>
  <c r="N27" i="108"/>
  <c r="N26" i="108"/>
  <c r="N25" i="108"/>
  <c r="N24" i="108"/>
  <c r="N30" i="107"/>
  <c r="N29" i="107"/>
  <c r="N28" i="107"/>
  <c r="N27" i="107"/>
  <c r="N26" i="107"/>
  <c r="N25" i="107"/>
  <c r="N24" i="107"/>
  <c r="N30" i="106"/>
  <c r="N29" i="106"/>
  <c r="N28" i="106"/>
  <c r="N27" i="106"/>
  <c r="N26" i="106"/>
  <c r="N25" i="106"/>
  <c r="N24" i="106"/>
  <c r="N30" i="105"/>
  <c r="N29" i="105"/>
  <c r="N28" i="105"/>
  <c r="N27" i="105"/>
  <c r="N26" i="105"/>
  <c r="N25" i="105"/>
  <c r="N24" i="105"/>
  <c r="N30" i="104"/>
  <c r="N29" i="104"/>
  <c r="N28" i="104"/>
  <c r="N27" i="104"/>
  <c r="N26" i="104"/>
  <c r="N25" i="104"/>
  <c r="N24" i="104"/>
  <c r="N30" i="103"/>
  <c r="N29" i="103"/>
  <c r="N28" i="103"/>
  <c r="N27" i="103"/>
  <c r="N26" i="103"/>
  <c r="N25" i="103"/>
  <c r="N24" i="103"/>
  <c r="N30" i="102"/>
  <c r="N29" i="102"/>
  <c r="N28" i="102"/>
  <c r="N27" i="102"/>
  <c r="N26" i="102"/>
  <c r="N25" i="102"/>
  <c r="N24" i="102"/>
  <c r="N30" i="101"/>
  <c r="N29" i="101"/>
  <c r="N28" i="101"/>
  <c r="N27" i="101"/>
  <c r="N26" i="101"/>
  <c r="N25" i="101"/>
  <c r="N24" i="101"/>
  <c r="N30" i="100"/>
  <c r="N29" i="100"/>
  <c r="N28" i="100"/>
  <c r="N27" i="100"/>
  <c r="N26" i="100"/>
  <c r="N25" i="100"/>
  <c r="N24" i="100"/>
  <c r="N30" i="99"/>
  <c r="N29" i="99"/>
  <c r="N28" i="99"/>
  <c r="N27" i="99"/>
  <c r="N26" i="99"/>
  <c r="N25" i="99"/>
  <c r="N24" i="99"/>
  <c r="N30" i="98"/>
  <c r="N29" i="98"/>
  <c r="N28" i="98"/>
  <c r="N27" i="98"/>
  <c r="N26" i="98"/>
  <c r="N25" i="98"/>
  <c r="N24" i="98"/>
  <c r="N28" i="97"/>
  <c r="N27" i="97"/>
  <c r="N26" i="97"/>
  <c r="N25" i="97"/>
  <c r="N24" i="97"/>
  <c r="N29" i="97"/>
  <c r="J2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N30" i="97" l="1"/>
  <c r="J36" i="97"/>
  <c r="I36" i="97"/>
  <c r="E65" i="8"/>
  <c r="F65" i="8"/>
  <c r="A65" i="8"/>
  <c r="Z50" i="94"/>
  <c r="Y50" i="94"/>
  <c r="X50" i="94"/>
  <c r="G50" i="94" s="1"/>
  <c r="I50" i="94" s="1"/>
  <c r="W50" i="94"/>
  <c r="V50" i="94"/>
  <c r="E50" i="94" s="1"/>
  <c r="U50" i="94"/>
  <c r="T50" i="94"/>
  <c r="S50" i="94"/>
  <c r="B50" i="94" s="1"/>
  <c r="R50" i="94"/>
  <c r="A50" i="94" s="1"/>
  <c r="H50" i="94"/>
  <c r="D50" i="94"/>
  <c r="Z81" i="94"/>
  <c r="Y81" i="94"/>
  <c r="X81" i="94"/>
  <c r="W81" i="94"/>
  <c r="V81" i="94"/>
  <c r="U81" i="94"/>
  <c r="T81" i="94"/>
  <c r="C81" i="94" s="1"/>
  <c r="S81" i="94"/>
  <c r="B81" i="94" s="1"/>
  <c r="R81" i="94"/>
  <c r="A81" i="94" s="1"/>
  <c r="H81" i="94"/>
  <c r="G81" i="94"/>
  <c r="E81" i="94"/>
  <c r="F81" i="94" s="1"/>
  <c r="J2" i="123"/>
  <c r="J2" i="122"/>
  <c r="J2" i="121"/>
  <c r="J2" i="120"/>
  <c r="J2" i="119"/>
  <c r="J2" i="118"/>
  <c r="J2" i="117"/>
  <c r="J2" i="116"/>
  <c r="J2" i="115"/>
  <c r="J2" i="114"/>
  <c r="J2" i="113"/>
  <c r="J2" i="112"/>
  <c r="J2" i="111"/>
  <c r="J2" i="110"/>
  <c r="J2" i="109"/>
  <c r="J2" i="108"/>
  <c r="J2" i="107"/>
  <c r="J2" i="106"/>
  <c r="J2" i="105"/>
  <c r="J2" i="104"/>
  <c r="J2" i="103"/>
  <c r="J2" i="102"/>
  <c r="J2" i="101"/>
  <c r="J2" i="100"/>
  <c r="J2" i="99"/>
  <c r="J2" i="98"/>
  <c r="J2" i="97"/>
  <c r="J390" i="123"/>
  <c r="I390" i="123"/>
  <c r="J389" i="123"/>
  <c r="I389" i="123"/>
  <c r="J388" i="123"/>
  <c r="I388" i="123"/>
  <c r="J387" i="123"/>
  <c r="I387" i="123"/>
  <c r="J386" i="123"/>
  <c r="I386" i="123"/>
  <c r="J385" i="123"/>
  <c r="I385" i="123"/>
  <c r="J384" i="123"/>
  <c r="I384" i="123"/>
  <c r="J383" i="123"/>
  <c r="I383" i="123"/>
  <c r="J382" i="123"/>
  <c r="I382" i="123"/>
  <c r="J381" i="123"/>
  <c r="I381" i="123"/>
  <c r="J380" i="123"/>
  <c r="I380" i="123"/>
  <c r="J379" i="123"/>
  <c r="I379" i="123"/>
  <c r="J378" i="123"/>
  <c r="I378" i="123"/>
  <c r="J377" i="123"/>
  <c r="I377" i="123"/>
  <c r="J376" i="123"/>
  <c r="I376" i="123"/>
  <c r="J375" i="123"/>
  <c r="I375" i="123"/>
  <c r="J374" i="123"/>
  <c r="I374" i="123"/>
  <c r="J373" i="123"/>
  <c r="I373" i="123"/>
  <c r="J372" i="123"/>
  <c r="I372" i="123"/>
  <c r="J371" i="123"/>
  <c r="I371" i="123"/>
  <c r="J370" i="123"/>
  <c r="I370" i="123"/>
  <c r="J369" i="123"/>
  <c r="I369" i="123"/>
  <c r="J368" i="123"/>
  <c r="I368" i="123"/>
  <c r="J367" i="123"/>
  <c r="I367" i="123"/>
  <c r="J366" i="123"/>
  <c r="I366" i="123"/>
  <c r="J365" i="123"/>
  <c r="I365" i="123"/>
  <c r="J364" i="123"/>
  <c r="I364" i="123"/>
  <c r="J363" i="123"/>
  <c r="I363" i="123"/>
  <c r="J362" i="123"/>
  <c r="I362" i="123"/>
  <c r="J361" i="123"/>
  <c r="I361" i="123"/>
  <c r="J360" i="123"/>
  <c r="I360" i="123"/>
  <c r="J359" i="123"/>
  <c r="I359" i="123"/>
  <c r="J358" i="123"/>
  <c r="I358" i="123"/>
  <c r="J357" i="123"/>
  <c r="I357" i="123"/>
  <c r="J356" i="123"/>
  <c r="I356" i="123"/>
  <c r="J355" i="123"/>
  <c r="I355" i="123"/>
  <c r="J354" i="123"/>
  <c r="I354" i="123"/>
  <c r="J353" i="123"/>
  <c r="I353" i="123"/>
  <c r="J352" i="123"/>
  <c r="I352" i="123"/>
  <c r="J351" i="123"/>
  <c r="I351" i="123"/>
  <c r="J350" i="123"/>
  <c r="I350" i="123"/>
  <c r="J349" i="123"/>
  <c r="I349" i="123"/>
  <c r="J348" i="123"/>
  <c r="I348" i="123"/>
  <c r="J347" i="123"/>
  <c r="I347" i="123"/>
  <c r="J346" i="123"/>
  <c r="I346" i="123"/>
  <c r="J345" i="123"/>
  <c r="I345" i="123"/>
  <c r="J344" i="123"/>
  <c r="I344" i="123"/>
  <c r="J343" i="123"/>
  <c r="I343" i="123"/>
  <c r="J342" i="123"/>
  <c r="I342" i="123"/>
  <c r="J341" i="123"/>
  <c r="I341" i="123"/>
  <c r="J340" i="123"/>
  <c r="I340" i="123"/>
  <c r="J339" i="123"/>
  <c r="I339" i="123"/>
  <c r="J338" i="123"/>
  <c r="I338" i="123"/>
  <c r="J337" i="123"/>
  <c r="I337" i="123"/>
  <c r="J336" i="123"/>
  <c r="I336" i="123"/>
  <c r="J335" i="123"/>
  <c r="I335" i="123"/>
  <c r="J334" i="123"/>
  <c r="I334" i="123"/>
  <c r="J333" i="123"/>
  <c r="I333" i="123"/>
  <c r="J332" i="123"/>
  <c r="I332" i="123"/>
  <c r="J331" i="123"/>
  <c r="I331" i="123"/>
  <c r="J330" i="123"/>
  <c r="I330" i="123"/>
  <c r="J329" i="123"/>
  <c r="I329" i="123"/>
  <c r="J328" i="123"/>
  <c r="I328" i="123"/>
  <c r="J327" i="123"/>
  <c r="I327" i="123"/>
  <c r="J326" i="123"/>
  <c r="I326" i="123"/>
  <c r="J325" i="123"/>
  <c r="I325" i="123"/>
  <c r="J324" i="123"/>
  <c r="I324" i="123"/>
  <c r="J323" i="123"/>
  <c r="I323" i="123"/>
  <c r="J322" i="123"/>
  <c r="I322" i="123"/>
  <c r="J321" i="123"/>
  <c r="I321" i="123"/>
  <c r="J320" i="123"/>
  <c r="I320" i="123"/>
  <c r="J319" i="123"/>
  <c r="I319" i="123"/>
  <c r="J318" i="123"/>
  <c r="I318" i="123"/>
  <c r="J317" i="123"/>
  <c r="I317" i="123"/>
  <c r="J316" i="123"/>
  <c r="I316" i="123"/>
  <c r="J315" i="123"/>
  <c r="I315" i="123"/>
  <c r="J314" i="123"/>
  <c r="I314" i="123"/>
  <c r="J313" i="123"/>
  <c r="I313" i="123"/>
  <c r="J312" i="123"/>
  <c r="I312" i="123"/>
  <c r="J311" i="123"/>
  <c r="I311" i="123"/>
  <c r="J310" i="123"/>
  <c r="I310" i="123"/>
  <c r="J309" i="123"/>
  <c r="I309" i="123"/>
  <c r="J308" i="123"/>
  <c r="I308" i="123"/>
  <c r="J307" i="123"/>
  <c r="I307" i="123"/>
  <c r="J306" i="123"/>
  <c r="I306" i="123"/>
  <c r="J305" i="123"/>
  <c r="I305" i="123"/>
  <c r="J304" i="123"/>
  <c r="I304" i="123"/>
  <c r="J303" i="123"/>
  <c r="I303" i="123"/>
  <c r="J302" i="123"/>
  <c r="I302" i="123"/>
  <c r="J301" i="123"/>
  <c r="I301" i="123"/>
  <c r="J300" i="123"/>
  <c r="I300" i="123"/>
  <c r="J299" i="123"/>
  <c r="I299" i="123"/>
  <c r="J298" i="123"/>
  <c r="I298" i="123"/>
  <c r="J297" i="123"/>
  <c r="I297" i="123"/>
  <c r="J296" i="123"/>
  <c r="I296" i="123"/>
  <c r="J295" i="123"/>
  <c r="I295" i="123"/>
  <c r="J294" i="123"/>
  <c r="I294" i="123"/>
  <c r="J293" i="123"/>
  <c r="I293" i="123"/>
  <c r="J292" i="123"/>
  <c r="I292" i="123"/>
  <c r="J291" i="123"/>
  <c r="I291" i="123"/>
  <c r="J290" i="123"/>
  <c r="I290" i="123"/>
  <c r="J289" i="123"/>
  <c r="I289" i="123"/>
  <c r="J288" i="123"/>
  <c r="I288" i="123"/>
  <c r="J287" i="123"/>
  <c r="I287" i="123"/>
  <c r="J286" i="123"/>
  <c r="I286" i="123"/>
  <c r="J285" i="123"/>
  <c r="I285" i="123"/>
  <c r="J284" i="123"/>
  <c r="I284" i="123"/>
  <c r="J283" i="123"/>
  <c r="I283" i="123"/>
  <c r="J282" i="123"/>
  <c r="I282" i="123"/>
  <c r="J281" i="123"/>
  <c r="I281" i="123"/>
  <c r="J280" i="123"/>
  <c r="I280" i="123"/>
  <c r="J279" i="123"/>
  <c r="I279" i="123"/>
  <c r="J278" i="123"/>
  <c r="I278" i="123"/>
  <c r="J277" i="123"/>
  <c r="I277" i="123"/>
  <c r="J276" i="123"/>
  <c r="I276" i="123"/>
  <c r="J275" i="123"/>
  <c r="I275" i="123"/>
  <c r="J274" i="123"/>
  <c r="I274" i="123"/>
  <c r="J273" i="123"/>
  <c r="I273" i="123"/>
  <c r="J272" i="123"/>
  <c r="I272" i="123"/>
  <c r="J271" i="123"/>
  <c r="I271" i="123"/>
  <c r="J270" i="123"/>
  <c r="I270" i="123"/>
  <c r="J269" i="123"/>
  <c r="I269" i="123"/>
  <c r="J268" i="123"/>
  <c r="I268" i="123"/>
  <c r="J267" i="123"/>
  <c r="I267" i="123"/>
  <c r="J266" i="123"/>
  <c r="I266" i="123"/>
  <c r="J265" i="123"/>
  <c r="I265" i="123"/>
  <c r="J264" i="123"/>
  <c r="I264" i="123"/>
  <c r="J263" i="123"/>
  <c r="I263" i="123"/>
  <c r="J262" i="123"/>
  <c r="I262" i="123"/>
  <c r="J261" i="123"/>
  <c r="I261" i="123"/>
  <c r="J260" i="123"/>
  <c r="I260" i="123"/>
  <c r="J259" i="123"/>
  <c r="I259" i="123"/>
  <c r="J258" i="123"/>
  <c r="I258" i="123"/>
  <c r="J257" i="123"/>
  <c r="I257" i="123"/>
  <c r="J256" i="123"/>
  <c r="I256" i="123"/>
  <c r="J255" i="123"/>
  <c r="I255" i="123"/>
  <c r="J254" i="123"/>
  <c r="I254" i="123"/>
  <c r="J253" i="123"/>
  <c r="I253" i="123"/>
  <c r="J252" i="123"/>
  <c r="I252" i="123"/>
  <c r="J251" i="123"/>
  <c r="I251" i="123"/>
  <c r="J250" i="123"/>
  <c r="I250" i="123"/>
  <c r="J249" i="123"/>
  <c r="I249" i="123"/>
  <c r="J248" i="123"/>
  <c r="I248" i="123"/>
  <c r="J247" i="123"/>
  <c r="I247" i="123"/>
  <c r="J246" i="123"/>
  <c r="I246" i="123"/>
  <c r="J245" i="123"/>
  <c r="I245" i="123"/>
  <c r="J244" i="123"/>
  <c r="I244" i="123"/>
  <c r="J243" i="123"/>
  <c r="I243" i="123"/>
  <c r="J242" i="123"/>
  <c r="I242" i="123"/>
  <c r="J241" i="123"/>
  <c r="I241" i="123"/>
  <c r="J240" i="123"/>
  <c r="I240" i="123"/>
  <c r="J239" i="123"/>
  <c r="I239" i="123"/>
  <c r="J238" i="123"/>
  <c r="I238" i="123"/>
  <c r="J237" i="123"/>
  <c r="I237" i="123"/>
  <c r="J236" i="123"/>
  <c r="I236" i="123"/>
  <c r="J235" i="123"/>
  <c r="I235" i="123"/>
  <c r="J234" i="123"/>
  <c r="I234" i="123"/>
  <c r="J233" i="123"/>
  <c r="I233" i="123"/>
  <c r="J232" i="123"/>
  <c r="I232" i="123"/>
  <c r="J231" i="123"/>
  <c r="I231" i="123"/>
  <c r="J230" i="123"/>
  <c r="I230" i="123"/>
  <c r="J229" i="123"/>
  <c r="I229" i="123"/>
  <c r="J228" i="123"/>
  <c r="I228" i="123"/>
  <c r="J227" i="123"/>
  <c r="I227" i="123"/>
  <c r="J226" i="123"/>
  <c r="I226" i="123"/>
  <c r="J225" i="123"/>
  <c r="I225" i="123"/>
  <c r="J224" i="123"/>
  <c r="I224" i="123"/>
  <c r="J223" i="123"/>
  <c r="I223" i="123"/>
  <c r="J222" i="123"/>
  <c r="I222" i="123"/>
  <c r="J221" i="123"/>
  <c r="I221" i="123"/>
  <c r="J220" i="123"/>
  <c r="I220" i="123"/>
  <c r="J219" i="123"/>
  <c r="I219" i="123"/>
  <c r="J218" i="123"/>
  <c r="I218" i="123"/>
  <c r="J217" i="123"/>
  <c r="I217" i="123"/>
  <c r="J216" i="123"/>
  <c r="I216" i="123"/>
  <c r="J215" i="123"/>
  <c r="I215" i="123"/>
  <c r="J214" i="123"/>
  <c r="I214" i="123"/>
  <c r="J213" i="123"/>
  <c r="I213" i="123"/>
  <c r="J212" i="123"/>
  <c r="I212" i="123"/>
  <c r="J211" i="123"/>
  <c r="I211" i="123"/>
  <c r="J210" i="123"/>
  <c r="I210" i="123"/>
  <c r="J209" i="123"/>
  <c r="I209" i="123"/>
  <c r="J208" i="123"/>
  <c r="I208" i="123"/>
  <c r="J207" i="123"/>
  <c r="I207" i="123"/>
  <c r="J206" i="123"/>
  <c r="I206" i="123"/>
  <c r="J205" i="123"/>
  <c r="I205" i="123"/>
  <c r="J204" i="123"/>
  <c r="I204" i="123"/>
  <c r="J203" i="123"/>
  <c r="I203" i="123"/>
  <c r="J202" i="123"/>
  <c r="I202" i="123"/>
  <c r="J201" i="123"/>
  <c r="I201" i="123"/>
  <c r="J200" i="123"/>
  <c r="I200" i="123"/>
  <c r="J199" i="123"/>
  <c r="I199" i="123"/>
  <c r="J198" i="123"/>
  <c r="I198" i="123"/>
  <c r="J197" i="123"/>
  <c r="I197" i="123"/>
  <c r="J196" i="123"/>
  <c r="I196" i="123"/>
  <c r="J195" i="123"/>
  <c r="I195" i="123"/>
  <c r="J194" i="123"/>
  <c r="I194" i="123"/>
  <c r="J193" i="123"/>
  <c r="I193" i="123"/>
  <c r="J192" i="123"/>
  <c r="I192" i="123"/>
  <c r="J191" i="123"/>
  <c r="I191" i="123"/>
  <c r="J190" i="123"/>
  <c r="I190" i="123"/>
  <c r="J189" i="123"/>
  <c r="I189" i="123"/>
  <c r="J188" i="123"/>
  <c r="I188" i="123"/>
  <c r="J187" i="123"/>
  <c r="I187" i="123"/>
  <c r="J186" i="123"/>
  <c r="I186" i="123"/>
  <c r="J185" i="123"/>
  <c r="I185" i="123"/>
  <c r="J184" i="123"/>
  <c r="I184" i="123"/>
  <c r="J183" i="123"/>
  <c r="I183" i="123"/>
  <c r="J182" i="123"/>
  <c r="I182" i="123"/>
  <c r="J181" i="123"/>
  <c r="I181" i="123"/>
  <c r="J180" i="123"/>
  <c r="I180" i="123"/>
  <c r="J179" i="123"/>
  <c r="I179" i="123"/>
  <c r="J178" i="123"/>
  <c r="I178" i="123"/>
  <c r="J177" i="123"/>
  <c r="I177" i="123"/>
  <c r="J176" i="123"/>
  <c r="I176" i="123"/>
  <c r="J175" i="123"/>
  <c r="I175" i="123"/>
  <c r="J174" i="123"/>
  <c r="I174" i="123"/>
  <c r="J173" i="123"/>
  <c r="I173" i="123"/>
  <c r="J172" i="123"/>
  <c r="I172" i="123"/>
  <c r="J171" i="123"/>
  <c r="I171" i="123"/>
  <c r="J170" i="123"/>
  <c r="I170" i="123"/>
  <c r="J169" i="123"/>
  <c r="I169" i="123"/>
  <c r="J168" i="123"/>
  <c r="I168" i="123"/>
  <c r="J167" i="123"/>
  <c r="I167" i="123"/>
  <c r="J166" i="123"/>
  <c r="I166" i="123"/>
  <c r="J165" i="123"/>
  <c r="I165" i="123"/>
  <c r="J164" i="123"/>
  <c r="I164" i="123"/>
  <c r="J163" i="123"/>
  <c r="I163" i="123"/>
  <c r="J162" i="123"/>
  <c r="I162" i="123"/>
  <c r="J161" i="123"/>
  <c r="I161" i="123"/>
  <c r="J160" i="123"/>
  <c r="I160" i="123"/>
  <c r="J159" i="123"/>
  <c r="I159" i="123"/>
  <c r="J158" i="123"/>
  <c r="I158" i="123"/>
  <c r="J157" i="123"/>
  <c r="I157" i="123"/>
  <c r="J156" i="123"/>
  <c r="I156" i="123"/>
  <c r="J155" i="123"/>
  <c r="I155" i="123"/>
  <c r="J154" i="123"/>
  <c r="I154" i="123"/>
  <c r="J153" i="123"/>
  <c r="I153" i="123"/>
  <c r="J152" i="123"/>
  <c r="I152" i="123"/>
  <c r="J151" i="123"/>
  <c r="I151" i="123"/>
  <c r="J150" i="123"/>
  <c r="I150" i="123"/>
  <c r="J149" i="123"/>
  <c r="I149" i="123"/>
  <c r="J148" i="123"/>
  <c r="I148" i="123"/>
  <c r="J147" i="123"/>
  <c r="I147" i="123"/>
  <c r="J146" i="123"/>
  <c r="I146" i="123"/>
  <c r="J145" i="123"/>
  <c r="I145" i="123"/>
  <c r="J144" i="123"/>
  <c r="I144" i="123"/>
  <c r="J143" i="123"/>
  <c r="I143" i="123"/>
  <c r="J142" i="123"/>
  <c r="I142" i="123"/>
  <c r="J141" i="123"/>
  <c r="I141" i="123"/>
  <c r="J140" i="123"/>
  <c r="I140" i="123"/>
  <c r="J139" i="123"/>
  <c r="I139" i="123"/>
  <c r="J138" i="123"/>
  <c r="I138" i="123"/>
  <c r="J137" i="123"/>
  <c r="I137" i="123"/>
  <c r="J136" i="123"/>
  <c r="I136" i="123"/>
  <c r="J135" i="123"/>
  <c r="I135" i="123"/>
  <c r="J134" i="123"/>
  <c r="I134" i="123"/>
  <c r="J133" i="123"/>
  <c r="I133" i="123"/>
  <c r="J132" i="123"/>
  <c r="I132" i="123"/>
  <c r="J131" i="123"/>
  <c r="I131" i="123"/>
  <c r="J130" i="123"/>
  <c r="I130" i="123"/>
  <c r="J129" i="123"/>
  <c r="I129" i="123"/>
  <c r="J128" i="123"/>
  <c r="I128" i="123"/>
  <c r="J127" i="123"/>
  <c r="I127" i="123"/>
  <c r="J126" i="123"/>
  <c r="I126" i="123"/>
  <c r="J125" i="123"/>
  <c r="I125" i="123"/>
  <c r="J124" i="123"/>
  <c r="I124" i="123"/>
  <c r="J123" i="123"/>
  <c r="I123" i="123"/>
  <c r="J122" i="123"/>
  <c r="I122" i="123"/>
  <c r="J121" i="123"/>
  <c r="I121" i="123"/>
  <c r="J120" i="123"/>
  <c r="I120" i="123"/>
  <c r="J119" i="123"/>
  <c r="I119" i="123"/>
  <c r="J118" i="123"/>
  <c r="I118" i="123"/>
  <c r="J117" i="123"/>
  <c r="I117" i="123"/>
  <c r="J116" i="123"/>
  <c r="I116" i="123"/>
  <c r="J115" i="123"/>
  <c r="I115" i="123"/>
  <c r="J114" i="123"/>
  <c r="I114" i="123"/>
  <c r="J113" i="123"/>
  <c r="I113" i="123"/>
  <c r="J112" i="123"/>
  <c r="I112" i="123"/>
  <c r="J111" i="123"/>
  <c r="I111" i="123"/>
  <c r="J110" i="123"/>
  <c r="I110" i="123"/>
  <c r="J109" i="123"/>
  <c r="I109" i="123"/>
  <c r="J108" i="123"/>
  <c r="I108" i="123"/>
  <c r="J107" i="123"/>
  <c r="I107" i="123"/>
  <c r="J106" i="123"/>
  <c r="I106" i="123"/>
  <c r="J105" i="123"/>
  <c r="I105" i="123"/>
  <c r="J104" i="123"/>
  <c r="I104" i="123"/>
  <c r="J103" i="123"/>
  <c r="I103" i="123"/>
  <c r="J102" i="123"/>
  <c r="I102" i="123"/>
  <c r="J101" i="123"/>
  <c r="I101" i="123"/>
  <c r="J100" i="123"/>
  <c r="I100" i="123"/>
  <c r="J99" i="123"/>
  <c r="I99" i="123"/>
  <c r="J98" i="123"/>
  <c r="I98" i="123"/>
  <c r="J97" i="123"/>
  <c r="I97" i="123"/>
  <c r="J96" i="123"/>
  <c r="I96" i="123"/>
  <c r="J95" i="123"/>
  <c r="I95" i="123"/>
  <c r="J94" i="123"/>
  <c r="I94" i="123"/>
  <c r="J93" i="123"/>
  <c r="I93" i="123"/>
  <c r="J92" i="123"/>
  <c r="I92" i="123"/>
  <c r="J91" i="123"/>
  <c r="I91" i="123"/>
  <c r="J90" i="123"/>
  <c r="I90" i="123"/>
  <c r="J89" i="123"/>
  <c r="I89" i="123"/>
  <c r="J88" i="123"/>
  <c r="I88" i="123"/>
  <c r="J87" i="123"/>
  <c r="I87" i="123"/>
  <c r="J86" i="123"/>
  <c r="I86" i="123"/>
  <c r="J85" i="123"/>
  <c r="I85" i="123"/>
  <c r="J84" i="123"/>
  <c r="I84" i="123"/>
  <c r="J83" i="123"/>
  <c r="I83" i="123"/>
  <c r="J82" i="123"/>
  <c r="I82" i="123"/>
  <c r="J81" i="123"/>
  <c r="I81" i="123"/>
  <c r="J80" i="123"/>
  <c r="I80" i="123"/>
  <c r="J79" i="123"/>
  <c r="I79" i="123"/>
  <c r="J78" i="123"/>
  <c r="I78" i="123"/>
  <c r="J77" i="123"/>
  <c r="I77" i="123"/>
  <c r="J76" i="123"/>
  <c r="I76" i="123"/>
  <c r="J75" i="123"/>
  <c r="I75" i="123"/>
  <c r="J74" i="123"/>
  <c r="I74" i="123"/>
  <c r="J73" i="123"/>
  <c r="I73" i="123"/>
  <c r="J72" i="123"/>
  <c r="I72" i="123"/>
  <c r="J71" i="123"/>
  <c r="I71" i="123"/>
  <c r="J70" i="123"/>
  <c r="I70" i="123"/>
  <c r="J69" i="123"/>
  <c r="I69" i="123"/>
  <c r="J68" i="123"/>
  <c r="I68" i="123"/>
  <c r="J67" i="123"/>
  <c r="I67" i="123"/>
  <c r="J66" i="123"/>
  <c r="I66" i="123"/>
  <c r="J65" i="123"/>
  <c r="I65" i="123"/>
  <c r="J64" i="123"/>
  <c r="I64" i="123"/>
  <c r="J63" i="123"/>
  <c r="I63" i="123"/>
  <c r="J62" i="123"/>
  <c r="I62" i="123"/>
  <c r="J61" i="123"/>
  <c r="I61" i="123"/>
  <c r="J60" i="123"/>
  <c r="I60" i="123"/>
  <c r="J59" i="123"/>
  <c r="I59" i="123"/>
  <c r="J58" i="123"/>
  <c r="I58" i="123"/>
  <c r="J57" i="123"/>
  <c r="I57" i="123"/>
  <c r="J56" i="123"/>
  <c r="I56" i="123"/>
  <c r="J55" i="123"/>
  <c r="I55" i="123"/>
  <c r="J54" i="123"/>
  <c r="I54" i="123"/>
  <c r="J53" i="123"/>
  <c r="I53" i="123"/>
  <c r="J52" i="123"/>
  <c r="I52" i="123"/>
  <c r="J51" i="123"/>
  <c r="I51" i="123"/>
  <c r="J50" i="123"/>
  <c r="I50" i="123"/>
  <c r="J49" i="123"/>
  <c r="I49" i="123"/>
  <c r="J48" i="123"/>
  <c r="I48" i="123"/>
  <c r="J47" i="123"/>
  <c r="I47" i="123"/>
  <c r="J46" i="123"/>
  <c r="I46" i="123"/>
  <c r="J45" i="123"/>
  <c r="I45" i="123"/>
  <c r="J44" i="123"/>
  <c r="I44" i="123"/>
  <c r="J43" i="123"/>
  <c r="I43" i="123"/>
  <c r="J42" i="123"/>
  <c r="I42" i="123"/>
  <c r="J41" i="123"/>
  <c r="I41" i="123"/>
  <c r="J40" i="123"/>
  <c r="I40" i="123"/>
  <c r="J39" i="123"/>
  <c r="I39" i="123"/>
  <c r="J38" i="123"/>
  <c r="I38" i="123"/>
  <c r="J37" i="123"/>
  <c r="I37" i="123"/>
  <c r="J36" i="123"/>
  <c r="I36" i="123"/>
  <c r="J35" i="123"/>
  <c r="I35" i="123"/>
  <c r="J34" i="123"/>
  <c r="I34" i="123"/>
  <c r="J33" i="123"/>
  <c r="I33" i="123"/>
  <c r="J32" i="123"/>
  <c r="I32" i="123"/>
  <c r="J31" i="123"/>
  <c r="I31" i="123"/>
  <c r="J30" i="123"/>
  <c r="I30" i="123"/>
  <c r="J29" i="123"/>
  <c r="I29" i="123"/>
  <c r="J28" i="123"/>
  <c r="I28" i="123"/>
  <c r="J27" i="123"/>
  <c r="I27" i="123"/>
  <c r="J26" i="123"/>
  <c r="I26" i="123"/>
  <c r="J25" i="123"/>
  <c r="I25" i="123"/>
  <c r="J24" i="123"/>
  <c r="I24" i="123"/>
  <c r="J23" i="123"/>
  <c r="I23" i="123"/>
  <c r="J22" i="123"/>
  <c r="I22" i="123"/>
  <c r="J21" i="123"/>
  <c r="I21" i="123"/>
  <c r="J20" i="123"/>
  <c r="I20" i="123"/>
  <c r="J19" i="123"/>
  <c r="I19" i="123"/>
  <c r="J18" i="123"/>
  <c r="I18" i="123"/>
  <c r="J17" i="123"/>
  <c r="I17" i="123"/>
  <c r="J16" i="123"/>
  <c r="I16" i="123"/>
  <c r="J15" i="123"/>
  <c r="I15" i="123"/>
  <c r="J14" i="123"/>
  <c r="I14" i="123"/>
  <c r="J13" i="123"/>
  <c r="I13" i="123"/>
  <c r="J12" i="123"/>
  <c r="I12" i="123"/>
  <c r="J11" i="123"/>
  <c r="I11" i="123"/>
  <c r="J10" i="123"/>
  <c r="I10" i="123"/>
  <c r="J9" i="123"/>
  <c r="I9" i="123"/>
  <c r="J8" i="123"/>
  <c r="I8" i="123"/>
  <c r="J7" i="123"/>
  <c r="I7" i="123"/>
  <c r="J6" i="123"/>
  <c r="I6" i="123"/>
  <c r="J5" i="123"/>
  <c r="I5" i="123"/>
  <c r="J4" i="123"/>
  <c r="I4" i="123"/>
  <c r="J3" i="123"/>
  <c r="I3" i="123"/>
  <c r="I2" i="123"/>
  <c r="J390" i="122"/>
  <c r="I390" i="122"/>
  <c r="J389" i="122"/>
  <c r="I389" i="122"/>
  <c r="J388" i="122"/>
  <c r="I388" i="122"/>
  <c r="J387" i="122"/>
  <c r="I387" i="122"/>
  <c r="J386" i="122"/>
  <c r="I386" i="122"/>
  <c r="J385" i="122"/>
  <c r="I385" i="122"/>
  <c r="J384" i="122"/>
  <c r="I384" i="122"/>
  <c r="J383" i="122"/>
  <c r="I383" i="122"/>
  <c r="J382" i="122"/>
  <c r="I382" i="122"/>
  <c r="J381" i="122"/>
  <c r="I381" i="122"/>
  <c r="J380" i="122"/>
  <c r="I380" i="122"/>
  <c r="J379" i="122"/>
  <c r="I379" i="122"/>
  <c r="J378" i="122"/>
  <c r="I378" i="122"/>
  <c r="J377" i="122"/>
  <c r="I377" i="122"/>
  <c r="J376" i="122"/>
  <c r="I376" i="122"/>
  <c r="J375" i="122"/>
  <c r="I375" i="122"/>
  <c r="J374" i="122"/>
  <c r="I374" i="122"/>
  <c r="J373" i="122"/>
  <c r="I373" i="122"/>
  <c r="J372" i="122"/>
  <c r="I372" i="122"/>
  <c r="J371" i="122"/>
  <c r="I371" i="122"/>
  <c r="J370" i="122"/>
  <c r="I370" i="122"/>
  <c r="J369" i="122"/>
  <c r="I369" i="122"/>
  <c r="J368" i="122"/>
  <c r="I368" i="122"/>
  <c r="J367" i="122"/>
  <c r="I367" i="122"/>
  <c r="J366" i="122"/>
  <c r="I366" i="122"/>
  <c r="J365" i="122"/>
  <c r="I365" i="122"/>
  <c r="J364" i="122"/>
  <c r="I364" i="122"/>
  <c r="J363" i="122"/>
  <c r="I363" i="122"/>
  <c r="J362" i="122"/>
  <c r="I362" i="122"/>
  <c r="J361" i="122"/>
  <c r="I361" i="122"/>
  <c r="J360" i="122"/>
  <c r="I360" i="122"/>
  <c r="J359" i="122"/>
  <c r="I359" i="122"/>
  <c r="J358" i="122"/>
  <c r="I358" i="122"/>
  <c r="J357" i="122"/>
  <c r="I357" i="122"/>
  <c r="J356" i="122"/>
  <c r="I356" i="122"/>
  <c r="J355" i="122"/>
  <c r="I355" i="122"/>
  <c r="J354" i="122"/>
  <c r="I354" i="122"/>
  <c r="J353" i="122"/>
  <c r="I353" i="122"/>
  <c r="J352" i="122"/>
  <c r="I352" i="122"/>
  <c r="J351" i="122"/>
  <c r="I351" i="122"/>
  <c r="J350" i="122"/>
  <c r="I350" i="122"/>
  <c r="J349" i="122"/>
  <c r="I349" i="122"/>
  <c r="J348" i="122"/>
  <c r="I348" i="122"/>
  <c r="J347" i="122"/>
  <c r="I347" i="122"/>
  <c r="J346" i="122"/>
  <c r="I346" i="122"/>
  <c r="J345" i="122"/>
  <c r="I345" i="122"/>
  <c r="J344" i="122"/>
  <c r="I344" i="122"/>
  <c r="J343" i="122"/>
  <c r="I343" i="122"/>
  <c r="J342" i="122"/>
  <c r="I342" i="122"/>
  <c r="J341" i="122"/>
  <c r="I341" i="122"/>
  <c r="J340" i="122"/>
  <c r="I340" i="122"/>
  <c r="J339" i="122"/>
  <c r="I339" i="122"/>
  <c r="J338" i="122"/>
  <c r="I338" i="122"/>
  <c r="J337" i="122"/>
  <c r="I337" i="122"/>
  <c r="J336" i="122"/>
  <c r="I336" i="122"/>
  <c r="J335" i="122"/>
  <c r="I335" i="122"/>
  <c r="J334" i="122"/>
  <c r="I334" i="122"/>
  <c r="J333" i="122"/>
  <c r="I333" i="122"/>
  <c r="J332" i="122"/>
  <c r="I332" i="122"/>
  <c r="J331" i="122"/>
  <c r="I331" i="122"/>
  <c r="J330" i="122"/>
  <c r="I330" i="122"/>
  <c r="J329" i="122"/>
  <c r="I329" i="122"/>
  <c r="J328" i="122"/>
  <c r="I328" i="122"/>
  <c r="J327" i="122"/>
  <c r="I327" i="122"/>
  <c r="J326" i="122"/>
  <c r="I326" i="122"/>
  <c r="J325" i="122"/>
  <c r="I325" i="122"/>
  <c r="J324" i="122"/>
  <c r="I324" i="122"/>
  <c r="J323" i="122"/>
  <c r="I323" i="122"/>
  <c r="J322" i="122"/>
  <c r="I322" i="122"/>
  <c r="J321" i="122"/>
  <c r="I321" i="122"/>
  <c r="J320" i="122"/>
  <c r="I320" i="122"/>
  <c r="J319" i="122"/>
  <c r="I319" i="122"/>
  <c r="J318" i="122"/>
  <c r="I318" i="122"/>
  <c r="J317" i="122"/>
  <c r="I317" i="122"/>
  <c r="J316" i="122"/>
  <c r="I316" i="122"/>
  <c r="J315" i="122"/>
  <c r="I315" i="122"/>
  <c r="J314" i="122"/>
  <c r="I314" i="122"/>
  <c r="J313" i="122"/>
  <c r="I313" i="122"/>
  <c r="J312" i="122"/>
  <c r="I312" i="122"/>
  <c r="J311" i="122"/>
  <c r="I311" i="122"/>
  <c r="J310" i="122"/>
  <c r="I310" i="122"/>
  <c r="J309" i="122"/>
  <c r="I309" i="122"/>
  <c r="J308" i="122"/>
  <c r="I308" i="122"/>
  <c r="J307" i="122"/>
  <c r="I307" i="122"/>
  <c r="J306" i="122"/>
  <c r="I306" i="122"/>
  <c r="J305" i="122"/>
  <c r="I305" i="122"/>
  <c r="J304" i="122"/>
  <c r="I304" i="122"/>
  <c r="J303" i="122"/>
  <c r="I303" i="122"/>
  <c r="J302" i="122"/>
  <c r="I302" i="122"/>
  <c r="J301" i="122"/>
  <c r="I301" i="122"/>
  <c r="J300" i="122"/>
  <c r="I300" i="122"/>
  <c r="J299" i="122"/>
  <c r="I299" i="122"/>
  <c r="J298" i="122"/>
  <c r="I298" i="122"/>
  <c r="J297" i="122"/>
  <c r="I297" i="122"/>
  <c r="J296" i="122"/>
  <c r="I296" i="122"/>
  <c r="J295" i="122"/>
  <c r="I295" i="122"/>
  <c r="J294" i="122"/>
  <c r="I294" i="122"/>
  <c r="J293" i="122"/>
  <c r="I293" i="122"/>
  <c r="J292" i="122"/>
  <c r="I292" i="122"/>
  <c r="J291" i="122"/>
  <c r="I291" i="122"/>
  <c r="J290" i="122"/>
  <c r="I290" i="122"/>
  <c r="J289" i="122"/>
  <c r="I289" i="122"/>
  <c r="J288" i="122"/>
  <c r="I288" i="122"/>
  <c r="J287" i="122"/>
  <c r="I287" i="122"/>
  <c r="J286" i="122"/>
  <c r="I286" i="122"/>
  <c r="J285" i="122"/>
  <c r="I285" i="122"/>
  <c r="J284" i="122"/>
  <c r="I284" i="122"/>
  <c r="J283" i="122"/>
  <c r="I283" i="122"/>
  <c r="J282" i="122"/>
  <c r="I282" i="122"/>
  <c r="J281" i="122"/>
  <c r="I281" i="122"/>
  <c r="J280" i="122"/>
  <c r="I280" i="122"/>
  <c r="J279" i="122"/>
  <c r="I279" i="122"/>
  <c r="J278" i="122"/>
  <c r="I278" i="122"/>
  <c r="J277" i="122"/>
  <c r="I277" i="122"/>
  <c r="J276" i="122"/>
  <c r="I276" i="122"/>
  <c r="J275" i="122"/>
  <c r="I275" i="122"/>
  <c r="J274" i="122"/>
  <c r="I274" i="122"/>
  <c r="J273" i="122"/>
  <c r="I273" i="122"/>
  <c r="J272" i="122"/>
  <c r="I272" i="122"/>
  <c r="J271" i="122"/>
  <c r="I271" i="122"/>
  <c r="J270" i="122"/>
  <c r="I270" i="122"/>
  <c r="J269" i="122"/>
  <c r="I269" i="122"/>
  <c r="J268" i="122"/>
  <c r="I268" i="122"/>
  <c r="J267" i="122"/>
  <c r="I267" i="122"/>
  <c r="J266" i="122"/>
  <c r="I266" i="122"/>
  <c r="J265" i="122"/>
  <c r="I265" i="122"/>
  <c r="J264" i="122"/>
  <c r="I264" i="122"/>
  <c r="J263" i="122"/>
  <c r="I263" i="122"/>
  <c r="J262" i="122"/>
  <c r="I262" i="122"/>
  <c r="J261" i="122"/>
  <c r="I261" i="122"/>
  <c r="J260" i="122"/>
  <c r="I260" i="122"/>
  <c r="J259" i="122"/>
  <c r="I259" i="122"/>
  <c r="J258" i="122"/>
  <c r="I258" i="122"/>
  <c r="J257" i="122"/>
  <c r="I257" i="122"/>
  <c r="J256" i="122"/>
  <c r="I256" i="122"/>
  <c r="J255" i="122"/>
  <c r="I255" i="122"/>
  <c r="J254" i="122"/>
  <c r="I254" i="122"/>
  <c r="J253" i="122"/>
  <c r="I253" i="122"/>
  <c r="J252" i="122"/>
  <c r="I252" i="122"/>
  <c r="J251" i="122"/>
  <c r="I251" i="122"/>
  <c r="J250" i="122"/>
  <c r="I250" i="122"/>
  <c r="J249" i="122"/>
  <c r="I249" i="122"/>
  <c r="J248" i="122"/>
  <c r="I248" i="122"/>
  <c r="J247" i="122"/>
  <c r="I247" i="122"/>
  <c r="J246" i="122"/>
  <c r="I246" i="122"/>
  <c r="J245" i="122"/>
  <c r="I245" i="122"/>
  <c r="J244" i="122"/>
  <c r="I244" i="122"/>
  <c r="J243" i="122"/>
  <c r="I243" i="122"/>
  <c r="J242" i="122"/>
  <c r="I242" i="122"/>
  <c r="J241" i="122"/>
  <c r="I241" i="122"/>
  <c r="J240" i="122"/>
  <c r="I240" i="122"/>
  <c r="J239" i="122"/>
  <c r="I239" i="122"/>
  <c r="J238" i="122"/>
  <c r="I238" i="122"/>
  <c r="J237" i="122"/>
  <c r="I237" i="122"/>
  <c r="J236" i="122"/>
  <c r="I236" i="122"/>
  <c r="J235" i="122"/>
  <c r="I235" i="122"/>
  <c r="J234" i="122"/>
  <c r="I234" i="122"/>
  <c r="J233" i="122"/>
  <c r="I233" i="122"/>
  <c r="J232" i="122"/>
  <c r="I232" i="122"/>
  <c r="J231" i="122"/>
  <c r="I231" i="122"/>
  <c r="J230" i="122"/>
  <c r="I230" i="122"/>
  <c r="J229" i="122"/>
  <c r="I229" i="122"/>
  <c r="J228" i="122"/>
  <c r="I228" i="122"/>
  <c r="J227" i="122"/>
  <c r="I227" i="122"/>
  <c r="J226" i="122"/>
  <c r="I226" i="122"/>
  <c r="J225" i="122"/>
  <c r="I225" i="122"/>
  <c r="J224" i="122"/>
  <c r="I224" i="122"/>
  <c r="J223" i="122"/>
  <c r="I223" i="122"/>
  <c r="J222" i="122"/>
  <c r="I222" i="122"/>
  <c r="J221" i="122"/>
  <c r="I221" i="122"/>
  <c r="J220" i="122"/>
  <c r="I220" i="122"/>
  <c r="J219" i="122"/>
  <c r="I219" i="122"/>
  <c r="J218" i="122"/>
  <c r="I218" i="122"/>
  <c r="J217" i="122"/>
  <c r="I217" i="122"/>
  <c r="J216" i="122"/>
  <c r="I216" i="122"/>
  <c r="J215" i="122"/>
  <c r="I215" i="122"/>
  <c r="J214" i="122"/>
  <c r="I214" i="122"/>
  <c r="J213" i="122"/>
  <c r="I213" i="122"/>
  <c r="J212" i="122"/>
  <c r="I212" i="122"/>
  <c r="J211" i="122"/>
  <c r="I211" i="122"/>
  <c r="J210" i="122"/>
  <c r="I210" i="122"/>
  <c r="J209" i="122"/>
  <c r="I209" i="122"/>
  <c r="J208" i="122"/>
  <c r="I208" i="122"/>
  <c r="J207" i="122"/>
  <c r="I207" i="122"/>
  <c r="J206" i="122"/>
  <c r="I206" i="122"/>
  <c r="J205" i="122"/>
  <c r="I205" i="122"/>
  <c r="J204" i="122"/>
  <c r="I204" i="122"/>
  <c r="J203" i="122"/>
  <c r="I203" i="122"/>
  <c r="J202" i="122"/>
  <c r="I202" i="122"/>
  <c r="J201" i="122"/>
  <c r="I201" i="122"/>
  <c r="J200" i="122"/>
  <c r="I200" i="122"/>
  <c r="J199" i="122"/>
  <c r="I199" i="122"/>
  <c r="J198" i="122"/>
  <c r="I198" i="122"/>
  <c r="J197" i="122"/>
  <c r="I197" i="122"/>
  <c r="J196" i="122"/>
  <c r="I196" i="122"/>
  <c r="J195" i="122"/>
  <c r="I195" i="122"/>
  <c r="J194" i="122"/>
  <c r="I194" i="122"/>
  <c r="J193" i="122"/>
  <c r="I193" i="122"/>
  <c r="J192" i="122"/>
  <c r="I192" i="122"/>
  <c r="J191" i="122"/>
  <c r="I191" i="122"/>
  <c r="J190" i="122"/>
  <c r="I190" i="122"/>
  <c r="J189" i="122"/>
  <c r="I189" i="122"/>
  <c r="J188" i="122"/>
  <c r="I188" i="122"/>
  <c r="J187" i="122"/>
  <c r="I187" i="122"/>
  <c r="J186" i="122"/>
  <c r="I186" i="122"/>
  <c r="J185" i="122"/>
  <c r="I185" i="122"/>
  <c r="J184" i="122"/>
  <c r="I184" i="122"/>
  <c r="J183" i="122"/>
  <c r="I183" i="122"/>
  <c r="J182" i="122"/>
  <c r="I182" i="122"/>
  <c r="J181" i="122"/>
  <c r="I181" i="122"/>
  <c r="J180" i="122"/>
  <c r="I180" i="122"/>
  <c r="J179" i="122"/>
  <c r="I179" i="122"/>
  <c r="J178" i="122"/>
  <c r="I178" i="122"/>
  <c r="J177" i="122"/>
  <c r="I177" i="122"/>
  <c r="J176" i="122"/>
  <c r="I176" i="122"/>
  <c r="J175" i="122"/>
  <c r="I175" i="122"/>
  <c r="J174" i="122"/>
  <c r="I174" i="122"/>
  <c r="J173" i="122"/>
  <c r="I173" i="122"/>
  <c r="J172" i="122"/>
  <c r="I172" i="122"/>
  <c r="J171" i="122"/>
  <c r="I171" i="122"/>
  <c r="J170" i="122"/>
  <c r="I170" i="122"/>
  <c r="J169" i="122"/>
  <c r="I169" i="122"/>
  <c r="J168" i="122"/>
  <c r="I168" i="122"/>
  <c r="J167" i="122"/>
  <c r="I167" i="122"/>
  <c r="J166" i="122"/>
  <c r="I166" i="122"/>
  <c r="J165" i="122"/>
  <c r="I165" i="122"/>
  <c r="J164" i="122"/>
  <c r="I164" i="122"/>
  <c r="J163" i="122"/>
  <c r="I163" i="122"/>
  <c r="J162" i="122"/>
  <c r="I162" i="122"/>
  <c r="J161" i="122"/>
  <c r="I161" i="122"/>
  <c r="J160" i="122"/>
  <c r="I160" i="122"/>
  <c r="J159" i="122"/>
  <c r="I159" i="122"/>
  <c r="J158" i="122"/>
  <c r="I158" i="122"/>
  <c r="J157" i="122"/>
  <c r="I157" i="122"/>
  <c r="J156" i="122"/>
  <c r="I156" i="122"/>
  <c r="J155" i="122"/>
  <c r="I155" i="122"/>
  <c r="J154" i="122"/>
  <c r="I154" i="122"/>
  <c r="J153" i="122"/>
  <c r="I153" i="122"/>
  <c r="J152" i="122"/>
  <c r="I152" i="122"/>
  <c r="J151" i="122"/>
  <c r="I151" i="122"/>
  <c r="J150" i="122"/>
  <c r="I150" i="122"/>
  <c r="J149" i="122"/>
  <c r="I149" i="122"/>
  <c r="J148" i="122"/>
  <c r="I148" i="122"/>
  <c r="J147" i="122"/>
  <c r="I147" i="122"/>
  <c r="J146" i="122"/>
  <c r="I146" i="122"/>
  <c r="J145" i="122"/>
  <c r="I145" i="122"/>
  <c r="J144" i="122"/>
  <c r="I144" i="122"/>
  <c r="J143" i="122"/>
  <c r="I143" i="122"/>
  <c r="J142" i="122"/>
  <c r="I142" i="122"/>
  <c r="J141" i="122"/>
  <c r="I141" i="122"/>
  <c r="J140" i="122"/>
  <c r="I140" i="122"/>
  <c r="J139" i="122"/>
  <c r="I139" i="122"/>
  <c r="J138" i="122"/>
  <c r="I138" i="122"/>
  <c r="J137" i="122"/>
  <c r="I137" i="122"/>
  <c r="J136" i="122"/>
  <c r="I136" i="122"/>
  <c r="J135" i="122"/>
  <c r="I135" i="122"/>
  <c r="J134" i="122"/>
  <c r="I134" i="122"/>
  <c r="J133" i="122"/>
  <c r="I133" i="122"/>
  <c r="J132" i="122"/>
  <c r="I132" i="122"/>
  <c r="J131" i="122"/>
  <c r="I131" i="122"/>
  <c r="J130" i="122"/>
  <c r="I130" i="122"/>
  <c r="J129" i="122"/>
  <c r="I129" i="122"/>
  <c r="J128" i="122"/>
  <c r="I128" i="122"/>
  <c r="J127" i="122"/>
  <c r="I127" i="122"/>
  <c r="J126" i="122"/>
  <c r="I126" i="122"/>
  <c r="J125" i="122"/>
  <c r="I125" i="122"/>
  <c r="J124" i="122"/>
  <c r="I124" i="122"/>
  <c r="J123" i="122"/>
  <c r="I123" i="122"/>
  <c r="J122" i="122"/>
  <c r="I122" i="122"/>
  <c r="J121" i="122"/>
  <c r="I121" i="122"/>
  <c r="J120" i="122"/>
  <c r="I120" i="122"/>
  <c r="J119" i="122"/>
  <c r="I119" i="122"/>
  <c r="J118" i="122"/>
  <c r="I118" i="122"/>
  <c r="J117" i="122"/>
  <c r="I117" i="122"/>
  <c r="J116" i="122"/>
  <c r="I116" i="122"/>
  <c r="J115" i="122"/>
  <c r="I115" i="122"/>
  <c r="J114" i="122"/>
  <c r="I114" i="122"/>
  <c r="J113" i="122"/>
  <c r="I113" i="122"/>
  <c r="J112" i="122"/>
  <c r="I112" i="122"/>
  <c r="J111" i="122"/>
  <c r="I111" i="122"/>
  <c r="J110" i="122"/>
  <c r="I110" i="122"/>
  <c r="J109" i="122"/>
  <c r="I109" i="122"/>
  <c r="J108" i="122"/>
  <c r="I108" i="122"/>
  <c r="J107" i="122"/>
  <c r="I107" i="122"/>
  <c r="J106" i="122"/>
  <c r="I106" i="122"/>
  <c r="J105" i="122"/>
  <c r="I105" i="122"/>
  <c r="J104" i="122"/>
  <c r="I104" i="122"/>
  <c r="J103" i="122"/>
  <c r="I103" i="122"/>
  <c r="J102" i="122"/>
  <c r="I102" i="122"/>
  <c r="J101" i="122"/>
  <c r="I101" i="122"/>
  <c r="J100" i="122"/>
  <c r="I100" i="122"/>
  <c r="J99" i="122"/>
  <c r="I99" i="122"/>
  <c r="J98" i="122"/>
  <c r="I98" i="122"/>
  <c r="J97" i="122"/>
  <c r="I97" i="122"/>
  <c r="J96" i="122"/>
  <c r="I96" i="122"/>
  <c r="J95" i="122"/>
  <c r="I95" i="122"/>
  <c r="J94" i="122"/>
  <c r="I94" i="122"/>
  <c r="J93" i="122"/>
  <c r="I93" i="122"/>
  <c r="J92" i="122"/>
  <c r="I92" i="122"/>
  <c r="J91" i="122"/>
  <c r="I91" i="122"/>
  <c r="J90" i="122"/>
  <c r="I90" i="122"/>
  <c r="J89" i="122"/>
  <c r="I89" i="122"/>
  <c r="J88" i="122"/>
  <c r="I88" i="122"/>
  <c r="J87" i="122"/>
  <c r="I87" i="122"/>
  <c r="J86" i="122"/>
  <c r="I86" i="122"/>
  <c r="J85" i="122"/>
  <c r="I85" i="122"/>
  <c r="J84" i="122"/>
  <c r="I84" i="122"/>
  <c r="J83" i="122"/>
  <c r="I83" i="122"/>
  <c r="J82" i="122"/>
  <c r="I82" i="122"/>
  <c r="J81" i="122"/>
  <c r="I81" i="122"/>
  <c r="J80" i="122"/>
  <c r="I80" i="122"/>
  <c r="J79" i="122"/>
  <c r="I79" i="122"/>
  <c r="J78" i="122"/>
  <c r="I78" i="122"/>
  <c r="J77" i="122"/>
  <c r="I77" i="122"/>
  <c r="J76" i="122"/>
  <c r="I76" i="122"/>
  <c r="J75" i="122"/>
  <c r="I75" i="122"/>
  <c r="J74" i="122"/>
  <c r="I74" i="122"/>
  <c r="J73" i="122"/>
  <c r="I73" i="122"/>
  <c r="J72" i="122"/>
  <c r="I72" i="122"/>
  <c r="J71" i="122"/>
  <c r="I71" i="122"/>
  <c r="J70" i="122"/>
  <c r="I70" i="122"/>
  <c r="J69" i="122"/>
  <c r="I69" i="122"/>
  <c r="J68" i="122"/>
  <c r="I68" i="122"/>
  <c r="J67" i="122"/>
  <c r="I67" i="122"/>
  <c r="J66" i="122"/>
  <c r="I66" i="122"/>
  <c r="J65" i="122"/>
  <c r="I65" i="122"/>
  <c r="J64" i="122"/>
  <c r="I64" i="122"/>
  <c r="J63" i="122"/>
  <c r="I63" i="122"/>
  <c r="J62" i="122"/>
  <c r="I62" i="122"/>
  <c r="J61" i="122"/>
  <c r="I61" i="122"/>
  <c r="J60" i="122"/>
  <c r="I60" i="122"/>
  <c r="J59" i="122"/>
  <c r="I59" i="122"/>
  <c r="J58" i="122"/>
  <c r="I58" i="122"/>
  <c r="J57" i="122"/>
  <c r="I57" i="122"/>
  <c r="J56" i="122"/>
  <c r="I56" i="122"/>
  <c r="J55" i="122"/>
  <c r="I55" i="122"/>
  <c r="J54" i="122"/>
  <c r="I54" i="122"/>
  <c r="J53" i="122"/>
  <c r="I53" i="122"/>
  <c r="J52" i="122"/>
  <c r="I52" i="122"/>
  <c r="J51" i="122"/>
  <c r="I51" i="122"/>
  <c r="J50" i="122"/>
  <c r="I50" i="122"/>
  <c r="J49" i="122"/>
  <c r="I49" i="122"/>
  <c r="J48" i="122"/>
  <c r="I48" i="122"/>
  <c r="J47" i="122"/>
  <c r="I47" i="122"/>
  <c r="J46" i="122"/>
  <c r="I46" i="122"/>
  <c r="J45" i="122"/>
  <c r="I45" i="122"/>
  <c r="J44" i="122"/>
  <c r="I44" i="122"/>
  <c r="J43" i="122"/>
  <c r="I43" i="122"/>
  <c r="J42" i="122"/>
  <c r="I42" i="122"/>
  <c r="J41" i="122"/>
  <c r="I41" i="122"/>
  <c r="J40" i="122"/>
  <c r="I40" i="122"/>
  <c r="J39" i="122"/>
  <c r="I39" i="122"/>
  <c r="J38" i="122"/>
  <c r="I38" i="122"/>
  <c r="J37" i="122"/>
  <c r="I37" i="122"/>
  <c r="J36" i="122"/>
  <c r="I36" i="122"/>
  <c r="J35" i="122"/>
  <c r="I35" i="122"/>
  <c r="J34" i="122"/>
  <c r="I34" i="122"/>
  <c r="J33" i="122"/>
  <c r="I33" i="122"/>
  <c r="J32" i="122"/>
  <c r="I32" i="122"/>
  <c r="J31" i="122"/>
  <c r="I31" i="122"/>
  <c r="J30" i="122"/>
  <c r="I30" i="122"/>
  <c r="J29" i="122"/>
  <c r="I29" i="122"/>
  <c r="J28" i="122"/>
  <c r="I28" i="122"/>
  <c r="J27" i="122"/>
  <c r="I27" i="122"/>
  <c r="J26" i="122"/>
  <c r="I26" i="122"/>
  <c r="J25" i="122"/>
  <c r="I25" i="122"/>
  <c r="J24" i="122"/>
  <c r="I24" i="122"/>
  <c r="J23" i="122"/>
  <c r="I23" i="122"/>
  <c r="J22" i="122"/>
  <c r="I22" i="122"/>
  <c r="J21" i="122"/>
  <c r="I21" i="122"/>
  <c r="J20" i="122"/>
  <c r="I20" i="122"/>
  <c r="J19" i="122"/>
  <c r="I19" i="122"/>
  <c r="J18" i="122"/>
  <c r="I18" i="122"/>
  <c r="J17" i="122"/>
  <c r="I17" i="122"/>
  <c r="J16" i="122"/>
  <c r="I16" i="122"/>
  <c r="J15" i="122"/>
  <c r="I15" i="122"/>
  <c r="J14" i="122"/>
  <c r="I14" i="122"/>
  <c r="J13" i="122"/>
  <c r="I13" i="122"/>
  <c r="J12" i="122"/>
  <c r="I12" i="122"/>
  <c r="J11" i="122"/>
  <c r="I11" i="122"/>
  <c r="J10" i="122"/>
  <c r="I10" i="122"/>
  <c r="J9" i="122"/>
  <c r="I9" i="122"/>
  <c r="J8" i="122"/>
  <c r="I8" i="122"/>
  <c r="J7" i="122"/>
  <c r="I7" i="122"/>
  <c r="J6" i="122"/>
  <c r="I6" i="122"/>
  <c r="J5" i="122"/>
  <c r="I5" i="122"/>
  <c r="J4" i="122"/>
  <c r="I4" i="122"/>
  <c r="J3" i="122"/>
  <c r="I3" i="122"/>
  <c r="I2" i="122"/>
  <c r="J390" i="121"/>
  <c r="I390" i="121"/>
  <c r="J389" i="121"/>
  <c r="I389" i="121"/>
  <c r="J388" i="121"/>
  <c r="I388" i="121"/>
  <c r="J387" i="121"/>
  <c r="I387" i="121"/>
  <c r="J386" i="121"/>
  <c r="I386" i="121"/>
  <c r="J385" i="121"/>
  <c r="I385" i="121"/>
  <c r="J384" i="121"/>
  <c r="I384" i="121"/>
  <c r="J383" i="121"/>
  <c r="I383" i="121"/>
  <c r="J382" i="121"/>
  <c r="I382" i="121"/>
  <c r="J381" i="121"/>
  <c r="I381" i="121"/>
  <c r="J380" i="121"/>
  <c r="I380" i="121"/>
  <c r="J379" i="121"/>
  <c r="I379" i="121"/>
  <c r="J378" i="121"/>
  <c r="I378" i="121"/>
  <c r="J377" i="121"/>
  <c r="I377" i="121"/>
  <c r="J376" i="121"/>
  <c r="I376" i="121"/>
  <c r="J375" i="121"/>
  <c r="I375" i="121"/>
  <c r="J374" i="121"/>
  <c r="I374" i="121"/>
  <c r="J373" i="121"/>
  <c r="I373" i="121"/>
  <c r="J372" i="121"/>
  <c r="I372" i="121"/>
  <c r="J371" i="121"/>
  <c r="I371" i="121"/>
  <c r="J370" i="121"/>
  <c r="I370" i="121"/>
  <c r="J369" i="121"/>
  <c r="I369" i="121"/>
  <c r="J368" i="121"/>
  <c r="I368" i="121"/>
  <c r="J367" i="121"/>
  <c r="I367" i="121"/>
  <c r="J366" i="121"/>
  <c r="I366" i="121"/>
  <c r="J365" i="121"/>
  <c r="I365" i="121"/>
  <c r="J364" i="121"/>
  <c r="I364" i="121"/>
  <c r="J363" i="121"/>
  <c r="I363" i="121"/>
  <c r="J362" i="121"/>
  <c r="I362" i="121"/>
  <c r="J361" i="121"/>
  <c r="I361" i="121"/>
  <c r="J360" i="121"/>
  <c r="I360" i="121"/>
  <c r="J359" i="121"/>
  <c r="I359" i="121"/>
  <c r="J358" i="121"/>
  <c r="I358" i="121"/>
  <c r="J357" i="121"/>
  <c r="I357" i="121"/>
  <c r="J356" i="121"/>
  <c r="I356" i="121"/>
  <c r="J355" i="121"/>
  <c r="I355" i="121"/>
  <c r="J354" i="121"/>
  <c r="I354" i="121"/>
  <c r="J353" i="121"/>
  <c r="I353" i="121"/>
  <c r="J352" i="121"/>
  <c r="I352" i="121"/>
  <c r="J351" i="121"/>
  <c r="I351" i="121"/>
  <c r="J350" i="121"/>
  <c r="I350" i="121"/>
  <c r="J349" i="121"/>
  <c r="I349" i="121"/>
  <c r="J348" i="121"/>
  <c r="I348" i="121"/>
  <c r="J347" i="121"/>
  <c r="I347" i="121"/>
  <c r="J346" i="121"/>
  <c r="I346" i="121"/>
  <c r="J345" i="121"/>
  <c r="I345" i="121"/>
  <c r="J344" i="121"/>
  <c r="I344" i="121"/>
  <c r="J343" i="121"/>
  <c r="I343" i="121"/>
  <c r="J342" i="121"/>
  <c r="I342" i="121"/>
  <c r="J341" i="121"/>
  <c r="I341" i="121"/>
  <c r="J340" i="121"/>
  <c r="I340" i="121"/>
  <c r="J339" i="121"/>
  <c r="I339" i="121"/>
  <c r="J338" i="121"/>
  <c r="I338" i="121"/>
  <c r="J337" i="121"/>
  <c r="I337" i="121"/>
  <c r="J336" i="121"/>
  <c r="I336" i="121"/>
  <c r="J335" i="121"/>
  <c r="I335" i="121"/>
  <c r="J334" i="121"/>
  <c r="I334" i="121"/>
  <c r="J333" i="121"/>
  <c r="I333" i="121"/>
  <c r="J332" i="121"/>
  <c r="I332" i="121"/>
  <c r="J331" i="121"/>
  <c r="I331" i="121"/>
  <c r="J330" i="121"/>
  <c r="I330" i="121"/>
  <c r="J329" i="121"/>
  <c r="I329" i="121"/>
  <c r="J328" i="121"/>
  <c r="I328" i="121"/>
  <c r="J327" i="121"/>
  <c r="I327" i="121"/>
  <c r="J326" i="121"/>
  <c r="I326" i="121"/>
  <c r="J325" i="121"/>
  <c r="I325" i="121"/>
  <c r="J324" i="121"/>
  <c r="I324" i="121"/>
  <c r="J323" i="121"/>
  <c r="I323" i="121"/>
  <c r="J322" i="121"/>
  <c r="I322" i="121"/>
  <c r="J321" i="121"/>
  <c r="I321" i="121"/>
  <c r="J320" i="121"/>
  <c r="I320" i="121"/>
  <c r="J319" i="121"/>
  <c r="I319" i="121"/>
  <c r="J318" i="121"/>
  <c r="I318" i="121"/>
  <c r="J317" i="121"/>
  <c r="I317" i="121"/>
  <c r="J316" i="121"/>
  <c r="I316" i="121"/>
  <c r="J315" i="121"/>
  <c r="I315" i="121"/>
  <c r="J314" i="121"/>
  <c r="I314" i="121"/>
  <c r="J313" i="121"/>
  <c r="I313" i="121"/>
  <c r="J312" i="121"/>
  <c r="I312" i="121"/>
  <c r="J311" i="121"/>
  <c r="I311" i="121"/>
  <c r="J310" i="121"/>
  <c r="I310" i="121"/>
  <c r="J309" i="121"/>
  <c r="I309" i="121"/>
  <c r="J308" i="121"/>
  <c r="I308" i="121"/>
  <c r="J307" i="121"/>
  <c r="I307" i="121"/>
  <c r="J306" i="121"/>
  <c r="I306" i="121"/>
  <c r="J305" i="121"/>
  <c r="I305" i="121"/>
  <c r="J304" i="121"/>
  <c r="I304" i="121"/>
  <c r="J303" i="121"/>
  <c r="I303" i="121"/>
  <c r="J302" i="121"/>
  <c r="I302" i="121"/>
  <c r="J301" i="121"/>
  <c r="I301" i="121"/>
  <c r="J300" i="121"/>
  <c r="I300" i="121"/>
  <c r="J299" i="121"/>
  <c r="I299" i="121"/>
  <c r="J298" i="121"/>
  <c r="I298" i="121"/>
  <c r="J297" i="121"/>
  <c r="I297" i="121"/>
  <c r="J296" i="121"/>
  <c r="I296" i="121"/>
  <c r="J295" i="121"/>
  <c r="I295" i="121"/>
  <c r="J294" i="121"/>
  <c r="I294" i="121"/>
  <c r="J293" i="121"/>
  <c r="I293" i="121"/>
  <c r="J292" i="121"/>
  <c r="I292" i="121"/>
  <c r="J291" i="121"/>
  <c r="I291" i="121"/>
  <c r="J290" i="121"/>
  <c r="I290" i="121"/>
  <c r="J289" i="121"/>
  <c r="I289" i="121"/>
  <c r="J288" i="121"/>
  <c r="I288" i="121"/>
  <c r="J287" i="121"/>
  <c r="I287" i="121"/>
  <c r="J286" i="121"/>
  <c r="I286" i="121"/>
  <c r="J285" i="121"/>
  <c r="I285" i="121"/>
  <c r="J284" i="121"/>
  <c r="I284" i="121"/>
  <c r="J283" i="121"/>
  <c r="I283" i="121"/>
  <c r="J282" i="121"/>
  <c r="I282" i="121"/>
  <c r="J281" i="121"/>
  <c r="I281" i="121"/>
  <c r="J280" i="121"/>
  <c r="I280" i="121"/>
  <c r="J279" i="121"/>
  <c r="I279" i="121"/>
  <c r="J278" i="121"/>
  <c r="I278" i="121"/>
  <c r="J277" i="121"/>
  <c r="I277" i="121"/>
  <c r="J276" i="121"/>
  <c r="I276" i="121"/>
  <c r="J275" i="121"/>
  <c r="I275" i="121"/>
  <c r="J274" i="121"/>
  <c r="I274" i="121"/>
  <c r="J273" i="121"/>
  <c r="I273" i="121"/>
  <c r="J272" i="121"/>
  <c r="I272" i="121"/>
  <c r="J271" i="121"/>
  <c r="I271" i="121"/>
  <c r="J270" i="121"/>
  <c r="I270" i="121"/>
  <c r="J269" i="121"/>
  <c r="I269" i="121"/>
  <c r="J268" i="121"/>
  <c r="I268" i="121"/>
  <c r="J267" i="121"/>
  <c r="I267" i="121"/>
  <c r="J266" i="121"/>
  <c r="I266" i="121"/>
  <c r="J265" i="121"/>
  <c r="I265" i="121"/>
  <c r="J264" i="121"/>
  <c r="I264" i="121"/>
  <c r="J263" i="121"/>
  <c r="I263" i="121"/>
  <c r="J262" i="121"/>
  <c r="I262" i="121"/>
  <c r="J261" i="121"/>
  <c r="I261" i="121"/>
  <c r="J260" i="121"/>
  <c r="I260" i="121"/>
  <c r="J259" i="121"/>
  <c r="I259" i="121"/>
  <c r="J258" i="121"/>
  <c r="I258" i="121"/>
  <c r="J257" i="121"/>
  <c r="I257" i="121"/>
  <c r="J256" i="121"/>
  <c r="I256" i="121"/>
  <c r="J255" i="121"/>
  <c r="I255" i="121"/>
  <c r="J254" i="121"/>
  <c r="I254" i="121"/>
  <c r="J253" i="121"/>
  <c r="I253" i="121"/>
  <c r="J252" i="121"/>
  <c r="I252" i="121"/>
  <c r="J251" i="121"/>
  <c r="I251" i="121"/>
  <c r="J250" i="121"/>
  <c r="I250" i="121"/>
  <c r="J249" i="121"/>
  <c r="I249" i="121"/>
  <c r="J248" i="121"/>
  <c r="I248" i="121"/>
  <c r="J247" i="121"/>
  <c r="I247" i="121"/>
  <c r="J246" i="121"/>
  <c r="I246" i="121"/>
  <c r="J245" i="121"/>
  <c r="I245" i="121"/>
  <c r="J244" i="121"/>
  <c r="I244" i="121"/>
  <c r="J243" i="121"/>
  <c r="I243" i="121"/>
  <c r="J242" i="121"/>
  <c r="I242" i="121"/>
  <c r="J241" i="121"/>
  <c r="I241" i="121"/>
  <c r="J240" i="121"/>
  <c r="I240" i="121"/>
  <c r="J239" i="121"/>
  <c r="I239" i="121"/>
  <c r="J238" i="121"/>
  <c r="I238" i="121"/>
  <c r="J237" i="121"/>
  <c r="I237" i="121"/>
  <c r="J236" i="121"/>
  <c r="I236" i="121"/>
  <c r="J235" i="121"/>
  <c r="I235" i="121"/>
  <c r="J234" i="121"/>
  <c r="I234" i="121"/>
  <c r="J233" i="121"/>
  <c r="I233" i="121"/>
  <c r="J232" i="121"/>
  <c r="I232" i="121"/>
  <c r="J231" i="121"/>
  <c r="I231" i="121"/>
  <c r="J230" i="121"/>
  <c r="I230" i="121"/>
  <c r="J229" i="121"/>
  <c r="I229" i="121"/>
  <c r="J228" i="121"/>
  <c r="I228" i="121"/>
  <c r="J227" i="121"/>
  <c r="I227" i="121"/>
  <c r="J226" i="121"/>
  <c r="I226" i="121"/>
  <c r="J225" i="121"/>
  <c r="I225" i="121"/>
  <c r="J224" i="121"/>
  <c r="I224" i="121"/>
  <c r="J223" i="121"/>
  <c r="I223" i="121"/>
  <c r="J222" i="121"/>
  <c r="I222" i="121"/>
  <c r="J221" i="121"/>
  <c r="I221" i="121"/>
  <c r="J220" i="121"/>
  <c r="I220" i="121"/>
  <c r="J219" i="121"/>
  <c r="I219" i="121"/>
  <c r="J218" i="121"/>
  <c r="I218" i="121"/>
  <c r="J217" i="121"/>
  <c r="I217" i="121"/>
  <c r="J216" i="121"/>
  <c r="I216" i="121"/>
  <c r="J215" i="121"/>
  <c r="I215" i="121"/>
  <c r="J214" i="121"/>
  <c r="I214" i="121"/>
  <c r="J213" i="121"/>
  <c r="I213" i="121"/>
  <c r="J212" i="121"/>
  <c r="I212" i="121"/>
  <c r="J211" i="121"/>
  <c r="I211" i="121"/>
  <c r="J210" i="121"/>
  <c r="I210" i="121"/>
  <c r="J209" i="121"/>
  <c r="I209" i="121"/>
  <c r="J208" i="121"/>
  <c r="I208" i="121"/>
  <c r="J207" i="121"/>
  <c r="I207" i="121"/>
  <c r="J206" i="121"/>
  <c r="I206" i="121"/>
  <c r="J205" i="121"/>
  <c r="I205" i="121"/>
  <c r="J204" i="121"/>
  <c r="I204" i="121"/>
  <c r="J203" i="121"/>
  <c r="I203" i="121"/>
  <c r="J202" i="121"/>
  <c r="I202" i="121"/>
  <c r="J201" i="121"/>
  <c r="I201" i="121"/>
  <c r="J200" i="121"/>
  <c r="I200" i="121"/>
  <c r="J199" i="121"/>
  <c r="I199" i="121"/>
  <c r="J198" i="121"/>
  <c r="I198" i="121"/>
  <c r="J197" i="121"/>
  <c r="I197" i="121"/>
  <c r="J196" i="121"/>
  <c r="I196" i="121"/>
  <c r="J195" i="121"/>
  <c r="I195" i="121"/>
  <c r="J194" i="121"/>
  <c r="I194" i="121"/>
  <c r="J193" i="121"/>
  <c r="I193" i="121"/>
  <c r="J192" i="121"/>
  <c r="I192" i="121"/>
  <c r="J191" i="121"/>
  <c r="I191" i="121"/>
  <c r="J190" i="121"/>
  <c r="I190" i="121"/>
  <c r="J189" i="121"/>
  <c r="I189" i="121"/>
  <c r="J188" i="121"/>
  <c r="I188" i="121"/>
  <c r="J187" i="121"/>
  <c r="I187" i="121"/>
  <c r="J186" i="121"/>
  <c r="I186" i="121"/>
  <c r="J185" i="121"/>
  <c r="I185" i="121"/>
  <c r="J184" i="121"/>
  <c r="I184" i="121"/>
  <c r="J183" i="121"/>
  <c r="I183" i="121"/>
  <c r="J182" i="121"/>
  <c r="I182" i="121"/>
  <c r="J181" i="121"/>
  <c r="I181" i="121"/>
  <c r="J180" i="121"/>
  <c r="I180" i="121"/>
  <c r="J179" i="121"/>
  <c r="I179" i="121"/>
  <c r="J178" i="121"/>
  <c r="I178" i="121"/>
  <c r="J177" i="121"/>
  <c r="I177" i="121"/>
  <c r="J176" i="121"/>
  <c r="I176" i="121"/>
  <c r="J175" i="121"/>
  <c r="I175" i="121"/>
  <c r="J174" i="121"/>
  <c r="I174" i="121"/>
  <c r="J173" i="121"/>
  <c r="I173" i="121"/>
  <c r="J172" i="121"/>
  <c r="I172" i="121"/>
  <c r="J171" i="121"/>
  <c r="I171" i="121"/>
  <c r="J170" i="121"/>
  <c r="I170" i="121"/>
  <c r="J169" i="121"/>
  <c r="I169" i="121"/>
  <c r="J168" i="121"/>
  <c r="I168" i="121"/>
  <c r="J167" i="121"/>
  <c r="I167" i="121"/>
  <c r="J166" i="121"/>
  <c r="I166" i="121"/>
  <c r="J165" i="121"/>
  <c r="I165" i="121"/>
  <c r="J164" i="121"/>
  <c r="I164" i="121"/>
  <c r="J163" i="121"/>
  <c r="I163" i="121"/>
  <c r="J162" i="121"/>
  <c r="I162" i="121"/>
  <c r="J161" i="121"/>
  <c r="I161" i="121"/>
  <c r="J160" i="121"/>
  <c r="I160" i="121"/>
  <c r="J159" i="121"/>
  <c r="I159" i="121"/>
  <c r="J158" i="121"/>
  <c r="I158" i="121"/>
  <c r="J157" i="121"/>
  <c r="I157" i="121"/>
  <c r="J156" i="121"/>
  <c r="I156" i="121"/>
  <c r="J155" i="121"/>
  <c r="I155" i="121"/>
  <c r="J154" i="121"/>
  <c r="I154" i="121"/>
  <c r="J153" i="121"/>
  <c r="I153" i="121"/>
  <c r="J152" i="121"/>
  <c r="I152" i="121"/>
  <c r="J151" i="121"/>
  <c r="I151" i="121"/>
  <c r="J150" i="121"/>
  <c r="I150" i="121"/>
  <c r="J149" i="121"/>
  <c r="I149" i="121"/>
  <c r="J148" i="121"/>
  <c r="I148" i="121"/>
  <c r="J147" i="121"/>
  <c r="I147" i="121"/>
  <c r="J146" i="121"/>
  <c r="I146" i="121"/>
  <c r="J145" i="121"/>
  <c r="I145" i="121"/>
  <c r="J144" i="121"/>
  <c r="I144" i="121"/>
  <c r="J143" i="121"/>
  <c r="I143" i="121"/>
  <c r="J142" i="121"/>
  <c r="I142" i="121"/>
  <c r="J141" i="121"/>
  <c r="I141" i="121"/>
  <c r="J140" i="121"/>
  <c r="I140" i="121"/>
  <c r="J139" i="121"/>
  <c r="I139" i="121"/>
  <c r="J138" i="121"/>
  <c r="I138" i="121"/>
  <c r="J137" i="121"/>
  <c r="I137" i="121"/>
  <c r="J136" i="121"/>
  <c r="I136" i="121"/>
  <c r="J135" i="121"/>
  <c r="I135" i="121"/>
  <c r="J134" i="121"/>
  <c r="I134" i="121"/>
  <c r="J133" i="121"/>
  <c r="I133" i="121"/>
  <c r="J132" i="121"/>
  <c r="I132" i="121"/>
  <c r="J131" i="121"/>
  <c r="I131" i="121"/>
  <c r="J130" i="121"/>
  <c r="I130" i="121"/>
  <c r="J129" i="121"/>
  <c r="I129" i="121"/>
  <c r="J128" i="121"/>
  <c r="I128" i="121"/>
  <c r="J127" i="121"/>
  <c r="I127" i="121"/>
  <c r="J126" i="121"/>
  <c r="I126" i="121"/>
  <c r="J125" i="121"/>
  <c r="I125" i="121"/>
  <c r="J124" i="121"/>
  <c r="I124" i="121"/>
  <c r="J123" i="121"/>
  <c r="I123" i="121"/>
  <c r="J122" i="121"/>
  <c r="I122" i="121"/>
  <c r="J121" i="121"/>
  <c r="I121" i="121"/>
  <c r="J120" i="121"/>
  <c r="I120" i="121"/>
  <c r="J119" i="121"/>
  <c r="I119" i="121"/>
  <c r="J118" i="121"/>
  <c r="I118" i="121"/>
  <c r="J117" i="121"/>
  <c r="I117" i="121"/>
  <c r="J116" i="121"/>
  <c r="I116" i="121"/>
  <c r="J115" i="121"/>
  <c r="I115" i="121"/>
  <c r="J114" i="121"/>
  <c r="I114" i="121"/>
  <c r="J113" i="121"/>
  <c r="I113" i="121"/>
  <c r="J112" i="121"/>
  <c r="I112" i="121"/>
  <c r="J111" i="121"/>
  <c r="I111" i="121"/>
  <c r="J110" i="121"/>
  <c r="I110" i="121"/>
  <c r="J109" i="121"/>
  <c r="I109" i="121"/>
  <c r="J108" i="121"/>
  <c r="I108" i="121"/>
  <c r="J107" i="121"/>
  <c r="I107" i="121"/>
  <c r="J106" i="121"/>
  <c r="I106" i="121"/>
  <c r="J105" i="121"/>
  <c r="I105" i="121"/>
  <c r="J104" i="121"/>
  <c r="I104" i="121"/>
  <c r="J103" i="121"/>
  <c r="I103" i="121"/>
  <c r="J102" i="121"/>
  <c r="I102" i="121"/>
  <c r="J101" i="121"/>
  <c r="I101" i="121"/>
  <c r="J100" i="121"/>
  <c r="I100" i="121"/>
  <c r="J99" i="121"/>
  <c r="I99" i="121"/>
  <c r="J98" i="121"/>
  <c r="I98" i="121"/>
  <c r="J97" i="121"/>
  <c r="I97" i="121"/>
  <c r="J96" i="121"/>
  <c r="I96" i="121"/>
  <c r="J95" i="121"/>
  <c r="I95" i="121"/>
  <c r="J94" i="121"/>
  <c r="I94" i="121"/>
  <c r="J93" i="121"/>
  <c r="I93" i="121"/>
  <c r="J92" i="121"/>
  <c r="I92" i="121"/>
  <c r="J91" i="121"/>
  <c r="I91" i="121"/>
  <c r="J90" i="121"/>
  <c r="I90" i="121"/>
  <c r="J89" i="121"/>
  <c r="I89" i="121"/>
  <c r="J88" i="121"/>
  <c r="I88" i="121"/>
  <c r="J87" i="121"/>
  <c r="I87" i="121"/>
  <c r="J86" i="121"/>
  <c r="I86" i="121"/>
  <c r="J85" i="121"/>
  <c r="I85" i="121"/>
  <c r="J84" i="121"/>
  <c r="I84" i="121"/>
  <c r="J83" i="121"/>
  <c r="I83" i="121"/>
  <c r="J82" i="121"/>
  <c r="I82" i="121"/>
  <c r="J81" i="121"/>
  <c r="I81" i="121"/>
  <c r="J80" i="121"/>
  <c r="I80" i="121"/>
  <c r="J79" i="121"/>
  <c r="I79" i="121"/>
  <c r="J78" i="121"/>
  <c r="I78" i="121"/>
  <c r="J77" i="121"/>
  <c r="I77" i="121"/>
  <c r="J76" i="121"/>
  <c r="I76" i="121"/>
  <c r="J75" i="121"/>
  <c r="I75" i="121"/>
  <c r="J74" i="121"/>
  <c r="I74" i="121"/>
  <c r="J73" i="121"/>
  <c r="I73" i="121"/>
  <c r="J72" i="121"/>
  <c r="I72" i="121"/>
  <c r="J71" i="121"/>
  <c r="I71" i="121"/>
  <c r="J70" i="121"/>
  <c r="I70" i="121"/>
  <c r="J69" i="121"/>
  <c r="I69" i="121"/>
  <c r="J68" i="121"/>
  <c r="I68" i="121"/>
  <c r="J67" i="121"/>
  <c r="I67" i="121"/>
  <c r="J66" i="121"/>
  <c r="I66" i="121"/>
  <c r="J65" i="121"/>
  <c r="I65" i="121"/>
  <c r="J64" i="121"/>
  <c r="I64" i="121"/>
  <c r="J63" i="121"/>
  <c r="I63" i="121"/>
  <c r="J62" i="121"/>
  <c r="I62" i="121"/>
  <c r="J61" i="121"/>
  <c r="I61" i="121"/>
  <c r="J60" i="121"/>
  <c r="I60" i="121"/>
  <c r="J59" i="121"/>
  <c r="I59" i="121"/>
  <c r="J58" i="121"/>
  <c r="I58" i="121"/>
  <c r="J57" i="121"/>
  <c r="I57" i="121"/>
  <c r="J56" i="121"/>
  <c r="I56" i="121"/>
  <c r="J55" i="121"/>
  <c r="I55" i="121"/>
  <c r="J54" i="121"/>
  <c r="I54" i="121"/>
  <c r="J53" i="121"/>
  <c r="I53" i="121"/>
  <c r="J52" i="121"/>
  <c r="I52" i="121"/>
  <c r="J51" i="121"/>
  <c r="I51" i="121"/>
  <c r="J50" i="121"/>
  <c r="I50" i="121"/>
  <c r="J49" i="121"/>
  <c r="I49" i="121"/>
  <c r="J48" i="121"/>
  <c r="I48" i="121"/>
  <c r="J47" i="121"/>
  <c r="I47" i="121"/>
  <c r="J46" i="121"/>
  <c r="I46" i="121"/>
  <c r="J45" i="121"/>
  <c r="I45" i="121"/>
  <c r="J44" i="121"/>
  <c r="I44" i="121"/>
  <c r="J43" i="121"/>
  <c r="I43" i="121"/>
  <c r="J42" i="121"/>
  <c r="I42" i="121"/>
  <c r="J41" i="121"/>
  <c r="I41" i="121"/>
  <c r="J40" i="121"/>
  <c r="I40" i="121"/>
  <c r="J39" i="121"/>
  <c r="I39" i="121"/>
  <c r="J38" i="121"/>
  <c r="I38" i="121"/>
  <c r="J37" i="121"/>
  <c r="I37" i="121"/>
  <c r="J36" i="121"/>
  <c r="I36" i="121"/>
  <c r="J35" i="121"/>
  <c r="I35" i="121"/>
  <c r="J34" i="121"/>
  <c r="I34" i="121"/>
  <c r="J33" i="121"/>
  <c r="I33" i="121"/>
  <c r="J32" i="121"/>
  <c r="I32" i="121"/>
  <c r="J31" i="121"/>
  <c r="I31" i="121"/>
  <c r="J30" i="121"/>
  <c r="I30" i="121"/>
  <c r="J29" i="121"/>
  <c r="I29" i="121"/>
  <c r="J28" i="121"/>
  <c r="I28" i="121"/>
  <c r="J27" i="121"/>
  <c r="I27" i="121"/>
  <c r="J26" i="121"/>
  <c r="I26" i="121"/>
  <c r="J25" i="121"/>
  <c r="I25" i="121"/>
  <c r="J24" i="121"/>
  <c r="I24" i="121"/>
  <c r="J23" i="121"/>
  <c r="I23" i="121"/>
  <c r="J22" i="121"/>
  <c r="I22" i="121"/>
  <c r="J21" i="121"/>
  <c r="I21" i="121"/>
  <c r="J20" i="121"/>
  <c r="I20" i="121"/>
  <c r="J19" i="121"/>
  <c r="I19" i="121"/>
  <c r="J18" i="121"/>
  <c r="I18" i="121"/>
  <c r="J17" i="121"/>
  <c r="I17" i="121"/>
  <c r="J16" i="121"/>
  <c r="I16" i="121"/>
  <c r="J15" i="121"/>
  <c r="I15" i="121"/>
  <c r="J14" i="121"/>
  <c r="I14" i="121"/>
  <c r="J13" i="121"/>
  <c r="I13" i="121"/>
  <c r="J12" i="121"/>
  <c r="I12" i="121"/>
  <c r="J11" i="121"/>
  <c r="I11" i="121"/>
  <c r="J10" i="121"/>
  <c r="I10" i="121"/>
  <c r="J9" i="121"/>
  <c r="I9" i="121"/>
  <c r="J8" i="121"/>
  <c r="I8" i="121"/>
  <c r="J7" i="121"/>
  <c r="I7" i="121"/>
  <c r="J6" i="121"/>
  <c r="I6" i="121"/>
  <c r="J5" i="121"/>
  <c r="I5" i="121"/>
  <c r="J4" i="121"/>
  <c r="I4" i="121"/>
  <c r="J3" i="121"/>
  <c r="I3" i="121"/>
  <c r="I2" i="121"/>
  <c r="J390" i="120"/>
  <c r="I390" i="120"/>
  <c r="J389" i="120"/>
  <c r="I389" i="120"/>
  <c r="J388" i="120"/>
  <c r="I388" i="120"/>
  <c r="J387" i="120"/>
  <c r="I387" i="120"/>
  <c r="J386" i="120"/>
  <c r="I386" i="120"/>
  <c r="J385" i="120"/>
  <c r="I385" i="120"/>
  <c r="J384" i="120"/>
  <c r="I384" i="120"/>
  <c r="J383" i="120"/>
  <c r="I383" i="120"/>
  <c r="J382" i="120"/>
  <c r="I382" i="120"/>
  <c r="J381" i="120"/>
  <c r="I381" i="120"/>
  <c r="J380" i="120"/>
  <c r="I380" i="120"/>
  <c r="J379" i="120"/>
  <c r="I379" i="120"/>
  <c r="J378" i="120"/>
  <c r="I378" i="120"/>
  <c r="J377" i="120"/>
  <c r="I377" i="120"/>
  <c r="J376" i="120"/>
  <c r="I376" i="120"/>
  <c r="J375" i="120"/>
  <c r="I375" i="120"/>
  <c r="J374" i="120"/>
  <c r="I374" i="120"/>
  <c r="J373" i="120"/>
  <c r="I373" i="120"/>
  <c r="J372" i="120"/>
  <c r="I372" i="120"/>
  <c r="J371" i="120"/>
  <c r="I371" i="120"/>
  <c r="J370" i="120"/>
  <c r="I370" i="120"/>
  <c r="J369" i="120"/>
  <c r="I369" i="120"/>
  <c r="J368" i="120"/>
  <c r="I368" i="120"/>
  <c r="J367" i="120"/>
  <c r="I367" i="120"/>
  <c r="J366" i="120"/>
  <c r="I366" i="120"/>
  <c r="J365" i="120"/>
  <c r="I365" i="120"/>
  <c r="J364" i="120"/>
  <c r="I364" i="120"/>
  <c r="J363" i="120"/>
  <c r="I363" i="120"/>
  <c r="J362" i="120"/>
  <c r="I362" i="120"/>
  <c r="J361" i="120"/>
  <c r="I361" i="120"/>
  <c r="J360" i="120"/>
  <c r="I360" i="120"/>
  <c r="J359" i="120"/>
  <c r="I359" i="120"/>
  <c r="J358" i="120"/>
  <c r="I358" i="120"/>
  <c r="J357" i="120"/>
  <c r="I357" i="120"/>
  <c r="J356" i="120"/>
  <c r="I356" i="120"/>
  <c r="J355" i="120"/>
  <c r="I355" i="120"/>
  <c r="J354" i="120"/>
  <c r="I354" i="120"/>
  <c r="J353" i="120"/>
  <c r="I353" i="120"/>
  <c r="J352" i="120"/>
  <c r="I352" i="120"/>
  <c r="J351" i="120"/>
  <c r="I351" i="120"/>
  <c r="J350" i="120"/>
  <c r="I350" i="120"/>
  <c r="J349" i="120"/>
  <c r="I349" i="120"/>
  <c r="J348" i="120"/>
  <c r="I348" i="120"/>
  <c r="J347" i="120"/>
  <c r="I347" i="120"/>
  <c r="J346" i="120"/>
  <c r="I346" i="120"/>
  <c r="J345" i="120"/>
  <c r="I345" i="120"/>
  <c r="J344" i="120"/>
  <c r="I344" i="120"/>
  <c r="J343" i="120"/>
  <c r="I343" i="120"/>
  <c r="J342" i="120"/>
  <c r="I342" i="120"/>
  <c r="J341" i="120"/>
  <c r="I341" i="120"/>
  <c r="J340" i="120"/>
  <c r="I340" i="120"/>
  <c r="J339" i="120"/>
  <c r="I339" i="120"/>
  <c r="J338" i="120"/>
  <c r="I338" i="120"/>
  <c r="J337" i="120"/>
  <c r="I337" i="120"/>
  <c r="J336" i="120"/>
  <c r="I336" i="120"/>
  <c r="J335" i="120"/>
  <c r="I335" i="120"/>
  <c r="J334" i="120"/>
  <c r="I334" i="120"/>
  <c r="J333" i="120"/>
  <c r="I333" i="120"/>
  <c r="J332" i="120"/>
  <c r="I332" i="120"/>
  <c r="J331" i="120"/>
  <c r="I331" i="120"/>
  <c r="J330" i="120"/>
  <c r="I330" i="120"/>
  <c r="J329" i="120"/>
  <c r="I329" i="120"/>
  <c r="J328" i="120"/>
  <c r="I328" i="120"/>
  <c r="J327" i="120"/>
  <c r="I327" i="120"/>
  <c r="J326" i="120"/>
  <c r="I326" i="120"/>
  <c r="J325" i="120"/>
  <c r="I325" i="120"/>
  <c r="J324" i="120"/>
  <c r="I324" i="120"/>
  <c r="J323" i="120"/>
  <c r="I323" i="120"/>
  <c r="J322" i="120"/>
  <c r="I322" i="120"/>
  <c r="J321" i="120"/>
  <c r="I321" i="120"/>
  <c r="J320" i="120"/>
  <c r="I320" i="120"/>
  <c r="J319" i="120"/>
  <c r="I319" i="120"/>
  <c r="J318" i="120"/>
  <c r="I318" i="120"/>
  <c r="J317" i="120"/>
  <c r="I317" i="120"/>
  <c r="J316" i="120"/>
  <c r="I316" i="120"/>
  <c r="J315" i="120"/>
  <c r="I315" i="120"/>
  <c r="J314" i="120"/>
  <c r="I314" i="120"/>
  <c r="J313" i="120"/>
  <c r="I313" i="120"/>
  <c r="J312" i="120"/>
  <c r="I312" i="120"/>
  <c r="J311" i="120"/>
  <c r="I311" i="120"/>
  <c r="J310" i="120"/>
  <c r="I310" i="120"/>
  <c r="J309" i="120"/>
  <c r="I309" i="120"/>
  <c r="J308" i="120"/>
  <c r="I308" i="120"/>
  <c r="J307" i="120"/>
  <c r="I307" i="120"/>
  <c r="J306" i="120"/>
  <c r="I306" i="120"/>
  <c r="J305" i="120"/>
  <c r="I305" i="120"/>
  <c r="J304" i="120"/>
  <c r="I304" i="120"/>
  <c r="J303" i="120"/>
  <c r="I303" i="120"/>
  <c r="J302" i="120"/>
  <c r="I302" i="120"/>
  <c r="J301" i="120"/>
  <c r="I301" i="120"/>
  <c r="J300" i="120"/>
  <c r="I300" i="120"/>
  <c r="J299" i="120"/>
  <c r="I299" i="120"/>
  <c r="J298" i="120"/>
  <c r="I298" i="120"/>
  <c r="J297" i="120"/>
  <c r="I297" i="120"/>
  <c r="J296" i="120"/>
  <c r="I296" i="120"/>
  <c r="J295" i="120"/>
  <c r="I295" i="120"/>
  <c r="J294" i="120"/>
  <c r="I294" i="120"/>
  <c r="J293" i="120"/>
  <c r="I293" i="120"/>
  <c r="J292" i="120"/>
  <c r="I292" i="120"/>
  <c r="J291" i="120"/>
  <c r="I291" i="120"/>
  <c r="J290" i="120"/>
  <c r="I290" i="120"/>
  <c r="J289" i="120"/>
  <c r="I289" i="120"/>
  <c r="J288" i="120"/>
  <c r="I288" i="120"/>
  <c r="J287" i="120"/>
  <c r="I287" i="120"/>
  <c r="J286" i="120"/>
  <c r="I286" i="120"/>
  <c r="J285" i="120"/>
  <c r="I285" i="120"/>
  <c r="J284" i="120"/>
  <c r="I284" i="120"/>
  <c r="J283" i="120"/>
  <c r="I283" i="120"/>
  <c r="J282" i="120"/>
  <c r="I282" i="120"/>
  <c r="J281" i="120"/>
  <c r="I281" i="120"/>
  <c r="J280" i="120"/>
  <c r="I280" i="120"/>
  <c r="J279" i="120"/>
  <c r="I279" i="120"/>
  <c r="J278" i="120"/>
  <c r="I278" i="120"/>
  <c r="J277" i="120"/>
  <c r="I277" i="120"/>
  <c r="J276" i="120"/>
  <c r="I276" i="120"/>
  <c r="J275" i="120"/>
  <c r="I275" i="120"/>
  <c r="J274" i="120"/>
  <c r="I274" i="120"/>
  <c r="J273" i="120"/>
  <c r="I273" i="120"/>
  <c r="J272" i="120"/>
  <c r="I272" i="120"/>
  <c r="J271" i="120"/>
  <c r="I271" i="120"/>
  <c r="J270" i="120"/>
  <c r="I270" i="120"/>
  <c r="J269" i="120"/>
  <c r="I269" i="120"/>
  <c r="J268" i="120"/>
  <c r="I268" i="120"/>
  <c r="J267" i="120"/>
  <c r="I267" i="120"/>
  <c r="J266" i="120"/>
  <c r="I266" i="120"/>
  <c r="J265" i="120"/>
  <c r="I265" i="120"/>
  <c r="J264" i="120"/>
  <c r="I264" i="120"/>
  <c r="J263" i="120"/>
  <c r="I263" i="120"/>
  <c r="J262" i="120"/>
  <c r="I262" i="120"/>
  <c r="J261" i="120"/>
  <c r="I261" i="120"/>
  <c r="J260" i="120"/>
  <c r="I260" i="120"/>
  <c r="J259" i="120"/>
  <c r="I259" i="120"/>
  <c r="J258" i="120"/>
  <c r="I258" i="120"/>
  <c r="J257" i="120"/>
  <c r="I257" i="120"/>
  <c r="J256" i="120"/>
  <c r="I256" i="120"/>
  <c r="J255" i="120"/>
  <c r="I255" i="120"/>
  <c r="J254" i="120"/>
  <c r="I254" i="120"/>
  <c r="J253" i="120"/>
  <c r="I253" i="120"/>
  <c r="J252" i="120"/>
  <c r="I252" i="120"/>
  <c r="J251" i="120"/>
  <c r="I251" i="120"/>
  <c r="J250" i="120"/>
  <c r="I250" i="120"/>
  <c r="J249" i="120"/>
  <c r="I249" i="120"/>
  <c r="J248" i="120"/>
  <c r="I248" i="120"/>
  <c r="J247" i="120"/>
  <c r="I247" i="120"/>
  <c r="J246" i="120"/>
  <c r="I246" i="120"/>
  <c r="J245" i="120"/>
  <c r="I245" i="120"/>
  <c r="J244" i="120"/>
  <c r="I244" i="120"/>
  <c r="J243" i="120"/>
  <c r="I243" i="120"/>
  <c r="J242" i="120"/>
  <c r="I242" i="120"/>
  <c r="J241" i="120"/>
  <c r="I241" i="120"/>
  <c r="J240" i="120"/>
  <c r="I240" i="120"/>
  <c r="J239" i="120"/>
  <c r="I239" i="120"/>
  <c r="J238" i="120"/>
  <c r="I238" i="120"/>
  <c r="J237" i="120"/>
  <c r="I237" i="120"/>
  <c r="J236" i="120"/>
  <c r="I236" i="120"/>
  <c r="J235" i="120"/>
  <c r="I235" i="120"/>
  <c r="J234" i="120"/>
  <c r="I234" i="120"/>
  <c r="J233" i="120"/>
  <c r="I233" i="120"/>
  <c r="J232" i="120"/>
  <c r="I232" i="120"/>
  <c r="J231" i="120"/>
  <c r="I231" i="120"/>
  <c r="J230" i="120"/>
  <c r="I230" i="120"/>
  <c r="J229" i="120"/>
  <c r="I229" i="120"/>
  <c r="J228" i="120"/>
  <c r="I228" i="120"/>
  <c r="J227" i="120"/>
  <c r="I227" i="120"/>
  <c r="J226" i="120"/>
  <c r="I226" i="120"/>
  <c r="J225" i="120"/>
  <c r="I225" i="120"/>
  <c r="J224" i="120"/>
  <c r="I224" i="120"/>
  <c r="J223" i="120"/>
  <c r="I223" i="120"/>
  <c r="J222" i="120"/>
  <c r="I222" i="120"/>
  <c r="J221" i="120"/>
  <c r="I221" i="120"/>
  <c r="J220" i="120"/>
  <c r="I220" i="120"/>
  <c r="J219" i="120"/>
  <c r="I219" i="120"/>
  <c r="J218" i="120"/>
  <c r="I218" i="120"/>
  <c r="J217" i="120"/>
  <c r="I217" i="120"/>
  <c r="J216" i="120"/>
  <c r="I216" i="120"/>
  <c r="J215" i="120"/>
  <c r="I215" i="120"/>
  <c r="J214" i="120"/>
  <c r="I214" i="120"/>
  <c r="J213" i="120"/>
  <c r="I213" i="120"/>
  <c r="J212" i="120"/>
  <c r="I212" i="120"/>
  <c r="J211" i="120"/>
  <c r="I211" i="120"/>
  <c r="J210" i="120"/>
  <c r="I210" i="120"/>
  <c r="J209" i="120"/>
  <c r="I209" i="120"/>
  <c r="J208" i="120"/>
  <c r="I208" i="120"/>
  <c r="J207" i="120"/>
  <c r="I207" i="120"/>
  <c r="J206" i="120"/>
  <c r="I206" i="120"/>
  <c r="J205" i="120"/>
  <c r="I205" i="120"/>
  <c r="J204" i="120"/>
  <c r="I204" i="120"/>
  <c r="J203" i="120"/>
  <c r="I203" i="120"/>
  <c r="J202" i="120"/>
  <c r="I202" i="120"/>
  <c r="J201" i="120"/>
  <c r="I201" i="120"/>
  <c r="J200" i="120"/>
  <c r="I200" i="120"/>
  <c r="J199" i="120"/>
  <c r="I199" i="120"/>
  <c r="J198" i="120"/>
  <c r="I198" i="120"/>
  <c r="J197" i="120"/>
  <c r="I197" i="120"/>
  <c r="J196" i="120"/>
  <c r="I196" i="120"/>
  <c r="J195" i="120"/>
  <c r="I195" i="120"/>
  <c r="J194" i="120"/>
  <c r="I194" i="120"/>
  <c r="J193" i="120"/>
  <c r="I193" i="120"/>
  <c r="J192" i="120"/>
  <c r="I192" i="120"/>
  <c r="J191" i="120"/>
  <c r="I191" i="120"/>
  <c r="J190" i="120"/>
  <c r="I190" i="120"/>
  <c r="J189" i="120"/>
  <c r="I189" i="120"/>
  <c r="J188" i="120"/>
  <c r="I188" i="120"/>
  <c r="J187" i="120"/>
  <c r="I187" i="120"/>
  <c r="J186" i="120"/>
  <c r="I186" i="120"/>
  <c r="J185" i="120"/>
  <c r="I185" i="120"/>
  <c r="J184" i="120"/>
  <c r="I184" i="120"/>
  <c r="J183" i="120"/>
  <c r="I183" i="120"/>
  <c r="J182" i="120"/>
  <c r="I182" i="120"/>
  <c r="J181" i="120"/>
  <c r="I181" i="120"/>
  <c r="J180" i="120"/>
  <c r="I180" i="120"/>
  <c r="J179" i="120"/>
  <c r="I179" i="120"/>
  <c r="J178" i="120"/>
  <c r="I178" i="120"/>
  <c r="J177" i="120"/>
  <c r="I177" i="120"/>
  <c r="J176" i="120"/>
  <c r="I176" i="120"/>
  <c r="J175" i="120"/>
  <c r="I175" i="120"/>
  <c r="J174" i="120"/>
  <c r="I174" i="120"/>
  <c r="J173" i="120"/>
  <c r="I173" i="120"/>
  <c r="J172" i="120"/>
  <c r="I172" i="120"/>
  <c r="J171" i="120"/>
  <c r="I171" i="120"/>
  <c r="J170" i="120"/>
  <c r="I170" i="120"/>
  <c r="J169" i="120"/>
  <c r="I169" i="120"/>
  <c r="J168" i="120"/>
  <c r="I168" i="120"/>
  <c r="J167" i="120"/>
  <c r="I167" i="120"/>
  <c r="J166" i="120"/>
  <c r="I166" i="120"/>
  <c r="J165" i="120"/>
  <c r="I165" i="120"/>
  <c r="J164" i="120"/>
  <c r="I164" i="120"/>
  <c r="J163" i="120"/>
  <c r="I163" i="120"/>
  <c r="J162" i="120"/>
  <c r="I162" i="120"/>
  <c r="J161" i="120"/>
  <c r="I161" i="120"/>
  <c r="J160" i="120"/>
  <c r="I160" i="120"/>
  <c r="J159" i="120"/>
  <c r="I159" i="120"/>
  <c r="J158" i="120"/>
  <c r="I158" i="120"/>
  <c r="J157" i="120"/>
  <c r="I157" i="120"/>
  <c r="J156" i="120"/>
  <c r="I156" i="120"/>
  <c r="J155" i="120"/>
  <c r="I155" i="120"/>
  <c r="J154" i="120"/>
  <c r="I154" i="120"/>
  <c r="J153" i="120"/>
  <c r="I153" i="120"/>
  <c r="J152" i="120"/>
  <c r="I152" i="120"/>
  <c r="J151" i="120"/>
  <c r="I151" i="120"/>
  <c r="J150" i="120"/>
  <c r="I150" i="120"/>
  <c r="J149" i="120"/>
  <c r="I149" i="120"/>
  <c r="J148" i="120"/>
  <c r="I148" i="120"/>
  <c r="J147" i="120"/>
  <c r="I147" i="120"/>
  <c r="J146" i="120"/>
  <c r="I146" i="120"/>
  <c r="J145" i="120"/>
  <c r="I145" i="120"/>
  <c r="J144" i="120"/>
  <c r="I144" i="120"/>
  <c r="J143" i="120"/>
  <c r="I143" i="120"/>
  <c r="J142" i="120"/>
  <c r="I142" i="120"/>
  <c r="J141" i="120"/>
  <c r="I141" i="120"/>
  <c r="J140" i="120"/>
  <c r="I140" i="120"/>
  <c r="J139" i="120"/>
  <c r="I139" i="120"/>
  <c r="J138" i="120"/>
  <c r="I138" i="120"/>
  <c r="J137" i="120"/>
  <c r="I137" i="120"/>
  <c r="J136" i="120"/>
  <c r="I136" i="120"/>
  <c r="J135" i="120"/>
  <c r="I135" i="120"/>
  <c r="J134" i="120"/>
  <c r="I134" i="120"/>
  <c r="J133" i="120"/>
  <c r="I133" i="120"/>
  <c r="J132" i="120"/>
  <c r="I132" i="120"/>
  <c r="J131" i="120"/>
  <c r="I131" i="120"/>
  <c r="J130" i="120"/>
  <c r="I130" i="120"/>
  <c r="J129" i="120"/>
  <c r="I129" i="120"/>
  <c r="J128" i="120"/>
  <c r="I128" i="120"/>
  <c r="J127" i="120"/>
  <c r="I127" i="120"/>
  <c r="J126" i="120"/>
  <c r="I126" i="120"/>
  <c r="J125" i="120"/>
  <c r="I125" i="120"/>
  <c r="J124" i="120"/>
  <c r="I124" i="120"/>
  <c r="J123" i="120"/>
  <c r="I123" i="120"/>
  <c r="J122" i="120"/>
  <c r="I122" i="120"/>
  <c r="J121" i="120"/>
  <c r="I121" i="120"/>
  <c r="J120" i="120"/>
  <c r="I120" i="120"/>
  <c r="J119" i="120"/>
  <c r="I119" i="120"/>
  <c r="J118" i="120"/>
  <c r="I118" i="120"/>
  <c r="J117" i="120"/>
  <c r="I117" i="120"/>
  <c r="J116" i="120"/>
  <c r="I116" i="120"/>
  <c r="J115" i="120"/>
  <c r="I115" i="120"/>
  <c r="J114" i="120"/>
  <c r="I114" i="120"/>
  <c r="J113" i="120"/>
  <c r="I113" i="120"/>
  <c r="J112" i="120"/>
  <c r="I112" i="120"/>
  <c r="J111" i="120"/>
  <c r="I111" i="120"/>
  <c r="J110" i="120"/>
  <c r="I110" i="120"/>
  <c r="J109" i="120"/>
  <c r="I109" i="120"/>
  <c r="J108" i="120"/>
  <c r="I108" i="120"/>
  <c r="J107" i="120"/>
  <c r="I107" i="120"/>
  <c r="J106" i="120"/>
  <c r="I106" i="120"/>
  <c r="J105" i="120"/>
  <c r="I105" i="120"/>
  <c r="J104" i="120"/>
  <c r="I104" i="120"/>
  <c r="J103" i="120"/>
  <c r="I103" i="120"/>
  <c r="J102" i="120"/>
  <c r="I102" i="120"/>
  <c r="J101" i="120"/>
  <c r="I101" i="120"/>
  <c r="J100" i="120"/>
  <c r="I100" i="120"/>
  <c r="J99" i="120"/>
  <c r="I99" i="120"/>
  <c r="J98" i="120"/>
  <c r="I98" i="120"/>
  <c r="J97" i="120"/>
  <c r="I97" i="120"/>
  <c r="J96" i="120"/>
  <c r="I96" i="120"/>
  <c r="J95" i="120"/>
  <c r="I95" i="120"/>
  <c r="J94" i="120"/>
  <c r="I94" i="120"/>
  <c r="J93" i="120"/>
  <c r="I93" i="120"/>
  <c r="J92" i="120"/>
  <c r="I92" i="120"/>
  <c r="J91" i="120"/>
  <c r="I91" i="120"/>
  <c r="J90" i="120"/>
  <c r="I90" i="120"/>
  <c r="J89" i="120"/>
  <c r="I89" i="120"/>
  <c r="J88" i="120"/>
  <c r="I88" i="120"/>
  <c r="J87" i="120"/>
  <c r="I87" i="120"/>
  <c r="J86" i="120"/>
  <c r="I86" i="120"/>
  <c r="J85" i="120"/>
  <c r="I85" i="120"/>
  <c r="J84" i="120"/>
  <c r="I84" i="120"/>
  <c r="J83" i="120"/>
  <c r="I83" i="120"/>
  <c r="J82" i="120"/>
  <c r="I82" i="120"/>
  <c r="J81" i="120"/>
  <c r="I81" i="120"/>
  <c r="J80" i="120"/>
  <c r="I80" i="120"/>
  <c r="J79" i="120"/>
  <c r="I79" i="120"/>
  <c r="J78" i="120"/>
  <c r="I78" i="120"/>
  <c r="J77" i="120"/>
  <c r="I77" i="120"/>
  <c r="J76" i="120"/>
  <c r="I76" i="120"/>
  <c r="J75" i="120"/>
  <c r="I75" i="120"/>
  <c r="J74" i="120"/>
  <c r="I74" i="120"/>
  <c r="J73" i="120"/>
  <c r="I73" i="120"/>
  <c r="J72" i="120"/>
  <c r="I72" i="120"/>
  <c r="J71" i="120"/>
  <c r="I71" i="120"/>
  <c r="J70" i="120"/>
  <c r="I70" i="120"/>
  <c r="J69" i="120"/>
  <c r="I69" i="120"/>
  <c r="J68" i="120"/>
  <c r="I68" i="120"/>
  <c r="J67" i="120"/>
  <c r="I67" i="120"/>
  <c r="J66" i="120"/>
  <c r="I66" i="120"/>
  <c r="J65" i="120"/>
  <c r="I65" i="120"/>
  <c r="J64" i="120"/>
  <c r="I64" i="120"/>
  <c r="J63" i="120"/>
  <c r="I63" i="120"/>
  <c r="J62" i="120"/>
  <c r="I62" i="120"/>
  <c r="J61" i="120"/>
  <c r="I61" i="120"/>
  <c r="J60" i="120"/>
  <c r="I60" i="120"/>
  <c r="J59" i="120"/>
  <c r="I59" i="120"/>
  <c r="J58" i="120"/>
  <c r="I58" i="120"/>
  <c r="J57" i="120"/>
  <c r="I57" i="120"/>
  <c r="J56" i="120"/>
  <c r="I56" i="120"/>
  <c r="J55" i="120"/>
  <c r="I55" i="120"/>
  <c r="J54" i="120"/>
  <c r="I54" i="120"/>
  <c r="J53" i="120"/>
  <c r="I53" i="120"/>
  <c r="J52" i="120"/>
  <c r="I52" i="120"/>
  <c r="J51" i="120"/>
  <c r="I51" i="120"/>
  <c r="J50" i="120"/>
  <c r="I50" i="120"/>
  <c r="J49" i="120"/>
  <c r="I49" i="120"/>
  <c r="J48" i="120"/>
  <c r="I48" i="120"/>
  <c r="J47" i="120"/>
  <c r="I47" i="120"/>
  <c r="J46" i="120"/>
  <c r="I46" i="120"/>
  <c r="J45" i="120"/>
  <c r="I45" i="120"/>
  <c r="J44" i="120"/>
  <c r="I44" i="120"/>
  <c r="J43" i="120"/>
  <c r="I43" i="120"/>
  <c r="J42" i="120"/>
  <c r="I42" i="120"/>
  <c r="J41" i="120"/>
  <c r="I41" i="120"/>
  <c r="J40" i="120"/>
  <c r="I40" i="120"/>
  <c r="J39" i="120"/>
  <c r="I39" i="120"/>
  <c r="J38" i="120"/>
  <c r="I38" i="120"/>
  <c r="J37" i="120"/>
  <c r="I37" i="120"/>
  <c r="J36" i="120"/>
  <c r="I36" i="120"/>
  <c r="J35" i="120"/>
  <c r="I35" i="120"/>
  <c r="J34" i="120"/>
  <c r="I34" i="120"/>
  <c r="J33" i="120"/>
  <c r="I33" i="120"/>
  <c r="J32" i="120"/>
  <c r="I32" i="120"/>
  <c r="J31" i="120"/>
  <c r="I31" i="120"/>
  <c r="J30" i="120"/>
  <c r="I30" i="120"/>
  <c r="J29" i="120"/>
  <c r="I29" i="120"/>
  <c r="J28" i="120"/>
  <c r="I28" i="120"/>
  <c r="J27" i="120"/>
  <c r="I27" i="120"/>
  <c r="J26" i="120"/>
  <c r="I26" i="120"/>
  <c r="J25" i="120"/>
  <c r="I25" i="120"/>
  <c r="J24" i="120"/>
  <c r="I24" i="120"/>
  <c r="J23" i="120"/>
  <c r="I23" i="120"/>
  <c r="J22" i="120"/>
  <c r="I22" i="120"/>
  <c r="J21" i="120"/>
  <c r="I21" i="120"/>
  <c r="J20" i="120"/>
  <c r="I20" i="120"/>
  <c r="J19" i="120"/>
  <c r="I19" i="120"/>
  <c r="J18" i="120"/>
  <c r="I18" i="120"/>
  <c r="J17" i="120"/>
  <c r="I17" i="120"/>
  <c r="J16" i="120"/>
  <c r="I16" i="120"/>
  <c r="J15" i="120"/>
  <c r="I15" i="120"/>
  <c r="J14" i="120"/>
  <c r="I14" i="120"/>
  <c r="J13" i="120"/>
  <c r="I13" i="120"/>
  <c r="J12" i="120"/>
  <c r="I12" i="120"/>
  <c r="J11" i="120"/>
  <c r="I11" i="120"/>
  <c r="J10" i="120"/>
  <c r="I10" i="120"/>
  <c r="J9" i="120"/>
  <c r="I9" i="120"/>
  <c r="J8" i="120"/>
  <c r="I8" i="120"/>
  <c r="J7" i="120"/>
  <c r="I7" i="120"/>
  <c r="J6" i="120"/>
  <c r="I6" i="120"/>
  <c r="J5" i="120"/>
  <c r="I5" i="120"/>
  <c r="J4" i="120"/>
  <c r="I4" i="120"/>
  <c r="J3" i="120"/>
  <c r="I3" i="120"/>
  <c r="I2" i="120"/>
  <c r="J390" i="119"/>
  <c r="I390" i="119"/>
  <c r="J389" i="119"/>
  <c r="I389" i="119"/>
  <c r="J388" i="119"/>
  <c r="I388" i="119"/>
  <c r="J387" i="119"/>
  <c r="I387" i="119"/>
  <c r="J386" i="119"/>
  <c r="I386" i="119"/>
  <c r="J385" i="119"/>
  <c r="I385" i="119"/>
  <c r="J384" i="119"/>
  <c r="I384" i="119"/>
  <c r="J383" i="119"/>
  <c r="I383" i="119"/>
  <c r="J382" i="119"/>
  <c r="I382" i="119"/>
  <c r="J381" i="119"/>
  <c r="I381" i="119"/>
  <c r="J380" i="119"/>
  <c r="I380" i="119"/>
  <c r="J379" i="119"/>
  <c r="I379" i="119"/>
  <c r="J378" i="119"/>
  <c r="I378" i="119"/>
  <c r="J377" i="119"/>
  <c r="I377" i="119"/>
  <c r="J376" i="119"/>
  <c r="I376" i="119"/>
  <c r="J375" i="119"/>
  <c r="I375" i="119"/>
  <c r="J374" i="119"/>
  <c r="I374" i="119"/>
  <c r="J373" i="119"/>
  <c r="I373" i="119"/>
  <c r="J372" i="119"/>
  <c r="I372" i="119"/>
  <c r="J371" i="119"/>
  <c r="I371" i="119"/>
  <c r="J370" i="119"/>
  <c r="I370" i="119"/>
  <c r="J369" i="119"/>
  <c r="I369" i="119"/>
  <c r="J368" i="119"/>
  <c r="I368" i="119"/>
  <c r="J367" i="119"/>
  <c r="I367" i="119"/>
  <c r="J366" i="119"/>
  <c r="I366" i="119"/>
  <c r="J365" i="119"/>
  <c r="I365" i="119"/>
  <c r="J364" i="119"/>
  <c r="I364" i="119"/>
  <c r="J363" i="119"/>
  <c r="I363" i="119"/>
  <c r="J362" i="119"/>
  <c r="I362" i="119"/>
  <c r="J361" i="119"/>
  <c r="I361" i="119"/>
  <c r="J360" i="119"/>
  <c r="I360" i="119"/>
  <c r="J359" i="119"/>
  <c r="I359" i="119"/>
  <c r="J358" i="119"/>
  <c r="I358" i="119"/>
  <c r="J357" i="119"/>
  <c r="I357" i="119"/>
  <c r="J356" i="119"/>
  <c r="I356" i="119"/>
  <c r="J355" i="119"/>
  <c r="I355" i="119"/>
  <c r="J354" i="119"/>
  <c r="I354" i="119"/>
  <c r="J353" i="119"/>
  <c r="I353" i="119"/>
  <c r="J352" i="119"/>
  <c r="I352" i="119"/>
  <c r="J351" i="119"/>
  <c r="I351" i="119"/>
  <c r="J350" i="119"/>
  <c r="I350" i="119"/>
  <c r="J349" i="119"/>
  <c r="I349" i="119"/>
  <c r="J348" i="119"/>
  <c r="I348" i="119"/>
  <c r="J347" i="119"/>
  <c r="I347" i="119"/>
  <c r="J346" i="119"/>
  <c r="I346" i="119"/>
  <c r="J345" i="119"/>
  <c r="I345" i="119"/>
  <c r="J344" i="119"/>
  <c r="I344" i="119"/>
  <c r="J343" i="119"/>
  <c r="I343" i="119"/>
  <c r="J342" i="119"/>
  <c r="I342" i="119"/>
  <c r="J341" i="119"/>
  <c r="I341" i="119"/>
  <c r="J340" i="119"/>
  <c r="I340" i="119"/>
  <c r="J339" i="119"/>
  <c r="I339" i="119"/>
  <c r="J338" i="119"/>
  <c r="I338" i="119"/>
  <c r="J337" i="119"/>
  <c r="I337" i="119"/>
  <c r="J336" i="119"/>
  <c r="I336" i="119"/>
  <c r="J335" i="119"/>
  <c r="I335" i="119"/>
  <c r="J334" i="119"/>
  <c r="I334" i="119"/>
  <c r="J333" i="119"/>
  <c r="I333" i="119"/>
  <c r="J332" i="119"/>
  <c r="I332" i="119"/>
  <c r="J331" i="119"/>
  <c r="I331" i="119"/>
  <c r="J330" i="119"/>
  <c r="I330" i="119"/>
  <c r="J329" i="119"/>
  <c r="I329" i="119"/>
  <c r="J328" i="119"/>
  <c r="I328" i="119"/>
  <c r="J327" i="119"/>
  <c r="I327" i="119"/>
  <c r="J326" i="119"/>
  <c r="I326" i="119"/>
  <c r="J325" i="119"/>
  <c r="I325" i="119"/>
  <c r="J324" i="119"/>
  <c r="I324" i="119"/>
  <c r="J323" i="119"/>
  <c r="I323" i="119"/>
  <c r="J322" i="119"/>
  <c r="I322" i="119"/>
  <c r="J321" i="119"/>
  <c r="I321" i="119"/>
  <c r="J320" i="119"/>
  <c r="I320" i="119"/>
  <c r="J319" i="119"/>
  <c r="I319" i="119"/>
  <c r="J318" i="119"/>
  <c r="I318" i="119"/>
  <c r="J317" i="119"/>
  <c r="I317" i="119"/>
  <c r="J316" i="119"/>
  <c r="I316" i="119"/>
  <c r="J315" i="119"/>
  <c r="I315" i="119"/>
  <c r="J314" i="119"/>
  <c r="I314" i="119"/>
  <c r="J313" i="119"/>
  <c r="I313" i="119"/>
  <c r="J312" i="119"/>
  <c r="I312" i="119"/>
  <c r="J311" i="119"/>
  <c r="I311" i="119"/>
  <c r="J310" i="119"/>
  <c r="I310" i="119"/>
  <c r="J309" i="119"/>
  <c r="I309" i="119"/>
  <c r="J308" i="119"/>
  <c r="I308" i="119"/>
  <c r="J307" i="119"/>
  <c r="I307" i="119"/>
  <c r="J306" i="119"/>
  <c r="I306" i="119"/>
  <c r="J305" i="119"/>
  <c r="I305" i="119"/>
  <c r="J304" i="119"/>
  <c r="I304" i="119"/>
  <c r="J303" i="119"/>
  <c r="I303" i="119"/>
  <c r="J302" i="119"/>
  <c r="I302" i="119"/>
  <c r="J301" i="119"/>
  <c r="I301" i="119"/>
  <c r="J300" i="119"/>
  <c r="I300" i="119"/>
  <c r="J299" i="119"/>
  <c r="I299" i="119"/>
  <c r="J298" i="119"/>
  <c r="I298" i="119"/>
  <c r="J297" i="119"/>
  <c r="I297" i="119"/>
  <c r="J296" i="119"/>
  <c r="I296" i="119"/>
  <c r="J295" i="119"/>
  <c r="I295" i="119"/>
  <c r="J294" i="119"/>
  <c r="I294" i="119"/>
  <c r="J293" i="119"/>
  <c r="I293" i="119"/>
  <c r="J292" i="119"/>
  <c r="I292" i="119"/>
  <c r="J291" i="119"/>
  <c r="I291" i="119"/>
  <c r="J290" i="119"/>
  <c r="I290" i="119"/>
  <c r="J289" i="119"/>
  <c r="I289" i="119"/>
  <c r="J288" i="119"/>
  <c r="I288" i="119"/>
  <c r="J287" i="119"/>
  <c r="I287" i="119"/>
  <c r="J286" i="119"/>
  <c r="I286" i="119"/>
  <c r="J285" i="119"/>
  <c r="I285" i="119"/>
  <c r="J284" i="119"/>
  <c r="I284" i="119"/>
  <c r="J283" i="119"/>
  <c r="I283" i="119"/>
  <c r="J282" i="119"/>
  <c r="I282" i="119"/>
  <c r="J281" i="119"/>
  <c r="I281" i="119"/>
  <c r="J280" i="119"/>
  <c r="I280" i="119"/>
  <c r="J279" i="119"/>
  <c r="I279" i="119"/>
  <c r="J278" i="119"/>
  <c r="I278" i="119"/>
  <c r="J277" i="119"/>
  <c r="I277" i="119"/>
  <c r="J276" i="119"/>
  <c r="I276" i="119"/>
  <c r="J275" i="119"/>
  <c r="I275" i="119"/>
  <c r="J274" i="119"/>
  <c r="I274" i="119"/>
  <c r="J273" i="119"/>
  <c r="I273" i="119"/>
  <c r="J272" i="119"/>
  <c r="I272" i="119"/>
  <c r="J271" i="119"/>
  <c r="I271" i="119"/>
  <c r="J270" i="119"/>
  <c r="I270" i="119"/>
  <c r="J269" i="119"/>
  <c r="I269" i="119"/>
  <c r="J268" i="119"/>
  <c r="I268" i="119"/>
  <c r="J267" i="119"/>
  <c r="I267" i="119"/>
  <c r="J266" i="119"/>
  <c r="I266" i="119"/>
  <c r="J265" i="119"/>
  <c r="I265" i="119"/>
  <c r="J264" i="119"/>
  <c r="I264" i="119"/>
  <c r="J263" i="119"/>
  <c r="I263" i="119"/>
  <c r="J262" i="119"/>
  <c r="I262" i="119"/>
  <c r="J261" i="119"/>
  <c r="I261" i="119"/>
  <c r="J260" i="119"/>
  <c r="I260" i="119"/>
  <c r="J259" i="119"/>
  <c r="I259" i="119"/>
  <c r="J258" i="119"/>
  <c r="I258" i="119"/>
  <c r="J257" i="119"/>
  <c r="I257" i="119"/>
  <c r="J256" i="119"/>
  <c r="I256" i="119"/>
  <c r="J255" i="119"/>
  <c r="I255" i="119"/>
  <c r="J254" i="119"/>
  <c r="I254" i="119"/>
  <c r="J253" i="119"/>
  <c r="I253" i="119"/>
  <c r="J252" i="119"/>
  <c r="I252" i="119"/>
  <c r="J251" i="119"/>
  <c r="I251" i="119"/>
  <c r="J250" i="119"/>
  <c r="I250" i="119"/>
  <c r="J249" i="119"/>
  <c r="I249" i="119"/>
  <c r="J248" i="119"/>
  <c r="I248" i="119"/>
  <c r="J247" i="119"/>
  <c r="I247" i="119"/>
  <c r="J246" i="119"/>
  <c r="I246" i="119"/>
  <c r="J245" i="119"/>
  <c r="I245" i="119"/>
  <c r="J244" i="119"/>
  <c r="I244" i="119"/>
  <c r="J243" i="119"/>
  <c r="I243" i="119"/>
  <c r="J242" i="119"/>
  <c r="I242" i="119"/>
  <c r="J241" i="119"/>
  <c r="I241" i="119"/>
  <c r="J240" i="119"/>
  <c r="I240" i="119"/>
  <c r="J239" i="119"/>
  <c r="I239" i="119"/>
  <c r="J238" i="119"/>
  <c r="I238" i="119"/>
  <c r="J237" i="119"/>
  <c r="I237" i="119"/>
  <c r="J236" i="119"/>
  <c r="I236" i="119"/>
  <c r="J235" i="119"/>
  <c r="I235" i="119"/>
  <c r="J234" i="119"/>
  <c r="I234" i="119"/>
  <c r="J233" i="119"/>
  <c r="I233" i="119"/>
  <c r="J232" i="119"/>
  <c r="I232" i="119"/>
  <c r="J231" i="119"/>
  <c r="I231" i="119"/>
  <c r="J230" i="119"/>
  <c r="I230" i="119"/>
  <c r="J229" i="119"/>
  <c r="I229" i="119"/>
  <c r="J228" i="119"/>
  <c r="I228" i="119"/>
  <c r="J227" i="119"/>
  <c r="I227" i="119"/>
  <c r="J226" i="119"/>
  <c r="I226" i="119"/>
  <c r="J225" i="119"/>
  <c r="I225" i="119"/>
  <c r="J224" i="119"/>
  <c r="I224" i="119"/>
  <c r="J223" i="119"/>
  <c r="I223" i="119"/>
  <c r="J222" i="119"/>
  <c r="I222" i="119"/>
  <c r="J221" i="119"/>
  <c r="I221" i="119"/>
  <c r="J220" i="119"/>
  <c r="I220" i="119"/>
  <c r="J219" i="119"/>
  <c r="I219" i="119"/>
  <c r="J218" i="119"/>
  <c r="I218" i="119"/>
  <c r="J217" i="119"/>
  <c r="I217" i="119"/>
  <c r="J216" i="119"/>
  <c r="I216" i="119"/>
  <c r="J215" i="119"/>
  <c r="I215" i="119"/>
  <c r="J214" i="119"/>
  <c r="I214" i="119"/>
  <c r="J213" i="119"/>
  <c r="I213" i="119"/>
  <c r="J212" i="119"/>
  <c r="I212" i="119"/>
  <c r="J211" i="119"/>
  <c r="I211" i="119"/>
  <c r="J210" i="119"/>
  <c r="I210" i="119"/>
  <c r="J209" i="119"/>
  <c r="I209" i="119"/>
  <c r="J208" i="119"/>
  <c r="I208" i="119"/>
  <c r="J207" i="119"/>
  <c r="I207" i="119"/>
  <c r="J206" i="119"/>
  <c r="I206" i="119"/>
  <c r="J205" i="119"/>
  <c r="I205" i="119"/>
  <c r="J204" i="119"/>
  <c r="I204" i="119"/>
  <c r="J203" i="119"/>
  <c r="I203" i="119"/>
  <c r="J202" i="119"/>
  <c r="I202" i="119"/>
  <c r="J201" i="119"/>
  <c r="I201" i="119"/>
  <c r="J200" i="119"/>
  <c r="I200" i="119"/>
  <c r="J199" i="119"/>
  <c r="I199" i="119"/>
  <c r="J198" i="119"/>
  <c r="I198" i="119"/>
  <c r="J197" i="119"/>
  <c r="I197" i="119"/>
  <c r="J196" i="119"/>
  <c r="I196" i="119"/>
  <c r="J195" i="119"/>
  <c r="I195" i="119"/>
  <c r="J194" i="119"/>
  <c r="I194" i="119"/>
  <c r="J193" i="119"/>
  <c r="I193" i="119"/>
  <c r="J192" i="119"/>
  <c r="I192" i="119"/>
  <c r="J191" i="119"/>
  <c r="I191" i="119"/>
  <c r="J190" i="119"/>
  <c r="I190" i="119"/>
  <c r="J189" i="119"/>
  <c r="I189" i="119"/>
  <c r="J188" i="119"/>
  <c r="I188" i="119"/>
  <c r="J187" i="119"/>
  <c r="I187" i="119"/>
  <c r="J186" i="119"/>
  <c r="I186" i="119"/>
  <c r="J185" i="119"/>
  <c r="I185" i="119"/>
  <c r="J184" i="119"/>
  <c r="I184" i="119"/>
  <c r="J183" i="119"/>
  <c r="I183" i="119"/>
  <c r="J182" i="119"/>
  <c r="I182" i="119"/>
  <c r="J181" i="119"/>
  <c r="I181" i="119"/>
  <c r="J180" i="119"/>
  <c r="I180" i="119"/>
  <c r="J179" i="119"/>
  <c r="I179" i="119"/>
  <c r="J178" i="119"/>
  <c r="I178" i="119"/>
  <c r="J177" i="119"/>
  <c r="I177" i="119"/>
  <c r="J176" i="119"/>
  <c r="I176" i="119"/>
  <c r="J175" i="119"/>
  <c r="I175" i="119"/>
  <c r="J174" i="119"/>
  <c r="I174" i="119"/>
  <c r="J173" i="119"/>
  <c r="I173" i="119"/>
  <c r="J172" i="119"/>
  <c r="I172" i="119"/>
  <c r="J171" i="119"/>
  <c r="I171" i="119"/>
  <c r="J170" i="119"/>
  <c r="I170" i="119"/>
  <c r="J169" i="119"/>
  <c r="I169" i="119"/>
  <c r="J168" i="119"/>
  <c r="I168" i="119"/>
  <c r="J167" i="119"/>
  <c r="I167" i="119"/>
  <c r="J166" i="119"/>
  <c r="I166" i="119"/>
  <c r="J165" i="119"/>
  <c r="I165" i="119"/>
  <c r="J164" i="119"/>
  <c r="I164" i="119"/>
  <c r="J163" i="119"/>
  <c r="I163" i="119"/>
  <c r="J162" i="119"/>
  <c r="I162" i="119"/>
  <c r="J161" i="119"/>
  <c r="I161" i="119"/>
  <c r="J160" i="119"/>
  <c r="I160" i="119"/>
  <c r="J159" i="119"/>
  <c r="I159" i="119"/>
  <c r="J158" i="119"/>
  <c r="I158" i="119"/>
  <c r="J157" i="119"/>
  <c r="I157" i="119"/>
  <c r="J156" i="119"/>
  <c r="I156" i="119"/>
  <c r="J155" i="119"/>
  <c r="I155" i="119"/>
  <c r="J154" i="119"/>
  <c r="I154" i="119"/>
  <c r="J153" i="119"/>
  <c r="I153" i="119"/>
  <c r="J152" i="119"/>
  <c r="I152" i="119"/>
  <c r="J151" i="119"/>
  <c r="I151" i="119"/>
  <c r="J150" i="119"/>
  <c r="I150" i="119"/>
  <c r="J149" i="119"/>
  <c r="I149" i="119"/>
  <c r="J148" i="119"/>
  <c r="I148" i="119"/>
  <c r="J147" i="119"/>
  <c r="I147" i="119"/>
  <c r="J146" i="119"/>
  <c r="I146" i="119"/>
  <c r="J145" i="119"/>
  <c r="I145" i="119"/>
  <c r="J144" i="119"/>
  <c r="I144" i="119"/>
  <c r="J143" i="119"/>
  <c r="I143" i="119"/>
  <c r="J142" i="119"/>
  <c r="I142" i="119"/>
  <c r="J141" i="119"/>
  <c r="I141" i="119"/>
  <c r="J140" i="119"/>
  <c r="I140" i="119"/>
  <c r="J139" i="119"/>
  <c r="I139" i="119"/>
  <c r="J138" i="119"/>
  <c r="I138" i="119"/>
  <c r="J137" i="119"/>
  <c r="I137" i="119"/>
  <c r="J136" i="119"/>
  <c r="I136" i="119"/>
  <c r="J135" i="119"/>
  <c r="I135" i="119"/>
  <c r="J134" i="119"/>
  <c r="I134" i="119"/>
  <c r="J133" i="119"/>
  <c r="I133" i="119"/>
  <c r="J132" i="119"/>
  <c r="I132" i="119"/>
  <c r="J131" i="119"/>
  <c r="I131" i="119"/>
  <c r="J130" i="119"/>
  <c r="I130" i="119"/>
  <c r="J129" i="119"/>
  <c r="I129" i="119"/>
  <c r="J128" i="119"/>
  <c r="I128" i="119"/>
  <c r="J127" i="119"/>
  <c r="I127" i="119"/>
  <c r="J126" i="119"/>
  <c r="I126" i="119"/>
  <c r="J125" i="119"/>
  <c r="I125" i="119"/>
  <c r="J124" i="119"/>
  <c r="I124" i="119"/>
  <c r="J123" i="119"/>
  <c r="I123" i="119"/>
  <c r="J122" i="119"/>
  <c r="I122" i="119"/>
  <c r="J121" i="119"/>
  <c r="I121" i="119"/>
  <c r="J120" i="119"/>
  <c r="I120" i="119"/>
  <c r="J119" i="119"/>
  <c r="I119" i="119"/>
  <c r="J118" i="119"/>
  <c r="I118" i="119"/>
  <c r="J117" i="119"/>
  <c r="I117" i="119"/>
  <c r="J116" i="119"/>
  <c r="I116" i="119"/>
  <c r="J115" i="119"/>
  <c r="I115" i="119"/>
  <c r="J114" i="119"/>
  <c r="I114" i="119"/>
  <c r="J113" i="119"/>
  <c r="I113" i="119"/>
  <c r="J112" i="119"/>
  <c r="I112" i="119"/>
  <c r="J111" i="119"/>
  <c r="I111" i="119"/>
  <c r="J110" i="119"/>
  <c r="I110" i="119"/>
  <c r="J109" i="119"/>
  <c r="I109" i="119"/>
  <c r="J108" i="119"/>
  <c r="I108" i="119"/>
  <c r="J107" i="119"/>
  <c r="I107" i="119"/>
  <c r="J106" i="119"/>
  <c r="I106" i="119"/>
  <c r="J105" i="119"/>
  <c r="I105" i="119"/>
  <c r="J104" i="119"/>
  <c r="I104" i="119"/>
  <c r="J103" i="119"/>
  <c r="I103" i="119"/>
  <c r="J102" i="119"/>
  <c r="I102" i="119"/>
  <c r="J101" i="119"/>
  <c r="I101" i="119"/>
  <c r="J100" i="119"/>
  <c r="I100" i="119"/>
  <c r="J99" i="119"/>
  <c r="I99" i="119"/>
  <c r="J98" i="119"/>
  <c r="I98" i="119"/>
  <c r="J97" i="119"/>
  <c r="I97" i="119"/>
  <c r="J96" i="119"/>
  <c r="I96" i="119"/>
  <c r="J95" i="119"/>
  <c r="I95" i="119"/>
  <c r="J94" i="119"/>
  <c r="I94" i="119"/>
  <c r="J93" i="119"/>
  <c r="I93" i="119"/>
  <c r="J92" i="119"/>
  <c r="I92" i="119"/>
  <c r="J91" i="119"/>
  <c r="I91" i="119"/>
  <c r="J90" i="119"/>
  <c r="I90" i="119"/>
  <c r="J89" i="119"/>
  <c r="I89" i="119"/>
  <c r="J88" i="119"/>
  <c r="I88" i="119"/>
  <c r="J87" i="119"/>
  <c r="I87" i="119"/>
  <c r="J86" i="119"/>
  <c r="I86" i="119"/>
  <c r="J85" i="119"/>
  <c r="I85" i="119"/>
  <c r="J84" i="119"/>
  <c r="I84" i="119"/>
  <c r="J83" i="119"/>
  <c r="I83" i="119"/>
  <c r="J82" i="119"/>
  <c r="I82" i="119"/>
  <c r="J81" i="119"/>
  <c r="I81" i="119"/>
  <c r="J80" i="119"/>
  <c r="I80" i="119"/>
  <c r="J79" i="119"/>
  <c r="I79" i="119"/>
  <c r="J78" i="119"/>
  <c r="I78" i="119"/>
  <c r="J77" i="119"/>
  <c r="I77" i="119"/>
  <c r="J76" i="119"/>
  <c r="I76" i="119"/>
  <c r="J75" i="119"/>
  <c r="I75" i="119"/>
  <c r="J74" i="119"/>
  <c r="I74" i="119"/>
  <c r="J73" i="119"/>
  <c r="I73" i="119"/>
  <c r="J72" i="119"/>
  <c r="I72" i="119"/>
  <c r="J71" i="119"/>
  <c r="I71" i="119"/>
  <c r="J70" i="119"/>
  <c r="I70" i="119"/>
  <c r="J69" i="119"/>
  <c r="I69" i="119"/>
  <c r="J68" i="119"/>
  <c r="I68" i="119"/>
  <c r="J67" i="119"/>
  <c r="I67" i="119"/>
  <c r="J66" i="119"/>
  <c r="I66" i="119"/>
  <c r="J65" i="119"/>
  <c r="I65" i="119"/>
  <c r="J64" i="119"/>
  <c r="I64" i="119"/>
  <c r="J63" i="119"/>
  <c r="I63" i="119"/>
  <c r="J62" i="119"/>
  <c r="I62" i="119"/>
  <c r="J61" i="119"/>
  <c r="I61" i="119"/>
  <c r="J60" i="119"/>
  <c r="I60" i="119"/>
  <c r="J59" i="119"/>
  <c r="I59" i="119"/>
  <c r="J58" i="119"/>
  <c r="I58" i="119"/>
  <c r="J57" i="119"/>
  <c r="I57" i="119"/>
  <c r="J56" i="119"/>
  <c r="I56" i="119"/>
  <c r="J55" i="119"/>
  <c r="I55" i="119"/>
  <c r="J54" i="119"/>
  <c r="I54" i="119"/>
  <c r="J53" i="119"/>
  <c r="I53" i="119"/>
  <c r="J52" i="119"/>
  <c r="I52" i="119"/>
  <c r="J51" i="119"/>
  <c r="I51" i="119"/>
  <c r="J50" i="119"/>
  <c r="I50" i="119"/>
  <c r="J49" i="119"/>
  <c r="I49" i="119"/>
  <c r="J48" i="119"/>
  <c r="I48" i="119"/>
  <c r="J47" i="119"/>
  <c r="I47" i="119"/>
  <c r="J46" i="119"/>
  <c r="I46" i="119"/>
  <c r="J45" i="119"/>
  <c r="I45" i="119"/>
  <c r="J44" i="119"/>
  <c r="I44" i="119"/>
  <c r="J43" i="119"/>
  <c r="I43" i="119"/>
  <c r="J42" i="119"/>
  <c r="I42" i="119"/>
  <c r="J41" i="119"/>
  <c r="I41" i="119"/>
  <c r="J40" i="119"/>
  <c r="I40" i="119"/>
  <c r="J39" i="119"/>
  <c r="I39" i="119"/>
  <c r="J38" i="119"/>
  <c r="I38" i="119"/>
  <c r="J37" i="119"/>
  <c r="I37" i="119"/>
  <c r="J36" i="119"/>
  <c r="I36" i="119"/>
  <c r="J35" i="119"/>
  <c r="I35" i="119"/>
  <c r="J34" i="119"/>
  <c r="I34" i="119"/>
  <c r="J33" i="119"/>
  <c r="I33" i="119"/>
  <c r="J32" i="119"/>
  <c r="I32" i="119"/>
  <c r="J31" i="119"/>
  <c r="I31" i="119"/>
  <c r="J30" i="119"/>
  <c r="I30" i="119"/>
  <c r="J29" i="119"/>
  <c r="I29" i="119"/>
  <c r="J28" i="119"/>
  <c r="I28" i="119"/>
  <c r="J27" i="119"/>
  <c r="I27" i="119"/>
  <c r="J26" i="119"/>
  <c r="I26" i="119"/>
  <c r="J25" i="119"/>
  <c r="I25" i="119"/>
  <c r="J24" i="119"/>
  <c r="I24" i="119"/>
  <c r="J23" i="119"/>
  <c r="I23" i="119"/>
  <c r="J22" i="119"/>
  <c r="I22" i="119"/>
  <c r="J21" i="119"/>
  <c r="I21" i="119"/>
  <c r="J20" i="119"/>
  <c r="I20" i="119"/>
  <c r="J19" i="119"/>
  <c r="I19" i="119"/>
  <c r="J18" i="119"/>
  <c r="I18" i="119"/>
  <c r="J17" i="119"/>
  <c r="I17" i="119"/>
  <c r="J16" i="119"/>
  <c r="I16" i="119"/>
  <c r="J15" i="119"/>
  <c r="I15" i="119"/>
  <c r="J14" i="119"/>
  <c r="I14" i="119"/>
  <c r="J13" i="119"/>
  <c r="I13" i="119"/>
  <c r="J12" i="119"/>
  <c r="I12" i="119"/>
  <c r="J11" i="119"/>
  <c r="I11" i="119"/>
  <c r="J10" i="119"/>
  <c r="I10" i="119"/>
  <c r="J9" i="119"/>
  <c r="I9" i="119"/>
  <c r="J8" i="119"/>
  <c r="I8" i="119"/>
  <c r="J7" i="119"/>
  <c r="I7" i="119"/>
  <c r="J6" i="119"/>
  <c r="I6" i="119"/>
  <c r="J5" i="119"/>
  <c r="I5" i="119"/>
  <c r="J4" i="119"/>
  <c r="I4" i="119"/>
  <c r="J3" i="119"/>
  <c r="I3" i="119"/>
  <c r="I2" i="119"/>
  <c r="J390" i="118"/>
  <c r="I390" i="118"/>
  <c r="J389" i="118"/>
  <c r="I389" i="118"/>
  <c r="J388" i="118"/>
  <c r="I388" i="118"/>
  <c r="J387" i="118"/>
  <c r="I387" i="118"/>
  <c r="J386" i="118"/>
  <c r="I386" i="118"/>
  <c r="J385" i="118"/>
  <c r="I385" i="118"/>
  <c r="J384" i="118"/>
  <c r="I384" i="118"/>
  <c r="J383" i="118"/>
  <c r="I383" i="118"/>
  <c r="J382" i="118"/>
  <c r="I382" i="118"/>
  <c r="J381" i="118"/>
  <c r="I381" i="118"/>
  <c r="J380" i="118"/>
  <c r="I380" i="118"/>
  <c r="J379" i="118"/>
  <c r="I379" i="118"/>
  <c r="J378" i="118"/>
  <c r="I378" i="118"/>
  <c r="J377" i="118"/>
  <c r="I377" i="118"/>
  <c r="J376" i="118"/>
  <c r="I376" i="118"/>
  <c r="J375" i="118"/>
  <c r="I375" i="118"/>
  <c r="J374" i="118"/>
  <c r="I374" i="118"/>
  <c r="J373" i="118"/>
  <c r="I373" i="118"/>
  <c r="J372" i="118"/>
  <c r="I372" i="118"/>
  <c r="J371" i="118"/>
  <c r="I371" i="118"/>
  <c r="J370" i="118"/>
  <c r="I370" i="118"/>
  <c r="J369" i="118"/>
  <c r="I369" i="118"/>
  <c r="J368" i="118"/>
  <c r="I368" i="118"/>
  <c r="J367" i="118"/>
  <c r="I367" i="118"/>
  <c r="J366" i="118"/>
  <c r="I366" i="118"/>
  <c r="J365" i="118"/>
  <c r="I365" i="118"/>
  <c r="J364" i="118"/>
  <c r="I364" i="118"/>
  <c r="J363" i="118"/>
  <c r="I363" i="118"/>
  <c r="J362" i="118"/>
  <c r="I362" i="118"/>
  <c r="J361" i="118"/>
  <c r="I361" i="118"/>
  <c r="J360" i="118"/>
  <c r="I360" i="118"/>
  <c r="J359" i="118"/>
  <c r="I359" i="118"/>
  <c r="J358" i="118"/>
  <c r="I358" i="118"/>
  <c r="J357" i="118"/>
  <c r="I357" i="118"/>
  <c r="J356" i="118"/>
  <c r="I356" i="118"/>
  <c r="J355" i="118"/>
  <c r="I355" i="118"/>
  <c r="J354" i="118"/>
  <c r="I354" i="118"/>
  <c r="J353" i="118"/>
  <c r="I353" i="118"/>
  <c r="J352" i="118"/>
  <c r="I352" i="118"/>
  <c r="J351" i="118"/>
  <c r="I351" i="118"/>
  <c r="J350" i="118"/>
  <c r="I350" i="118"/>
  <c r="J349" i="118"/>
  <c r="I349" i="118"/>
  <c r="J348" i="118"/>
  <c r="I348" i="118"/>
  <c r="J347" i="118"/>
  <c r="I347" i="118"/>
  <c r="J346" i="118"/>
  <c r="I346" i="118"/>
  <c r="J345" i="118"/>
  <c r="I345" i="118"/>
  <c r="J344" i="118"/>
  <c r="I344" i="118"/>
  <c r="J343" i="118"/>
  <c r="I343" i="118"/>
  <c r="J342" i="118"/>
  <c r="I342" i="118"/>
  <c r="J341" i="118"/>
  <c r="I341" i="118"/>
  <c r="J340" i="118"/>
  <c r="I340" i="118"/>
  <c r="J339" i="118"/>
  <c r="I339" i="118"/>
  <c r="J338" i="118"/>
  <c r="I338" i="118"/>
  <c r="J337" i="118"/>
  <c r="I337" i="118"/>
  <c r="J336" i="118"/>
  <c r="I336" i="118"/>
  <c r="J335" i="118"/>
  <c r="I335" i="118"/>
  <c r="J334" i="118"/>
  <c r="I334" i="118"/>
  <c r="J333" i="118"/>
  <c r="I333" i="118"/>
  <c r="J332" i="118"/>
  <c r="I332" i="118"/>
  <c r="J331" i="118"/>
  <c r="I331" i="118"/>
  <c r="J330" i="118"/>
  <c r="I330" i="118"/>
  <c r="J329" i="118"/>
  <c r="I329" i="118"/>
  <c r="J328" i="118"/>
  <c r="I328" i="118"/>
  <c r="J327" i="118"/>
  <c r="I327" i="118"/>
  <c r="J326" i="118"/>
  <c r="I326" i="118"/>
  <c r="J325" i="118"/>
  <c r="I325" i="118"/>
  <c r="J324" i="118"/>
  <c r="I324" i="118"/>
  <c r="J323" i="118"/>
  <c r="I323" i="118"/>
  <c r="J322" i="118"/>
  <c r="I322" i="118"/>
  <c r="J321" i="118"/>
  <c r="I321" i="118"/>
  <c r="J320" i="118"/>
  <c r="I320" i="118"/>
  <c r="J319" i="118"/>
  <c r="I319" i="118"/>
  <c r="J318" i="118"/>
  <c r="I318" i="118"/>
  <c r="J317" i="118"/>
  <c r="I317" i="118"/>
  <c r="J316" i="118"/>
  <c r="I316" i="118"/>
  <c r="J315" i="118"/>
  <c r="I315" i="118"/>
  <c r="J314" i="118"/>
  <c r="I314" i="118"/>
  <c r="J313" i="118"/>
  <c r="I313" i="118"/>
  <c r="J312" i="118"/>
  <c r="I312" i="118"/>
  <c r="J311" i="118"/>
  <c r="I311" i="118"/>
  <c r="J310" i="118"/>
  <c r="I310" i="118"/>
  <c r="J309" i="118"/>
  <c r="I309" i="118"/>
  <c r="J308" i="118"/>
  <c r="I308" i="118"/>
  <c r="J307" i="118"/>
  <c r="I307" i="118"/>
  <c r="J306" i="118"/>
  <c r="I306" i="118"/>
  <c r="J305" i="118"/>
  <c r="I305" i="118"/>
  <c r="J304" i="118"/>
  <c r="I304" i="118"/>
  <c r="J303" i="118"/>
  <c r="I303" i="118"/>
  <c r="J302" i="118"/>
  <c r="I302" i="118"/>
  <c r="J301" i="118"/>
  <c r="I301" i="118"/>
  <c r="J300" i="118"/>
  <c r="I300" i="118"/>
  <c r="J299" i="118"/>
  <c r="I299" i="118"/>
  <c r="J298" i="118"/>
  <c r="I298" i="118"/>
  <c r="J297" i="118"/>
  <c r="I297" i="118"/>
  <c r="J296" i="118"/>
  <c r="I296" i="118"/>
  <c r="J295" i="118"/>
  <c r="I295" i="118"/>
  <c r="J294" i="118"/>
  <c r="I294" i="118"/>
  <c r="J293" i="118"/>
  <c r="I293" i="118"/>
  <c r="J292" i="118"/>
  <c r="I292" i="118"/>
  <c r="J291" i="118"/>
  <c r="I291" i="118"/>
  <c r="J290" i="118"/>
  <c r="I290" i="118"/>
  <c r="J289" i="118"/>
  <c r="I289" i="118"/>
  <c r="J288" i="118"/>
  <c r="I288" i="118"/>
  <c r="J287" i="118"/>
  <c r="I287" i="118"/>
  <c r="J286" i="118"/>
  <c r="I286" i="118"/>
  <c r="J285" i="118"/>
  <c r="I285" i="118"/>
  <c r="J284" i="118"/>
  <c r="I284" i="118"/>
  <c r="J283" i="118"/>
  <c r="I283" i="118"/>
  <c r="J282" i="118"/>
  <c r="I282" i="118"/>
  <c r="J281" i="118"/>
  <c r="I281" i="118"/>
  <c r="J280" i="118"/>
  <c r="I280" i="118"/>
  <c r="J279" i="118"/>
  <c r="I279" i="118"/>
  <c r="J278" i="118"/>
  <c r="I278" i="118"/>
  <c r="J277" i="118"/>
  <c r="I277" i="118"/>
  <c r="J276" i="118"/>
  <c r="I276" i="118"/>
  <c r="J275" i="118"/>
  <c r="I275" i="118"/>
  <c r="J274" i="118"/>
  <c r="I274" i="118"/>
  <c r="J273" i="118"/>
  <c r="I273" i="118"/>
  <c r="J272" i="118"/>
  <c r="I272" i="118"/>
  <c r="J271" i="118"/>
  <c r="I271" i="118"/>
  <c r="J270" i="118"/>
  <c r="I270" i="118"/>
  <c r="J269" i="118"/>
  <c r="I269" i="118"/>
  <c r="J268" i="118"/>
  <c r="I268" i="118"/>
  <c r="J267" i="118"/>
  <c r="I267" i="118"/>
  <c r="J266" i="118"/>
  <c r="I266" i="118"/>
  <c r="J265" i="118"/>
  <c r="I265" i="118"/>
  <c r="J264" i="118"/>
  <c r="I264" i="118"/>
  <c r="J263" i="118"/>
  <c r="I263" i="118"/>
  <c r="J262" i="118"/>
  <c r="I262" i="118"/>
  <c r="J261" i="118"/>
  <c r="I261" i="118"/>
  <c r="J260" i="118"/>
  <c r="I260" i="118"/>
  <c r="J259" i="118"/>
  <c r="I259" i="118"/>
  <c r="J258" i="118"/>
  <c r="I258" i="118"/>
  <c r="J257" i="118"/>
  <c r="I257" i="118"/>
  <c r="J256" i="118"/>
  <c r="I256" i="118"/>
  <c r="J255" i="118"/>
  <c r="I255" i="118"/>
  <c r="J254" i="118"/>
  <c r="I254" i="118"/>
  <c r="J253" i="118"/>
  <c r="I253" i="118"/>
  <c r="J252" i="118"/>
  <c r="I252" i="118"/>
  <c r="J251" i="118"/>
  <c r="I251" i="118"/>
  <c r="J250" i="118"/>
  <c r="I250" i="118"/>
  <c r="J249" i="118"/>
  <c r="I249" i="118"/>
  <c r="J248" i="118"/>
  <c r="I248" i="118"/>
  <c r="J247" i="118"/>
  <c r="I247" i="118"/>
  <c r="J246" i="118"/>
  <c r="I246" i="118"/>
  <c r="J245" i="118"/>
  <c r="I245" i="118"/>
  <c r="J244" i="118"/>
  <c r="I244" i="118"/>
  <c r="J243" i="118"/>
  <c r="I243" i="118"/>
  <c r="J242" i="118"/>
  <c r="I242" i="118"/>
  <c r="J241" i="118"/>
  <c r="I241" i="118"/>
  <c r="J240" i="118"/>
  <c r="I240" i="118"/>
  <c r="J239" i="118"/>
  <c r="I239" i="118"/>
  <c r="J238" i="118"/>
  <c r="I238" i="118"/>
  <c r="J237" i="118"/>
  <c r="I237" i="118"/>
  <c r="J236" i="118"/>
  <c r="I236" i="118"/>
  <c r="J235" i="118"/>
  <c r="I235" i="118"/>
  <c r="J234" i="118"/>
  <c r="I234" i="118"/>
  <c r="J233" i="118"/>
  <c r="I233" i="118"/>
  <c r="J232" i="118"/>
  <c r="I232" i="118"/>
  <c r="J231" i="118"/>
  <c r="I231" i="118"/>
  <c r="J230" i="118"/>
  <c r="I230" i="118"/>
  <c r="J229" i="118"/>
  <c r="I229" i="118"/>
  <c r="J228" i="118"/>
  <c r="I228" i="118"/>
  <c r="J227" i="118"/>
  <c r="I227" i="118"/>
  <c r="J226" i="118"/>
  <c r="I226" i="118"/>
  <c r="J225" i="118"/>
  <c r="I225" i="118"/>
  <c r="J224" i="118"/>
  <c r="I224" i="118"/>
  <c r="J223" i="118"/>
  <c r="I223" i="118"/>
  <c r="J222" i="118"/>
  <c r="I222" i="118"/>
  <c r="J221" i="118"/>
  <c r="I221" i="118"/>
  <c r="J220" i="118"/>
  <c r="I220" i="118"/>
  <c r="J219" i="118"/>
  <c r="I219" i="118"/>
  <c r="J218" i="118"/>
  <c r="I218" i="118"/>
  <c r="J217" i="118"/>
  <c r="I217" i="118"/>
  <c r="J216" i="118"/>
  <c r="I216" i="118"/>
  <c r="J215" i="118"/>
  <c r="I215" i="118"/>
  <c r="J214" i="118"/>
  <c r="I214" i="118"/>
  <c r="J213" i="118"/>
  <c r="I213" i="118"/>
  <c r="J212" i="118"/>
  <c r="I212" i="118"/>
  <c r="J211" i="118"/>
  <c r="I211" i="118"/>
  <c r="J210" i="118"/>
  <c r="I210" i="118"/>
  <c r="J209" i="118"/>
  <c r="I209" i="118"/>
  <c r="J208" i="118"/>
  <c r="I208" i="118"/>
  <c r="J207" i="118"/>
  <c r="I207" i="118"/>
  <c r="J206" i="118"/>
  <c r="I206" i="118"/>
  <c r="J205" i="118"/>
  <c r="I205" i="118"/>
  <c r="J204" i="118"/>
  <c r="I204" i="118"/>
  <c r="J203" i="118"/>
  <c r="I203" i="118"/>
  <c r="J202" i="118"/>
  <c r="I202" i="118"/>
  <c r="J201" i="118"/>
  <c r="I201" i="118"/>
  <c r="J200" i="118"/>
  <c r="I200" i="118"/>
  <c r="J199" i="118"/>
  <c r="I199" i="118"/>
  <c r="J198" i="118"/>
  <c r="I198" i="118"/>
  <c r="J197" i="118"/>
  <c r="I197" i="118"/>
  <c r="J196" i="118"/>
  <c r="I196" i="118"/>
  <c r="J195" i="118"/>
  <c r="I195" i="118"/>
  <c r="J194" i="118"/>
  <c r="I194" i="118"/>
  <c r="J193" i="118"/>
  <c r="I193" i="118"/>
  <c r="J192" i="118"/>
  <c r="I192" i="118"/>
  <c r="J191" i="118"/>
  <c r="I191" i="118"/>
  <c r="J190" i="118"/>
  <c r="I190" i="118"/>
  <c r="J189" i="118"/>
  <c r="I189" i="118"/>
  <c r="J188" i="118"/>
  <c r="I188" i="118"/>
  <c r="J187" i="118"/>
  <c r="I187" i="118"/>
  <c r="J186" i="118"/>
  <c r="I186" i="118"/>
  <c r="J185" i="118"/>
  <c r="I185" i="118"/>
  <c r="J184" i="118"/>
  <c r="I184" i="118"/>
  <c r="J183" i="118"/>
  <c r="I183" i="118"/>
  <c r="J182" i="118"/>
  <c r="I182" i="118"/>
  <c r="J181" i="118"/>
  <c r="I181" i="118"/>
  <c r="J180" i="118"/>
  <c r="I180" i="118"/>
  <c r="J179" i="118"/>
  <c r="I179" i="118"/>
  <c r="J178" i="118"/>
  <c r="I178" i="118"/>
  <c r="J177" i="118"/>
  <c r="I177" i="118"/>
  <c r="J176" i="118"/>
  <c r="I176" i="118"/>
  <c r="J175" i="118"/>
  <c r="I175" i="118"/>
  <c r="J174" i="118"/>
  <c r="I174" i="118"/>
  <c r="J173" i="118"/>
  <c r="I173" i="118"/>
  <c r="J172" i="118"/>
  <c r="I172" i="118"/>
  <c r="J171" i="118"/>
  <c r="I171" i="118"/>
  <c r="J170" i="118"/>
  <c r="I170" i="118"/>
  <c r="J169" i="118"/>
  <c r="I169" i="118"/>
  <c r="J168" i="118"/>
  <c r="I168" i="118"/>
  <c r="J167" i="118"/>
  <c r="I167" i="118"/>
  <c r="J166" i="118"/>
  <c r="I166" i="118"/>
  <c r="J165" i="118"/>
  <c r="I165" i="118"/>
  <c r="J164" i="118"/>
  <c r="I164" i="118"/>
  <c r="J163" i="118"/>
  <c r="I163" i="118"/>
  <c r="J162" i="118"/>
  <c r="I162" i="118"/>
  <c r="J161" i="118"/>
  <c r="I161" i="118"/>
  <c r="J160" i="118"/>
  <c r="I160" i="118"/>
  <c r="J159" i="118"/>
  <c r="I159" i="118"/>
  <c r="J158" i="118"/>
  <c r="I158" i="118"/>
  <c r="J157" i="118"/>
  <c r="I157" i="118"/>
  <c r="J156" i="118"/>
  <c r="I156" i="118"/>
  <c r="J155" i="118"/>
  <c r="I155" i="118"/>
  <c r="J154" i="118"/>
  <c r="I154" i="118"/>
  <c r="J153" i="118"/>
  <c r="I153" i="118"/>
  <c r="J152" i="118"/>
  <c r="I152" i="118"/>
  <c r="J151" i="118"/>
  <c r="I151" i="118"/>
  <c r="J150" i="118"/>
  <c r="I150" i="118"/>
  <c r="J149" i="118"/>
  <c r="I149" i="118"/>
  <c r="J148" i="118"/>
  <c r="I148" i="118"/>
  <c r="J147" i="118"/>
  <c r="I147" i="118"/>
  <c r="J146" i="118"/>
  <c r="I146" i="118"/>
  <c r="J145" i="118"/>
  <c r="I145" i="118"/>
  <c r="J144" i="118"/>
  <c r="I144" i="118"/>
  <c r="J143" i="118"/>
  <c r="I143" i="118"/>
  <c r="J142" i="118"/>
  <c r="I142" i="118"/>
  <c r="J141" i="118"/>
  <c r="I141" i="118"/>
  <c r="J140" i="118"/>
  <c r="I140" i="118"/>
  <c r="J139" i="118"/>
  <c r="I139" i="118"/>
  <c r="J138" i="118"/>
  <c r="I138" i="118"/>
  <c r="J137" i="118"/>
  <c r="I137" i="118"/>
  <c r="J136" i="118"/>
  <c r="I136" i="118"/>
  <c r="J135" i="118"/>
  <c r="I135" i="118"/>
  <c r="J134" i="118"/>
  <c r="I134" i="118"/>
  <c r="J133" i="118"/>
  <c r="I133" i="118"/>
  <c r="J132" i="118"/>
  <c r="I132" i="118"/>
  <c r="J131" i="118"/>
  <c r="I131" i="118"/>
  <c r="J130" i="118"/>
  <c r="I130" i="118"/>
  <c r="J129" i="118"/>
  <c r="I129" i="118"/>
  <c r="J128" i="118"/>
  <c r="I128" i="118"/>
  <c r="J127" i="118"/>
  <c r="I127" i="118"/>
  <c r="J126" i="118"/>
  <c r="I126" i="118"/>
  <c r="J125" i="118"/>
  <c r="I125" i="118"/>
  <c r="J124" i="118"/>
  <c r="I124" i="118"/>
  <c r="J123" i="118"/>
  <c r="I123" i="118"/>
  <c r="J122" i="118"/>
  <c r="I122" i="118"/>
  <c r="J121" i="118"/>
  <c r="I121" i="118"/>
  <c r="J120" i="118"/>
  <c r="I120" i="118"/>
  <c r="J119" i="118"/>
  <c r="I119" i="118"/>
  <c r="J118" i="118"/>
  <c r="I118" i="118"/>
  <c r="J117" i="118"/>
  <c r="I117" i="118"/>
  <c r="J116" i="118"/>
  <c r="I116" i="118"/>
  <c r="J115" i="118"/>
  <c r="I115" i="118"/>
  <c r="J114" i="118"/>
  <c r="I114" i="118"/>
  <c r="J113" i="118"/>
  <c r="I113" i="118"/>
  <c r="J112" i="118"/>
  <c r="I112" i="118"/>
  <c r="J111" i="118"/>
  <c r="I111" i="118"/>
  <c r="J110" i="118"/>
  <c r="I110" i="118"/>
  <c r="J109" i="118"/>
  <c r="I109" i="118"/>
  <c r="J108" i="118"/>
  <c r="I108" i="118"/>
  <c r="J107" i="118"/>
  <c r="I107" i="118"/>
  <c r="J106" i="118"/>
  <c r="I106" i="118"/>
  <c r="J105" i="118"/>
  <c r="I105" i="118"/>
  <c r="J104" i="118"/>
  <c r="I104" i="118"/>
  <c r="J103" i="118"/>
  <c r="I103" i="118"/>
  <c r="J102" i="118"/>
  <c r="I102" i="118"/>
  <c r="J101" i="118"/>
  <c r="I101" i="118"/>
  <c r="J100" i="118"/>
  <c r="I100" i="118"/>
  <c r="J99" i="118"/>
  <c r="I99" i="118"/>
  <c r="J98" i="118"/>
  <c r="I98" i="118"/>
  <c r="J97" i="118"/>
  <c r="I97" i="118"/>
  <c r="J96" i="118"/>
  <c r="I96" i="118"/>
  <c r="J95" i="118"/>
  <c r="I95" i="118"/>
  <c r="J94" i="118"/>
  <c r="I94" i="118"/>
  <c r="J93" i="118"/>
  <c r="I93" i="118"/>
  <c r="J92" i="118"/>
  <c r="I92" i="118"/>
  <c r="J91" i="118"/>
  <c r="I91" i="118"/>
  <c r="J90" i="118"/>
  <c r="I90" i="118"/>
  <c r="J89" i="118"/>
  <c r="I89" i="118"/>
  <c r="J88" i="118"/>
  <c r="I88" i="118"/>
  <c r="J87" i="118"/>
  <c r="I87" i="118"/>
  <c r="J86" i="118"/>
  <c r="I86" i="118"/>
  <c r="J85" i="118"/>
  <c r="I85" i="118"/>
  <c r="J84" i="118"/>
  <c r="I84" i="118"/>
  <c r="J83" i="118"/>
  <c r="I83" i="118"/>
  <c r="J82" i="118"/>
  <c r="I82" i="118"/>
  <c r="J81" i="118"/>
  <c r="I81" i="118"/>
  <c r="J80" i="118"/>
  <c r="I80" i="118"/>
  <c r="J79" i="118"/>
  <c r="I79" i="118"/>
  <c r="J78" i="118"/>
  <c r="I78" i="118"/>
  <c r="J77" i="118"/>
  <c r="I77" i="118"/>
  <c r="J76" i="118"/>
  <c r="I76" i="118"/>
  <c r="J75" i="118"/>
  <c r="I75" i="118"/>
  <c r="J74" i="118"/>
  <c r="I74" i="118"/>
  <c r="J73" i="118"/>
  <c r="I73" i="118"/>
  <c r="J72" i="118"/>
  <c r="I72" i="118"/>
  <c r="J71" i="118"/>
  <c r="I71" i="118"/>
  <c r="J70" i="118"/>
  <c r="I70" i="118"/>
  <c r="J69" i="118"/>
  <c r="I69" i="118"/>
  <c r="J68" i="118"/>
  <c r="I68" i="118"/>
  <c r="J67" i="118"/>
  <c r="I67" i="118"/>
  <c r="J66" i="118"/>
  <c r="I66" i="118"/>
  <c r="J65" i="118"/>
  <c r="I65" i="118"/>
  <c r="J64" i="118"/>
  <c r="I64" i="118"/>
  <c r="J63" i="118"/>
  <c r="I63" i="118"/>
  <c r="J62" i="118"/>
  <c r="I62" i="118"/>
  <c r="J61" i="118"/>
  <c r="I61" i="118"/>
  <c r="J60" i="118"/>
  <c r="I60" i="118"/>
  <c r="J59" i="118"/>
  <c r="I59" i="118"/>
  <c r="J58" i="118"/>
  <c r="I58" i="118"/>
  <c r="J57" i="118"/>
  <c r="I57" i="118"/>
  <c r="J56" i="118"/>
  <c r="I56" i="118"/>
  <c r="J55" i="118"/>
  <c r="I55" i="118"/>
  <c r="J54" i="118"/>
  <c r="I54" i="118"/>
  <c r="J53" i="118"/>
  <c r="I53" i="118"/>
  <c r="J52" i="118"/>
  <c r="I52" i="118"/>
  <c r="J51" i="118"/>
  <c r="I51" i="118"/>
  <c r="J50" i="118"/>
  <c r="I50" i="118"/>
  <c r="J49" i="118"/>
  <c r="I49" i="118"/>
  <c r="J48" i="118"/>
  <c r="I48" i="118"/>
  <c r="J47" i="118"/>
  <c r="I47" i="118"/>
  <c r="J46" i="118"/>
  <c r="I46" i="118"/>
  <c r="J45" i="118"/>
  <c r="I45" i="118"/>
  <c r="J44" i="118"/>
  <c r="I44" i="118"/>
  <c r="J43" i="118"/>
  <c r="I43" i="118"/>
  <c r="J42" i="118"/>
  <c r="I42" i="118"/>
  <c r="J41" i="118"/>
  <c r="I41" i="118"/>
  <c r="J40" i="118"/>
  <c r="I40" i="118"/>
  <c r="J39" i="118"/>
  <c r="I39" i="118"/>
  <c r="J38" i="118"/>
  <c r="I38" i="118"/>
  <c r="J37" i="118"/>
  <c r="I37" i="118"/>
  <c r="J36" i="118"/>
  <c r="I36" i="118"/>
  <c r="J35" i="118"/>
  <c r="I35" i="118"/>
  <c r="J34" i="118"/>
  <c r="I34" i="118"/>
  <c r="J33" i="118"/>
  <c r="I33" i="118"/>
  <c r="J32" i="118"/>
  <c r="I32" i="118"/>
  <c r="J31" i="118"/>
  <c r="I31" i="118"/>
  <c r="J30" i="118"/>
  <c r="I30" i="118"/>
  <c r="J29" i="118"/>
  <c r="I29" i="118"/>
  <c r="J28" i="118"/>
  <c r="I28" i="118"/>
  <c r="J27" i="118"/>
  <c r="I27" i="118"/>
  <c r="J26" i="118"/>
  <c r="I26" i="118"/>
  <c r="J25" i="118"/>
  <c r="I25" i="118"/>
  <c r="J24" i="118"/>
  <c r="I24" i="118"/>
  <c r="J23" i="118"/>
  <c r="I23" i="118"/>
  <c r="J22" i="118"/>
  <c r="I22" i="118"/>
  <c r="J21" i="118"/>
  <c r="I21" i="118"/>
  <c r="J20" i="118"/>
  <c r="I20" i="118"/>
  <c r="J19" i="118"/>
  <c r="I19" i="118"/>
  <c r="J18" i="118"/>
  <c r="I18" i="118"/>
  <c r="J17" i="118"/>
  <c r="I17" i="118"/>
  <c r="J16" i="118"/>
  <c r="I16" i="118"/>
  <c r="J15" i="118"/>
  <c r="I15" i="118"/>
  <c r="J14" i="118"/>
  <c r="I14" i="118"/>
  <c r="J13" i="118"/>
  <c r="I13" i="118"/>
  <c r="J12" i="118"/>
  <c r="I12" i="118"/>
  <c r="J11" i="118"/>
  <c r="I11" i="118"/>
  <c r="J10" i="118"/>
  <c r="I10" i="118"/>
  <c r="J9" i="118"/>
  <c r="I9" i="118"/>
  <c r="J8" i="118"/>
  <c r="I8" i="118"/>
  <c r="J7" i="118"/>
  <c r="I7" i="118"/>
  <c r="J6" i="118"/>
  <c r="I6" i="118"/>
  <c r="J5" i="118"/>
  <c r="I5" i="118"/>
  <c r="J4" i="118"/>
  <c r="I4" i="118"/>
  <c r="J3" i="118"/>
  <c r="I3" i="118"/>
  <c r="I2" i="118"/>
  <c r="J390" i="117"/>
  <c r="I390" i="117"/>
  <c r="J389" i="117"/>
  <c r="I389" i="117"/>
  <c r="J388" i="117"/>
  <c r="I388" i="117"/>
  <c r="J387" i="117"/>
  <c r="I387" i="117"/>
  <c r="J386" i="117"/>
  <c r="I386" i="117"/>
  <c r="J385" i="117"/>
  <c r="I385" i="117"/>
  <c r="J384" i="117"/>
  <c r="I384" i="117"/>
  <c r="J383" i="117"/>
  <c r="I383" i="117"/>
  <c r="J382" i="117"/>
  <c r="I382" i="117"/>
  <c r="J381" i="117"/>
  <c r="I381" i="117"/>
  <c r="J380" i="117"/>
  <c r="I380" i="117"/>
  <c r="J379" i="117"/>
  <c r="I379" i="117"/>
  <c r="J378" i="117"/>
  <c r="I378" i="117"/>
  <c r="J377" i="117"/>
  <c r="I377" i="117"/>
  <c r="J376" i="117"/>
  <c r="I376" i="117"/>
  <c r="J375" i="117"/>
  <c r="I375" i="117"/>
  <c r="J374" i="117"/>
  <c r="I374" i="117"/>
  <c r="J373" i="117"/>
  <c r="I373" i="117"/>
  <c r="J372" i="117"/>
  <c r="I372" i="117"/>
  <c r="J371" i="117"/>
  <c r="I371" i="117"/>
  <c r="J370" i="117"/>
  <c r="I370" i="117"/>
  <c r="J369" i="117"/>
  <c r="I369" i="117"/>
  <c r="J368" i="117"/>
  <c r="I368" i="117"/>
  <c r="J367" i="117"/>
  <c r="I367" i="117"/>
  <c r="J366" i="117"/>
  <c r="I366" i="117"/>
  <c r="J365" i="117"/>
  <c r="I365" i="117"/>
  <c r="J364" i="117"/>
  <c r="I364" i="117"/>
  <c r="J363" i="117"/>
  <c r="I363" i="117"/>
  <c r="J362" i="117"/>
  <c r="I362" i="117"/>
  <c r="J361" i="117"/>
  <c r="I361" i="117"/>
  <c r="J360" i="117"/>
  <c r="I360" i="117"/>
  <c r="J359" i="117"/>
  <c r="I359" i="117"/>
  <c r="J358" i="117"/>
  <c r="I358" i="117"/>
  <c r="J357" i="117"/>
  <c r="I357" i="117"/>
  <c r="J356" i="117"/>
  <c r="I356" i="117"/>
  <c r="J355" i="117"/>
  <c r="I355" i="117"/>
  <c r="J354" i="117"/>
  <c r="I354" i="117"/>
  <c r="J353" i="117"/>
  <c r="I353" i="117"/>
  <c r="J352" i="117"/>
  <c r="I352" i="117"/>
  <c r="J351" i="117"/>
  <c r="I351" i="117"/>
  <c r="J350" i="117"/>
  <c r="I350" i="117"/>
  <c r="J349" i="117"/>
  <c r="I349" i="117"/>
  <c r="J348" i="117"/>
  <c r="I348" i="117"/>
  <c r="J347" i="117"/>
  <c r="I347" i="117"/>
  <c r="J346" i="117"/>
  <c r="I346" i="117"/>
  <c r="J345" i="117"/>
  <c r="I345" i="117"/>
  <c r="J344" i="117"/>
  <c r="I344" i="117"/>
  <c r="J343" i="117"/>
  <c r="I343" i="117"/>
  <c r="J342" i="117"/>
  <c r="I342" i="117"/>
  <c r="J341" i="117"/>
  <c r="I341" i="117"/>
  <c r="J340" i="117"/>
  <c r="I340" i="117"/>
  <c r="J339" i="117"/>
  <c r="I339" i="117"/>
  <c r="J338" i="117"/>
  <c r="I338" i="117"/>
  <c r="J337" i="117"/>
  <c r="I337" i="117"/>
  <c r="J336" i="117"/>
  <c r="I336" i="117"/>
  <c r="J335" i="117"/>
  <c r="I335" i="117"/>
  <c r="J334" i="117"/>
  <c r="I334" i="117"/>
  <c r="J333" i="117"/>
  <c r="I333" i="117"/>
  <c r="J332" i="117"/>
  <c r="I332" i="117"/>
  <c r="J331" i="117"/>
  <c r="I331" i="117"/>
  <c r="J330" i="117"/>
  <c r="I330" i="117"/>
  <c r="J329" i="117"/>
  <c r="I329" i="117"/>
  <c r="J328" i="117"/>
  <c r="I328" i="117"/>
  <c r="J327" i="117"/>
  <c r="I327" i="117"/>
  <c r="J326" i="117"/>
  <c r="I326" i="117"/>
  <c r="J325" i="117"/>
  <c r="I325" i="117"/>
  <c r="J324" i="117"/>
  <c r="I324" i="117"/>
  <c r="J323" i="117"/>
  <c r="I323" i="117"/>
  <c r="J322" i="117"/>
  <c r="I322" i="117"/>
  <c r="J321" i="117"/>
  <c r="I321" i="117"/>
  <c r="J320" i="117"/>
  <c r="I320" i="117"/>
  <c r="J319" i="117"/>
  <c r="I319" i="117"/>
  <c r="J318" i="117"/>
  <c r="I318" i="117"/>
  <c r="J317" i="117"/>
  <c r="I317" i="117"/>
  <c r="J316" i="117"/>
  <c r="I316" i="117"/>
  <c r="J315" i="117"/>
  <c r="I315" i="117"/>
  <c r="J314" i="117"/>
  <c r="I314" i="117"/>
  <c r="J313" i="117"/>
  <c r="I313" i="117"/>
  <c r="J312" i="117"/>
  <c r="I312" i="117"/>
  <c r="J311" i="117"/>
  <c r="I311" i="117"/>
  <c r="J310" i="117"/>
  <c r="I310" i="117"/>
  <c r="J309" i="117"/>
  <c r="I309" i="117"/>
  <c r="J308" i="117"/>
  <c r="I308" i="117"/>
  <c r="J307" i="117"/>
  <c r="I307" i="117"/>
  <c r="J306" i="117"/>
  <c r="I306" i="117"/>
  <c r="J305" i="117"/>
  <c r="I305" i="117"/>
  <c r="J304" i="117"/>
  <c r="I304" i="117"/>
  <c r="J303" i="117"/>
  <c r="I303" i="117"/>
  <c r="J302" i="117"/>
  <c r="I302" i="117"/>
  <c r="J301" i="117"/>
  <c r="I301" i="117"/>
  <c r="J300" i="117"/>
  <c r="I300" i="117"/>
  <c r="J299" i="117"/>
  <c r="I299" i="117"/>
  <c r="J298" i="117"/>
  <c r="I298" i="117"/>
  <c r="J297" i="117"/>
  <c r="I297" i="117"/>
  <c r="J296" i="117"/>
  <c r="I296" i="117"/>
  <c r="J295" i="117"/>
  <c r="I295" i="117"/>
  <c r="J294" i="117"/>
  <c r="I294" i="117"/>
  <c r="J293" i="117"/>
  <c r="I293" i="117"/>
  <c r="J292" i="117"/>
  <c r="I292" i="117"/>
  <c r="J291" i="117"/>
  <c r="I291" i="117"/>
  <c r="J290" i="117"/>
  <c r="I290" i="117"/>
  <c r="J289" i="117"/>
  <c r="I289" i="117"/>
  <c r="J288" i="117"/>
  <c r="I288" i="117"/>
  <c r="J287" i="117"/>
  <c r="I287" i="117"/>
  <c r="J286" i="117"/>
  <c r="I286" i="117"/>
  <c r="J285" i="117"/>
  <c r="I285" i="117"/>
  <c r="J284" i="117"/>
  <c r="I284" i="117"/>
  <c r="J283" i="117"/>
  <c r="I283" i="117"/>
  <c r="J282" i="117"/>
  <c r="I282" i="117"/>
  <c r="J281" i="117"/>
  <c r="I281" i="117"/>
  <c r="J280" i="117"/>
  <c r="I280" i="117"/>
  <c r="J279" i="117"/>
  <c r="I279" i="117"/>
  <c r="J278" i="117"/>
  <c r="I278" i="117"/>
  <c r="J277" i="117"/>
  <c r="I277" i="117"/>
  <c r="J276" i="117"/>
  <c r="I276" i="117"/>
  <c r="J275" i="117"/>
  <c r="I275" i="117"/>
  <c r="J274" i="117"/>
  <c r="I274" i="117"/>
  <c r="J273" i="117"/>
  <c r="I273" i="117"/>
  <c r="J272" i="117"/>
  <c r="I272" i="117"/>
  <c r="J271" i="117"/>
  <c r="I271" i="117"/>
  <c r="J270" i="117"/>
  <c r="I270" i="117"/>
  <c r="J269" i="117"/>
  <c r="I269" i="117"/>
  <c r="J268" i="117"/>
  <c r="I268" i="117"/>
  <c r="J267" i="117"/>
  <c r="I267" i="117"/>
  <c r="J266" i="117"/>
  <c r="I266" i="117"/>
  <c r="J265" i="117"/>
  <c r="I265" i="117"/>
  <c r="J264" i="117"/>
  <c r="I264" i="117"/>
  <c r="J263" i="117"/>
  <c r="I263" i="117"/>
  <c r="J262" i="117"/>
  <c r="I262" i="117"/>
  <c r="J261" i="117"/>
  <c r="I261" i="117"/>
  <c r="J260" i="117"/>
  <c r="I260" i="117"/>
  <c r="J259" i="117"/>
  <c r="I259" i="117"/>
  <c r="J258" i="117"/>
  <c r="I258" i="117"/>
  <c r="J257" i="117"/>
  <c r="I257" i="117"/>
  <c r="J256" i="117"/>
  <c r="I256" i="117"/>
  <c r="J255" i="117"/>
  <c r="I255" i="117"/>
  <c r="J254" i="117"/>
  <c r="I254" i="117"/>
  <c r="J253" i="117"/>
  <c r="I253" i="117"/>
  <c r="J252" i="117"/>
  <c r="I252" i="117"/>
  <c r="J251" i="117"/>
  <c r="I251" i="117"/>
  <c r="J250" i="117"/>
  <c r="I250" i="117"/>
  <c r="J249" i="117"/>
  <c r="I249" i="117"/>
  <c r="J248" i="117"/>
  <c r="I248" i="117"/>
  <c r="J247" i="117"/>
  <c r="I247" i="117"/>
  <c r="J246" i="117"/>
  <c r="I246" i="117"/>
  <c r="J245" i="117"/>
  <c r="I245" i="117"/>
  <c r="J244" i="117"/>
  <c r="I244" i="117"/>
  <c r="J243" i="117"/>
  <c r="I243" i="117"/>
  <c r="J242" i="117"/>
  <c r="I242" i="117"/>
  <c r="J241" i="117"/>
  <c r="I241" i="117"/>
  <c r="J240" i="117"/>
  <c r="I240" i="117"/>
  <c r="J239" i="117"/>
  <c r="I239" i="117"/>
  <c r="J238" i="117"/>
  <c r="I238" i="117"/>
  <c r="J237" i="117"/>
  <c r="I237" i="117"/>
  <c r="J236" i="117"/>
  <c r="I236" i="117"/>
  <c r="J235" i="117"/>
  <c r="I235" i="117"/>
  <c r="J234" i="117"/>
  <c r="I234" i="117"/>
  <c r="J233" i="117"/>
  <c r="I233" i="117"/>
  <c r="J232" i="117"/>
  <c r="I232" i="117"/>
  <c r="J231" i="117"/>
  <c r="I231" i="117"/>
  <c r="J230" i="117"/>
  <c r="I230" i="117"/>
  <c r="J229" i="117"/>
  <c r="I229" i="117"/>
  <c r="J228" i="117"/>
  <c r="I228" i="117"/>
  <c r="J227" i="117"/>
  <c r="I227" i="117"/>
  <c r="J226" i="117"/>
  <c r="I226" i="117"/>
  <c r="J225" i="117"/>
  <c r="I225" i="117"/>
  <c r="J224" i="117"/>
  <c r="I224" i="117"/>
  <c r="J223" i="117"/>
  <c r="I223" i="117"/>
  <c r="J222" i="117"/>
  <c r="I222" i="117"/>
  <c r="J221" i="117"/>
  <c r="I221" i="117"/>
  <c r="J220" i="117"/>
  <c r="I220" i="117"/>
  <c r="J219" i="117"/>
  <c r="I219" i="117"/>
  <c r="J218" i="117"/>
  <c r="I218" i="117"/>
  <c r="J217" i="117"/>
  <c r="I217" i="117"/>
  <c r="J216" i="117"/>
  <c r="I216" i="117"/>
  <c r="J215" i="117"/>
  <c r="I215" i="117"/>
  <c r="J214" i="117"/>
  <c r="I214" i="117"/>
  <c r="J213" i="117"/>
  <c r="I213" i="117"/>
  <c r="J212" i="117"/>
  <c r="I212" i="117"/>
  <c r="J211" i="117"/>
  <c r="I211" i="117"/>
  <c r="J210" i="117"/>
  <c r="I210" i="117"/>
  <c r="J209" i="117"/>
  <c r="I209" i="117"/>
  <c r="J208" i="117"/>
  <c r="I208" i="117"/>
  <c r="J207" i="117"/>
  <c r="I207" i="117"/>
  <c r="J206" i="117"/>
  <c r="I206" i="117"/>
  <c r="J205" i="117"/>
  <c r="I205" i="117"/>
  <c r="J204" i="117"/>
  <c r="I204" i="117"/>
  <c r="J203" i="117"/>
  <c r="I203" i="117"/>
  <c r="J202" i="117"/>
  <c r="I202" i="117"/>
  <c r="J201" i="117"/>
  <c r="I201" i="117"/>
  <c r="J200" i="117"/>
  <c r="I200" i="117"/>
  <c r="J199" i="117"/>
  <c r="I199" i="117"/>
  <c r="J198" i="117"/>
  <c r="I198" i="117"/>
  <c r="J197" i="117"/>
  <c r="I197" i="117"/>
  <c r="J196" i="117"/>
  <c r="I196" i="117"/>
  <c r="J195" i="117"/>
  <c r="I195" i="117"/>
  <c r="J194" i="117"/>
  <c r="I194" i="117"/>
  <c r="J193" i="117"/>
  <c r="I193" i="117"/>
  <c r="J192" i="117"/>
  <c r="I192" i="117"/>
  <c r="J191" i="117"/>
  <c r="I191" i="117"/>
  <c r="J190" i="117"/>
  <c r="I190" i="117"/>
  <c r="J189" i="117"/>
  <c r="I189" i="117"/>
  <c r="J188" i="117"/>
  <c r="I188" i="117"/>
  <c r="J187" i="117"/>
  <c r="I187" i="117"/>
  <c r="J186" i="117"/>
  <c r="I186" i="117"/>
  <c r="J185" i="117"/>
  <c r="I185" i="117"/>
  <c r="J184" i="117"/>
  <c r="I184" i="117"/>
  <c r="J183" i="117"/>
  <c r="I183" i="117"/>
  <c r="J182" i="117"/>
  <c r="I182" i="117"/>
  <c r="J181" i="117"/>
  <c r="I181" i="117"/>
  <c r="J180" i="117"/>
  <c r="I180" i="117"/>
  <c r="J179" i="117"/>
  <c r="I179" i="117"/>
  <c r="J178" i="117"/>
  <c r="I178" i="117"/>
  <c r="J177" i="117"/>
  <c r="I177" i="117"/>
  <c r="J176" i="117"/>
  <c r="I176" i="117"/>
  <c r="J175" i="117"/>
  <c r="I175" i="117"/>
  <c r="J174" i="117"/>
  <c r="I174" i="117"/>
  <c r="J173" i="117"/>
  <c r="I173" i="117"/>
  <c r="J172" i="117"/>
  <c r="I172" i="117"/>
  <c r="J171" i="117"/>
  <c r="I171" i="117"/>
  <c r="J170" i="117"/>
  <c r="I170" i="117"/>
  <c r="J169" i="117"/>
  <c r="I169" i="117"/>
  <c r="J168" i="117"/>
  <c r="I168" i="117"/>
  <c r="J167" i="117"/>
  <c r="I167" i="117"/>
  <c r="J166" i="117"/>
  <c r="I166" i="117"/>
  <c r="J165" i="117"/>
  <c r="I165" i="117"/>
  <c r="J164" i="117"/>
  <c r="I164" i="117"/>
  <c r="J163" i="117"/>
  <c r="I163" i="117"/>
  <c r="J162" i="117"/>
  <c r="I162" i="117"/>
  <c r="J161" i="117"/>
  <c r="I161" i="117"/>
  <c r="J160" i="117"/>
  <c r="I160" i="117"/>
  <c r="J159" i="117"/>
  <c r="I159" i="117"/>
  <c r="J158" i="117"/>
  <c r="I158" i="117"/>
  <c r="J157" i="117"/>
  <c r="I157" i="117"/>
  <c r="J156" i="117"/>
  <c r="I156" i="117"/>
  <c r="J155" i="117"/>
  <c r="I155" i="117"/>
  <c r="J154" i="117"/>
  <c r="I154" i="117"/>
  <c r="J153" i="117"/>
  <c r="I153" i="117"/>
  <c r="J152" i="117"/>
  <c r="I152" i="117"/>
  <c r="J151" i="117"/>
  <c r="I151" i="117"/>
  <c r="J150" i="117"/>
  <c r="I150" i="117"/>
  <c r="J149" i="117"/>
  <c r="I149" i="117"/>
  <c r="J148" i="117"/>
  <c r="I148" i="117"/>
  <c r="J147" i="117"/>
  <c r="I147" i="117"/>
  <c r="J146" i="117"/>
  <c r="I146" i="117"/>
  <c r="J145" i="117"/>
  <c r="I145" i="117"/>
  <c r="J144" i="117"/>
  <c r="I144" i="117"/>
  <c r="J143" i="117"/>
  <c r="I143" i="117"/>
  <c r="J142" i="117"/>
  <c r="I142" i="117"/>
  <c r="J141" i="117"/>
  <c r="I141" i="117"/>
  <c r="J140" i="117"/>
  <c r="I140" i="117"/>
  <c r="J139" i="117"/>
  <c r="I139" i="117"/>
  <c r="J138" i="117"/>
  <c r="I138" i="117"/>
  <c r="J137" i="117"/>
  <c r="I137" i="117"/>
  <c r="J136" i="117"/>
  <c r="I136" i="117"/>
  <c r="J135" i="117"/>
  <c r="I135" i="117"/>
  <c r="J134" i="117"/>
  <c r="I134" i="117"/>
  <c r="J133" i="117"/>
  <c r="I133" i="117"/>
  <c r="J132" i="117"/>
  <c r="I132" i="117"/>
  <c r="J131" i="117"/>
  <c r="I131" i="117"/>
  <c r="J130" i="117"/>
  <c r="I130" i="117"/>
  <c r="J129" i="117"/>
  <c r="I129" i="117"/>
  <c r="J128" i="117"/>
  <c r="I128" i="117"/>
  <c r="J127" i="117"/>
  <c r="I127" i="117"/>
  <c r="J126" i="117"/>
  <c r="I126" i="117"/>
  <c r="J125" i="117"/>
  <c r="I125" i="117"/>
  <c r="J124" i="117"/>
  <c r="I124" i="117"/>
  <c r="J123" i="117"/>
  <c r="I123" i="117"/>
  <c r="J122" i="117"/>
  <c r="I122" i="117"/>
  <c r="J121" i="117"/>
  <c r="I121" i="117"/>
  <c r="J120" i="117"/>
  <c r="I120" i="117"/>
  <c r="J119" i="117"/>
  <c r="I119" i="117"/>
  <c r="J118" i="117"/>
  <c r="I118" i="117"/>
  <c r="J117" i="117"/>
  <c r="I117" i="117"/>
  <c r="J116" i="117"/>
  <c r="I116" i="117"/>
  <c r="J115" i="117"/>
  <c r="I115" i="117"/>
  <c r="J114" i="117"/>
  <c r="I114" i="117"/>
  <c r="J113" i="117"/>
  <c r="I113" i="117"/>
  <c r="J112" i="117"/>
  <c r="I112" i="117"/>
  <c r="J111" i="117"/>
  <c r="I111" i="117"/>
  <c r="J110" i="117"/>
  <c r="I110" i="117"/>
  <c r="J109" i="117"/>
  <c r="I109" i="117"/>
  <c r="J108" i="117"/>
  <c r="I108" i="117"/>
  <c r="J107" i="117"/>
  <c r="I107" i="117"/>
  <c r="J106" i="117"/>
  <c r="I106" i="117"/>
  <c r="J105" i="117"/>
  <c r="I105" i="117"/>
  <c r="J104" i="117"/>
  <c r="I104" i="117"/>
  <c r="J103" i="117"/>
  <c r="I103" i="117"/>
  <c r="J102" i="117"/>
  <c r="I102" i="117"/>
  <c r="J101" i="117"/>
  <c r="I101" i="117"/>
  <c r="J100" i="117"/>
  <c r="I100" i="117"/>
  <c r="J99" i="117"/>
  <c r="I99" i="117"/>
  <c r="J98" i="117"/>
  <c r="I98" i="117"/>
  <c r="J97" i="117"/>
  <c r="I97" i="117"/>
  <c r="J96" i="117"/>
  <c r="I96" i="117"/>
  <c r="J95" i="117"/>
  <c r="I95" i="117"/>
  <c r="J94" i="117"/>
  <c r="I94" i="117"/>
  <c r="J93" i="117"/>
  <c r="I93" i="117"/>
  <c r="J92" i="117"/>
  <c r="I92" i="117"/>
  <c r="J91" i="117"/>
  <c r="I91" i="117"/>
  <c r="J90" i="117"/>
  <c r="I90" i="117"/>
  <c r="J89" i="117"/>
  <c r="I89" i="117"/>
  <c r="J88" i="117"/>
  <c r="I88" i="117"/>
  <c r="J87" i="117"/>
  <c r="I87" i="117"/>
  <c r="J86" i="117"/>
  <c r="I86" i="117"/>
  <c r="J85" i="117"/>
  <c r="I85" i="117"/>
  <c r="J84" i="117"/>
  <c r="I84" i="117"/>
  <c r="J83" i="117"/>
  <c r="I83" i="117"/>
  <c r="J82" i="117"/>
  <c r="I82" i="117"/>
  <c r="J81" i="117"/>
  <c r="I81" i="117"/>
  <c r="J80" i="117"/>
  <c r="I80" i="117"/>
  <c r="J79" i="117"/>
  <c r="I79" i="117"/>
  <c r="J78" i="117"/>
  <c r="I78" i="117"/>
  <c r="J77" i="117"/>
  <c r="I77" i="117"/>
  <c r="J76" i="117"/>
  <c r="I76" i="117"/>
  <c r="J75" i="117"/>
  <c r="I75" i="117"/>
  <c r="J74" i="117"/>
  <c r="I74" i="117"/>
  <c r="J73" i="117"/>
  <c r="I73" i="117"/>
  <c r="J72" i="117"/>
  <c r="I72" i="117"/>
  <c r="J71" i="117"/>
  <c r="I71" i="117"/>
  <c r="J70" i="117"/>
  <c r="I70" i="117"/>
  <c r="J69" i="117"/>
  <c r="I69" i="117"/>
  <c r="J68" i="117"/>
  <c r="I68" i="117"/>
  <c r="J67" i="117"/>
  <c r="I67" i="117"/>
  <c r="J66" i="117"/>
  <c r="I66" i="117"/>
  <c r="J65" i="117"/>
  <c r="I65" i="117"/>
  <c r="J64" i="117"/>
  <c r="I64" i="117"/>
  <c r="J63" i="117"/>
  <c r="I63" i="117"/>
  <c r="J62" i="117"/>
  <c r="I62" i="117"/>
  <c r="J61" i="117"/>
  <c r="I61" i="117"/>
  <c r="J60" i="117"/>
  <c r="I60" i="117"/>
  <c r="J59" i="117"/>
  <c r="I59" i="117"/>
  <c r="J58" i="117"/>
  <c r="I58" i="117"/>
  <c r="J57" i="117"/>
  <c r="I57" i="117"/>
  <c r="J56" i="117"/>
  <c r="I56" i="117"/>
  <c r="J55" i="117"/>
  <c r="I55" i="117"/>
  <c r="J54" i="117"/>
  <c r="I54" i="117"/>
  <c r="J53" i="117"/>
  <c r="I53" i="117"/>
  <c r="J52" i="117"/>
  <c r="I52" i="117"/>
  <c r="J51" i="117"/>
  <c r="I51" i="117"/>
  <c r="J50" i="117"/>
  <c r="I50" i="117"/>
  <c r="J49" i="117"/>
  <c r="I49" i="117"/>
  <c r="J48" i="117"/>
  <c r="I48" i="117"/>
  <c r="J47" i="117"/>
  <c r="I47" i="117"/>
  <c r="J46" i="117"/>
  <c r="I46" i="117"/>
  <c r="J45" i="117"/>
  <c r="I45" i="117"/>
  <c r="J44" i="117"/>
  <c r="I44" i="117"/>
  <c r="J43" i="117"/>
  <c r="I43" i="117"/>
  <c r="J42" i="117"/>
  <c r="I42" i="117"/>
  <c r="J41" i="117"/>
  <c r="I41" i="117"/>
  <c r="J40" i="117"/>
  <c r="I40" i="117"/>
  <c r="J39" i="117"/>
  <c r="I39" i="117"/>
  <c r="J38" i="117"/>
  <c r="I38" i="117"/>
  <c r="J37" i="117"/>
  <c r="I37" i="117"/>
  <c r="J36" i="117"/>
  <c r="I36" i="117"/>
  <c r="J35" i="117"/>
  <c r="I35" i="117"/>
  <c r="J34" i="117"/>
  <c r="I34" i="117"/>
  <c r="J33" i="117"/>
  <c r="I33" i="117"/>
  <c r="J32" i="117"/>
  <c r="I32" i="117"/>
  <c r="J31" i="117"/>
  <c r="I31" i="117"/>
  <c r="J30" i="117"/>
  <c r="I30" i="117"/>
  <c r="J29" i="117"/>
  <c r="I29" i="117"/>
  <c r="J28" i="117"/>
  <c r="I28" i="117"/>
  <c r="J27" i="117"/>
  <c r="I27" i="117"/>
  <c r="J26" i="117"/>
  <c r="I26" i="117"/>
  <c r="J25" i="117"/>
  <c r="I25" i="117"/>
  <c r="J24" i="117"/>
  <c r="I24" i="117"/>
  <c r="J23" i="117"/>
  <c r="I23" i="117"/>
  <c r="J22" i="117"/>
  <c r="I22" i="117"/>
  <c r="J21" i="117"/>
  <c r="I21" i="117"/>
  <c r="J20" i="117"/>
  <c r="I20" i="117"/>
  <c r="J19" i="117"/>
  <c r="I19" i="117"/>
  <c r="J18" i="117"/>
  <c r="I18" i="117"/>
  <c r="J17" i="117"/>
  <c r="I17" i="117"/>
  <c r="J16" i="117"/>
  <c r="I16" i="117"/>
  <c r="J15" i="117"/>
  <c r="I15" i="117"/>
  <c r="J14" i="117"/>
  <c r="I14" i="117"/>
  <c r="J13" i="117"/>
  <c r="I13" i="117"/>
  <c r="J12" i="117"/>
  <c r="I12" i="117"/>
  <c r="J11" i="117"/>
  <c r="I11" i="117"/>
  <c r="J10" i="117"/>
  <c r="I10" i="117"/>
  <c r="J9" i="117"/>
  <c r="I9" i="117"/>
  <c r="J8" i="117"/>
  <c r="I8" i="117"/>
  <c r="J7" i="117"/>
  <c r="I7" i="117"/>
  <c r="J6" i="117"/>
  <c r="I6" i="117"/>
  <c r="J5" i="117"/>
  <c r="I5" i="117"/>
  <c r="J4" i="117"/>
  <c r="I4" i="117"/>
  <c r="J3" i="117"/>
  <c r="I3" i="117"/>
  <c r="I2" i="117"/>
  <c r="J390" i="116"/>
  <c r="I390" i="116"/>
  <c r="J389" i="116"/>
  <c r="I389" i="116"/>
  <c r="J388" i="116"/>
  <c r="I388" i="116"/>
  <c r="J387" i="116"/>
  <c r="I387" i="116"/>
  <c r="J386" i="116"/>
  <c r="I386" i="116"/>
  <c r="J385" i="116"/>
  <c r="I385" i="116"/>
  <c r="J384" i="116"/>
  <c r="I384" i="116"/>
  <c r="J383" i="116"/>
  <c r="I383" i="116"/>
  <c r="J382" i="116"/>
  <c r="I382" i="116"/>
  <c r="J381" i="116"/>
  <c r="I381" i="116"/>
  <c r="J380" i="116"/>
  <c r="I380" i="116"/>
  <c r="J379" i="116"/>
  <c r="I379" i="116"/>
  <c r="J378" i="116"/>
  <c r="I378" i="116"/>
  <c r="J377" i="116"/>
  <c r="I377" i="116"/>
  <c r="J376" i="116"/>
  <c r="I376" i="116"/>
  <c r="J375" i="116"/>
  <c r="I375" i="116"/>
  <c r="J374" i="116"/>
  <c r="I374" i="116"/>
  <c r="J373" i="116"/>
  <c r="I373" i="116"/>
  <c r="J372" i="116"/>
  <c r="I372" i="116"/>
  <c r="J371" i="116"/>
  <c r="I371" i="116"/>
  <c r="J370" i="116"/>
  <c r="I370" i="116"/>
  <c r="J369" i="116"/>
  <c r="I369" i="116"/>
  <c r="J368" i="116"/>
  <c r="I368" i="116"/>
  <c r="J367" i="116"/>
  <c r="I367" i="116"/>
  <c r="J366" i="116"/>
  <c r="I366" i="116"/>
  <c r="J365" i="116"/>
  <c r="I365" i="116"/>
  <c r="J364" i="116"/>
  <c r="I364" i="116"/>
  <c r="J363" i="116"/>
  <c r="I363" i="116"/>
  <c r="J362" i="116"/>
  <c r="I362" i="116"/>
  <c r="J361" i="116"/>
  <c r="I361" i="116"/>
  <c r="J360" i="116"/>
  <c r="I360" i="116"/>
  <c r="J359" i="116"/>
  <c r="I359" i="116"/>
  <c r="J358" i="116"/>
  <c r="I358" i="116"/>
  <c r="J357" i="116"/>
  <c r="I357" i="116"/>
  <c r="J356" i="116"/>
  <c r="I356" i="116"/>
  <c r="J355" i="116"/>
  <c r="I355" i="116"/>
  <c r="J354" i="116"/>
  <c r="I354" i="116"/>
  <c r="J353" i="116"/>
  <c r="I353" i="116"/>
  <c r="J352" i="116"/>
  <c r="I352" i="116"/>
  <c r="J351" i="116"/>
  <c r="I351" i="116"/>
  <c r="J350" i="116"/>
  <c r="I350" i="116"/>
  <c r="J349" i="116"/>
  <c r="I349" i="116"/>
  <c r="J348" i="116"/>
  <c r="I348" i="116"/>
  <c r="J347" i="116"/>
  <c r="I347" i="116"/>
  <c r="J346" i="116"/>
  <c r="I346" i="116"/>
  <c r="J345" i="116"/>
  <c r="I345" i="116"/>
  <c r="J344" i="116"/>
  <c r="I344" i="116"/>
  <c r="J343" i="116"/>
  <c r="I343" i="116"/>
  <c r="J342" i="116"/>
  <c r="I342" i="116"/>
  <c r="J341" i="116"/>
  <c r="I341" i="116"/>
  <c r="J340" i="116"/>
  <c r="I340" i="116"/>
  <c r="J339" i="116"/>
  <c r="I339" i="116"/>
  <c r="J338" i="116"/>
  <c r="I338" i="116"/>
  <c r="J337" i="116"/>
  <c r="I337" i="116"/>
  <c r="J336" i="116"/>
  <c r="I336" i="116"/>
  <c r="J335" i="116"/>
  <c r="I335" i="116"/>
  <c r="J334" i="116"/>
  <c r="I334" i="116"/>
  <c r="J333" i="116"/>
  <c r="I333" i="116"/>
  <c r="J332" i="116"/>
  <c r="I332" i="116"/>
  <c r="J331" i="116"/>
  <c r="I331" i="116"/>
  <c r="J330" i="116"/>
  <c r="I330" i="116"/>
  <c r="J329" i="116"/>
  <c r="I329" i="116"/>
  <c r="J328" i="116"/>
  <c r="I328" i="116"/>
  <c r="J327" i="116"/>
  <c r="I327" i="116"/>
  <c r="J326" i="116"/>
  <c r="I326" i="116"/>
  <c r="J325" i="116"/>
  <c r="I325" i="116"/>
  <c r="J324" i="116"/>
  <c r="I324" i="116"/>
  <c r="J323" i="116"/>
  <c r="I323" i="116"/>
  <c r="J322" i="116"/>
  <c r="I322" i="116"/>
  <c r="J321" i="116"/>
  <c r="I321" i="116"/>
  <c r="J320" i="116"/>
  <c r="I320" i="116"/>
  <c r="J319" i="116"/>
  <c r="I319" i="116"/>
  <c r="J318" i="116"/>
  <c r="I318" i="116"/>
  <c r="J317" i="116"/>
  <c r="I317" i="116"/>
  <c r="J316" i="116"/>
  <c r="I316" i="116"/>
  <c r="J315" i="116"/>
  <c r="I315" i="116"/>
  <c r="J314" i="116"/>
  <c r="I314" i="116"/>
  <c r="J313" i="116"/>
  <c r="I313" i="116"/>
  <c r="J312" i="116"/>
  <c r="I312" i="116"/>
  <c r="J311" i="116"/>
  <c r="I311" i="116"/>
  <c r="J310" i="116"/>
  <c r="I310" i="116"/>
  <c r="J309" i="116"/>
  <c r="I309" i="116"/>
  <c r="J308" i="116"/>
  <c r="I308" i="116"/>
  <c r="J307" i="116"/>
  <c r="I307" i="116"/>
  <c r="J306" i="116"/>
  <c r="I306" i="116"/>
  <c r="J305" i="116"/>
  <c r="I305" i="116"/>
  <c r="J304" i="116"/>
  <c r="I304" i="116"/>
  <c r="J303" i="116"/>
  <c r="I303" i="116"/>
  <c r="J302" i="116"/>
  <c r="I302" i="116"/>
  <c r="J301" i="116"/>
  <c r="I301" i="116"/>
  <c r="J300" i="116"/>
  <c r="I300" i="116"/>
  <c r="J299" i="116"/>
  <c r="I299" i="116"/>
  <c r="J298" i="116"/>
  <c r="I298" i="116"/>
  <c r="J297" i="116"/>
  <c r="I297" i="116"/>
  <c r="J296" i="116"/>
  <c r="I296" i="116"/>
  <c r="J295" i="116"/>
  <c r="I295" i="116"/>
  <c r="J294" i="116"/>
  <c r="I294" i="116"/>
  <c r="J293" i="116"/>
  <c r="I293" i="116"/>
  <c r="J292" i="116"/>
  <c r="I292" i="116"/>
  <c r="J291" i="116"/>
  <c r="I291" i="116"/>
  <c r="J290" i="116"/>
  <c r="I290" i="116"/>
  <c r="J289" i="116"/>
  <c r="I289" i="116"/>
  <c r="J288" i="116"/>
  <c r="I288" i="116"/>
  <c r="J287" i="116"/>
  <c r="I287" i="116"/>
  <c r="J286" i="116"/>
  <c r="I286" i="116"/>
  <c r="J285" i="116"/>
  <c r="I285" i="116"/>
  <c r="J284" i="116"/>
  <c r="I284" i="116"/>
  <c r="J283" i="116"/>
  <c r="I283" i="116"/>
  <c r="J282" i="116"/>
  <c r="I282" i="116"/>
  <c r="J281" i="116"/>
  <c r="I281" i="116"/>
  <c r="J280" i="116"/>
  <c r="I280" i="116"/>
  <c r="J279" i="116"/>
  <c r="I279" i="116"/>
  <c r="J278" i="116"/>
  <c r="I278" i="116"/>
  <c r="J277" i="116"/>
  <c r="I277" i="116"/>
  <c r="J276" i="116"/>
  <c r="I276" i="116"/>
  <c r="J275" i="116"/>
  <c r="I275" i="116"/>
  <c r="J274" i="116"/>
  <c r="I274" i="116"/>
  <c r="J273" i="116"/>
  <c r="I273" i="116"/>
  <c r="J272" i="116"/>
  <c r="I272" i="116"/>
  <c r="J271" i="116"/>
  <c r="I271" i="116"/>
  <c r="J270" i="116"/>
  <c r="I270" i="116"/>
  <c r="J269" i="116"/>
  <c r="I269" i="116"/>
  <c r="J268" i="116"/>
  <c r="I268" i="116"/>
  <c r="J267" i="116"/>
  <c r="I267" i="116"/>
  <c r="J266" i="116"/>
  <c r="I266" i="116"/>
  <c r="J265" i="116"/>
  <c r="I265" i="116"/>
  <c r="J264" i="116"/>
  <c r="I264" i="116"/>
  <c r="J263" i="116"/>
  <c r="I263" i="116"/>
  <c r="J262" i="116"/>
  <c r="I262" i="116"/>
  <c r="J261" i="116"/>
  <c r="I261" i="116"/>
  <c r="J260" i="116"/>
  <c r="I260" i="116"/>
  <c r="J259" i="116"/>
  <c r="I259" i="116"/>
  <c r="J258" i="116"/>
  <c r="I258" i="116"/>
  <c r="J257" i="116"/>
  <c r="I257" i="116"/>
  <c r="J256" i="116"/>
  <c r="I256" i="116"/>
  <c r="J255" i="116"/>
  <c r="I255" i="116"/>
  <c r="J254" i="116"/>
  <c r="I254" i="116"/>
  <c r="J253" i="116"/>
  <c r="I253" i="116"/>
  <c r="J252" i="116"/>
  <c r="I252" i="116"/>
  <c r="J251" i="116"/>
  <c r="I251" i="116"/>
  <c r="J250" i="116"/>
  <c r="I250" i="116"/>
  <c r="J249" i="116"/>
  <c r="I249" i="116"/>
  <c r="J248" i="116"/>
  <c r="I248" i="116"/>
  <c r="J247" i="116"/>
  <c r="I247" i="116"/>
  <c r="J246" i="116"/>
  <c r="I246" i="116"/>
  <c r="J245" i="116"/>
  <c r="I245" i="116"/>
  <c r="J244" i="116"/>
  <c r="I244" i="116"/>
  <c r="J243" i="116"/>
  <c r="I243" i="116"/>
  <c r="J242" i="116"/>
  <c r="I242" i="116"/>
  <c r="J241" i="116"/>
  <c r="I241" i="116"/>
  <c r="J240" i="116"/>
  <c r="I240" i="116"/>
  <c r="J239" i="116"/>
  <c r="I239" i="116"/>
  <c r="J238" i="116"/>
  <c r="I238" i="116"/>
  <c r="J237" i="116"/>
  <c r="I237" i="116"/>
  <c r="J236" i="116"/>
  <c r="I236" i="116"/>
  <c r="J235" i="116"/>
  <c r="I235" i="116"/>
  <c r="J234" i="116"/>
  <c r="I234" i="116"/>
  <c r="J233" i="116"/>
  <c r="I233" i="116"/>
  <c r="J232" i="116"/>
  <c r="I232" i="116"/>
  <c r="J231" i="116"/>
  <c r="I231" i="116"/>
  <c r="J230" i="116"/>
  <c r="I230" i="116"/>
  <c r="J229" i="116"/>
  <c r="I229" i="116"/>
  <c r="J228" i="116"/>
  <c r="I228" i="116"/>
  <c r="J227" i="116"/>
  <c r="I227" i="116"/>
  <c r="J226" i="116"/>
  <c r="I226" i="116"/>
  <c r="J225" i="116"/>
  <c r="I225" i="116"/>
  <c r="J224" i="116"/>
  <c r="I224" i="116"/>
  <c r="J223" i="116"/>
  <c r="I223" i="116"/>
  <c r="J222" i="116"/>
  <c r="I222" i="116"/>
  <c r="J221" i="116"/>
  <c r="I221" i="116"/>
  <c r="J220" i="116"/>
  <c r="I220" i="116"/>
  <c r="J219" i="116"/>
  <c r="I219" i="116"/>
  <c r="J218" i="116"/>
  <c r="I218" i="116"/>
  <c r="J217" i="116"/>
  <c r="I217" i="116"/>
  <c r="J216" i="116"/>
  <c r="I216" i="116"/>
  <c r="J215" i="116"/>
  <c r="I215" i="116"/>
  <c r="J214" i="116"/>
  <c r="I214" i="116"/>
  <c r="J213" i="116"/>
  <c r="I213" i="116"/>
  <c r="J212" i="116"/>
  <c r="I212" i="116"/>
  <c r="J211" i="116"/>
  <c r="I211" i="116"/>
  <c r="J210" i="116"/>
  <c r="I210" i="116"/>
  <c r="J209" i="116"/>
  <c r="I209" i="116"/>
  <c r="J208" i="116"/>
  <c r="I208" i="116"/>
  <c r="J207" i="116"/>
  <c r="I207" i="116"/>
  <c r="J206" i="116"/>
  <c r="I206" i="116"/>
  <c r="J205" i="116"/>
  <c r="I205" i="116"/>
  <c r="J204" i="116"/>
  <c r="I204" i="116"/>
  <c r="J203" i="116"/>
  <c r="I203" i="116"/>
  <c r="J202" i="116"/>
  <c r="I202" i="116"/>
  <c r="J201" i="116"/>
  <c r="I201" i="116"/>
  <c r="J200" i="116"/>
  <c r="I200" i="116"/>
  <c r="J199" i="116"/>
  <c r="I199" i="116"/>
  <c r="J198" i="116"/>
  <c r="I198" i="116"/>
  <c r="J197" i="116"/>
  <c r="I197" i="116"/>
  <c r="J196" i="116"/>
  <c r="I196" i="116"/>
  <c r="J195" i="116"/>
  <c r="I195" i="116"/>
  <c r="J194" i="116"/>
  <c r="I194" i="116"/>
  <c r="J193" i="116"/>
  <c r="I193" i="116"/>
  <c r="J192" i="116"/>
  <c r="I192" i="116"/>
  <c r="J191" i="116"/>
  <c r="I191" i="116"/>
  <c r="J190" i="116"/>
  <c r="I190" i="116"/>
  <c r="J189" i="116"/>
  <c r="I189" i="116"/>
  <c r="J188" i="116"/>
  <c r="I188" i="116"/>
  <c r="J187" i="116"/>
  <c r="I187" i="116"/>
  <c r="J186" i="116"/>
  <c r="I186" i="116"/>
  <c r="J185" i="116"/>
  <c r="I185" i="116"/>
  <c r="J184" i="116"/>
  <c r="I184" i="116"/>
  <c r="J183" i="116"/>
  <c r="I183" i="116"/>
  <c r="J182" i="116"/>
  <c r="I182" i="116"/>
  <c r="J181" i="116"/>
  <c r="I181" i="116"/>
  <c r="J180" i="116"/>
  <c r="I180" i="116"/>
  <c r="J179" i="116"/>
  <c r="I179" i="116"/>
  <c r="J178" i="116"/>
  <c r="I178" i="116"/>
  <c r="J177" i="116"/>
  <c r="I177" i="116"/>
  <c r="J176" i="116"/>
  <c r="I176" i="116"/>
  <c r="J175" i="116"/>
  <c r="I175" i="116"/>
  <c r="J174" i="116"/>
  <c r="I174" i="116"/>
  <c r="J173" i="116"/>
  <c r="I173" i="116"/>
  <c r="J172" i="116"/>
  <c r="I172" i="116"/>
  <c r="J171" i="116"/>
  <c r="I171" i="116"/>
  <c r="J170" i="116"/>
  <c r="I170" i="116"/>
  <c r="J169" i="116"/>
  <c r="I169" i="116"/>
  <c r="J168" i="116"/>
  <c r="I168" i="116"/>
  <c r="J167" i="116"/>
  <c r="I167" i="116"/>
  <c r="J166" i="116"/>
  <c r="I166" i="116"/>
  <c r="J165" i="116"/>
  <c r="I165" i="116"/>
  <c r="J164" i="116"/>
  <c r="I164" i="116"/>
  <c r="J163" i="116"/>
  <c r="I163" i="116"/>
  <c r="J162" i="116"/>
  <c r="I162" i="116"/>
  <c r="J161" i="116"/>
  <c r="I161" i="116"/>
  <c r="J160" i="116"/>
  <c r="I160" i="116"/>
  <c r="J159" i="116"/>
  <c r="I159" i="116"/>
  <c r="J158" i="116"/>
  <c r="I158" i="116"/>
  <c r="J157" i="116"/>
  <c r="I157" i="116"/>
  <c r="J156" i="116"/>
  <c r="I156" i="116"/>
  <c r="J155" i="116"/>
  <c r="I155" i="116"/>
  <c r="J154" i="116"/>
  <c r="I154" i="116"/>
  <c r="J153" i="116"/>
  <c r="I153" i="116"/>
  <c r="J152" i="116"/>
  <c r="I152" i="116"/>
  <c r="J151" i="116"/>
  <c r="I151" i="116"/>
  <c r="J150" i="116"/>
  <c r="I150" i="116"/>
  <c r="J149" i="116"/>
  <c r="I149" i="116"/>
  <c r="J148" i="116"/>
  <c r="I148" i="116"/>
  <c r="J147" i="116"/>
  <c r="I147" i="116"/>
  <c r="J146" i="116"/>
  <c r="I146" i="116"/>
  <c r="J145" i="116"/>
  <c r="I145" i="116"/>
  <c r="J144" i="116"/>
  <c r="I144" i="116"/>
  <c r="J143" i="116"/>
  <c r="I143" i="116"/>
  <c r="J142" i="116"/>
  <c r="I142" i="116"/>
  <c r="J141" i="116"/>
  <c r="I141" i="116"/>
  <c r="J140" i="116"/>
  <c r="I140" i="116"/>
  <c r="J139" i="116"/>
  <c r="I139" i="116"/>
  <c r="J138" i="116"/>
  <c r="I138" i="116"/>
  <c r="J137" i="116"/>
  <c r="I137" i="116"/>
  <c r="J136" i="116"/>
  <c r="I136" i="116"/>
  <c r="J135" i="116"/>
  <c r="I135" i="116"/>
  <c r="J134" i="116"/>
  <c r="I134" i="116"/>
  <c r="J133" i="116"/>
  <c r="I133" i="116"/>
  <c r="J132" i="116"/>
  <c r="I132" i="116"/>
  <c r="J131" i="116"/>
  <c r="I131" i="116"/>
  <c r="J130" i="116"/>
  <c r="I130" i="116"/>
  <c r="J129" i="116"/>
  <c r="I129" i="116"/>
  <c r="J128" i="116"/>
  <c r="I128" i="116"/>
  <c r="J127" i="116"/>
  <c r="I127" i="116"/>
  <c r="J126" i="116"/>
  <c r="I126" i="116"/>
  <c r="J125" i="116"/>
  <c r="I125" i="116"/>
  <c r="J124" i="116"/>
  <c r="I124" i="116"/>
  <c r="J123" i="116"/>
  <c r="I123" i="116"/>
  <c r="J122" i="116"/>
  <c r="I122" i="116"/>
  <c r="J121" i="116"/>
  <c r="I121" i="116"/>
  <c r="J120" i="116"/>
  <c r="I120" i="116"/>
  <c r="J119" i="116"/>
  <c r="I119" i="116"/>
  <c r="J118" i="116"/>
  <c r="I118" i="116"/>
  <c r="J117" i="116"/>
  <c r="I117" i="116"/>
  <c r="J116" i="116"/>
  <c r="I116" i="116"/>
  <c r="J115" i="116"/>
  <c r="I115" i="116"/>
  <c r="J114" i="116"/>
  <c r="I114" i="116"/>
  <c r="J113" i="116"/>
  <c r="I113" i="116"/>
  <c r="J112" i="116"/>
  <c r="I112" i="116"/>
  <c r="J111" i="116"/>
  <c r="I111" i="116"/>
  <c r="J110" i="116"/>
  <c r="I110" i="116"/>
  <c r="J109" i="116"/>
  <c r="I109" i="116"/>
  <c r="J108" i="116"/>
  <c r="I108" i="116"/>
  <c r="J107" i="116"/>
  <c r="I107" i="116"/>
  <c r="J106" i="116"/>
  <c r="I106" i="116"/>
  <c r="J105" i="116"/>
  <c r="I105" i="116"/>
  <c r="J104" i="116"/>
  <c r="I104" i="116"/>
  <c r="J103" i="116"/>
  <c r="I103" i="116"/>
  <c r="J102" i="116"/>
  <c r="I102" i="116"/>
  <c r="J101" i="116"/>
  <c r="I101" i="116"/>
  <c r="J100" i="116"/>
  <c r="I100" i="116"/>
  <c r="J99" i="116"/>
  <c r="I99" i="116"/>
  <c r="J98" i="116"/>
  <c r="I98" i="116"/>
  <c r="J97" i="116"/>
  <c r="I97" i="116"/>
  <c r="J96" i="116"/>
  <c r="I96" i="116"/>
  <c r="J95" i="116"/>
  <c r="I95" i="116"/>
  <c r="J94" i="116"/>
  <c r="I94" i="116"/>
  <c r="J93" i="116"/>
  <c r="I93" i="116"/>
  <c r="J92" i="116"/>
  <c r="I92" i="116"/>
  <c r="J91" i="116"/>
  <c r="I91" i="116"/>
  <c r="J90" i="116"/>
  <c r="I90" i="116"/>
  <c r="J89" i="116"/>
  <c r="I89" i="116"/>
  <c r="J88" i="116"/>
  <c r="I88" i="116"/>
  <c r="J87" i="116"/>
  <c r="I87" i="116"/>
  <c r="J86" i="116"/>
  <c r="I86" i="116"/>
  <c r="J85" i="116"/>
  <c r="I85" i="116"/>
  <c r="J84" i="116"/>
  <c r="I84" i="116"/>
  <c r="J83" i="116"/>
  <c r="I83" i="116"/>
  <c r="J82" i="116"/>
  <c r="I82" i="116"/>
  <c r="J81" i="116"/>
  <c r="I81" i="116"/>
  <c r="J80" i="116"/>
  <c r="I80" i="116"/>
  <c r="J79" i="116"/>
  <c r="I79" i="116"/>
  <c r="J78" i="116"/>
  <c r="I78" i="116"/>
  <c r="J77" i="116"/>
  <c r="I77" i="116"/>
  <c r="J76" i="116"/>
  <c r="I76" i="116"/>
  <c r="J75" i="116"/>
  <c r="I75" i="116"/>
  <c r="J74" i="116"/>
  <c r="I74" i="116"/>
  <c r="J73" i="116"/>
  <c r="I73" i="116"/>
  <c r="J72" i="116"/>
  <c r="I72" i="116"/>
  <c r="J71" i="116"/>
  <c r="I71" i="116"/>
  <c r="J70" i="116"/>
  <c r="I70" i="116"/>
  <c r="J69" i="116"/>
  <c r="I69" i="116"/>
  <c r="J68" i="116"/>
  <c r="I68" i="116"/>
  <c r="J67" i="116"/>
  <c r="I67" i="116"/>
  <c r="J66" i="116"/>
  <c r="I66" i="116"/>
  <c r="J65" i="116"/>
  <c r="I65" i="116"/>
  <c r="J64" i="116"/>
  <c r="I64" i="116"/>
  <c r="J63" i="116"/>
  <c r="I63" i="116"/>
  <c r="J62" i="116"/>
  <c r="I62" i="116"/>
  <c r="J61" i="116"/>
  <c r="I61" i="116"/>
  <c r="J60" i="116"/>
  <c r="I60" i="116"/>
  <c r="J59" i="116"/>
  <c r="I59" i="116"/>
  <c r="J58" i="116"/>
  <c r="I58" i="116"/>
  <c r="J57" i="116"/>
  <c r="I57" i="116"/>
  <c r="J56" i="116"/>
  <c r="I56" i="116"/>
  <c r="J55" i="116"/>
  <c r="I55" i="116"/>
  <c r="J54" i="116"/>
  <c r="I54" i="116"/>
  <c r="J53" i="116"/>
  <c r="I53" i="116"/>
  <c r="J52" i="116"/>
  <c r="I52" i="116"/>
  <c r="J51" i="116"/>
  <c r="I51" i="116"/>
  <c r="J50" i="116"/>
  <c r="I50" i="116"/>
  <c r="J49" i="116"/>
  <c r="I49" i="116"/>
  <c r="J48" i="116"/>
  <c r="I48" i="116"/>
  <c r="J47" i="116"/>
  <c r="I47" i="116"/>
  <c r="J46" i="116"/>
  <c r="I46" i="116"/>
  <c r="J45" i="116"/>
  <c r="I45" i="116"/>
  <c r="J44" i="116"/>
  <c r="I44" i="116"/>
  <c r="J43" i="116"/>
  <c r="I43" i="116"/>
  <c r="J42" i="116"/>
  <c r="I42" i="116"/>
  <c r="J41" i="116"/>
  <c r="I41" i="116"/>
  <c r="J40" i="116"/>
  <c r="I40" i="116"/>
  <c r="J39" i="116"/>
  <c r="I39" i="116"/>
  <c r="J38" i="116"/>
  <c r="I38" i="116"/>
  <c r="J37" i="116"/>
  <c r="I37" i="116"/>
  <c r="J36" i="116"/>
  <c r="I36" i="116"/>
  <c r="J35" i="116"/>
  <c r="I35" i="116"/>
  <c r="J34" i="116"/>
  <c r="I34" i="116"/>
  <c r="J33" i="116"/>
  <c r="I33" i="116"/>
  <c r="J32" i="116"/>
  <c r="I32" i="116"/>
  <c r="J31" i="116"/>
  <c r="I31" i="116"/>
  <c r="J30" i="116"/>
  <c r="I30" i="116"/>
  <c r="J29" i="116"/>
  <c r="I29" i="116"/>
  <c r="J28" i="116"/>
  <c r="I28" i="116"/>
  <c r="J27" i="116"/>
  <c r="I27" i="116"/>
  <c r="J26" i="116"/>
  <c r="I26" i="116"/>
  <c r="J25" i="116"/>
  <c r="I25" i="116"/>
  <c r="J24" i="116"/>
  <c r="I24" i="116"/>
  <c r="J23" i="116"/>
  <c r="I23" i="116"/>
  <c r="J22" i="116"/>
  <c r="I22" i="116"/>
  <c r="J21" i="116"/>
  <c r="I21" i="116"/>
  <c r="J20" i="116"/>
  <c r="I20" i="116"/>
  <c r="J19" i="116"/>
  <c r="I19" i="116"/>
  <c r="J18" i="116"/>
  <c r="I18" i="116"/>
  <c r="J17" i="116"/>
  <c r="I17" i="116"/>
  <c r="J16" i="116"/>
  <c r="I16" i="116"/>
  <c r="J15" i="116"/>
  <c r="I15" i="116"/>
  <c r="J14" i="116"/>
  <c r="I14" i="116"/>
  <c r="J13" i="116"/>
  <c r="I13" i="116"/>
  <c r="J12" i="116"/>
  <c r="I12" i="116"/>
  <c r="J11" i="116"/>
  <c r="I11" i="116"/>
  <c r="J10" i="116"/>
  <c r="I10" i="116"/>
  <c r="J9" i="116"/>
  <c r="I9" i="116"/>
  <c r="J8" i="116"/>
  <c r="I8" i="116"/>
  <c r="J7" i="116"/>
  <c r="I7" i="116"/>
  <c r="J6" i="116"/>
  <c r="I6" i="116"/>
  <c r="J5" i="116"/>
  <c r="I5" i="116"/>
  <c r="J4" i="116"/>
  <c r="I4" i="116"/>
  <c r="J3" i="116"/>
  <c r="I3" i="116"/>
  <c r="I2" i="116"/>
  <c r="J390" i="115"/>
  <c r="I390" i="115"/>
  <c r="J389" i="115"/>
  <c r="I389" i="115"/>
  <c r="J388" i="115"/>
  <c r="I388" i="115"/>
  <c r="J387" i="115"/>
  <c r="I387" i="115"/>
  <c r="J386" i="115"/>
  <c r="I386" i="115"/>
  <c r="J385" i="115"/>
  <c r="I385" i="115"/>
  <c r="J384" i="115"/>
  <c r="I384" i="115"/>
  <c r="J383" i="115"/>
  <c r="I383" i="115"/>
  <c r="J382" i="115"/>
  <c r="I382" i="115"/>
  <c r="J381" i="115"/>
  <c r="I381" i="115"/>
  <c r="J380" i="115"/>
  <c r="I380" i="115"/>
  <c r="J379" i="115"/>
  <c r="I379" i="115"/>
  <c r="J378" i="115"/>
  <c r="I378" i="115"/>
  <c r="J377" i="115"/>
  <c r="I377" i="115"/>
  <c r="J376" i="115"/>
  <c r="I376" i="115"/>
  <c r="J375" i="115"/>
  <c r="I375" i="115"/>
  <c r="J374" i="115"/>
  <c r="I374" i="115"/>
  <c r="J373" i="115"/>
  <c r="I373" i="115"/>
  <c r="J372" i="115"/>
  <c r="I372" i="115"/>
  <c r="J371" i="115"/>
  <c r="I371" i="115"/>
  <c r="J370" i="115"/>
  <c r="I370" i="115"/>
  <c r="J369" i="115"/>
  <c r="I369" i="115"/>
  <c r="J368" i="115"/>
  <c r="I368" i="115"/>
  <c r="J367" i="115"/>
  <c r="I367" i="115"/>
  <c r="J366" i="115"/>
  <c r="I366" i="115"/>
  <c r="J365" i="115"/>
  <c r="I365" i="115"/>
  <c r="J364" i="115"/>
  <c r="I364" i="115"/>
  <c r="J363" i="115"/>
  <c r="I363" i="115"/>
  <c r="J362" i="115"/>
  <c r="I362" i="115"/>
  <c r="J361" i="115"/>
  <c r="I361" i="115"/>
  <c r="J360" i="115"/>
  <c r="I360" i="115"/>
  <c r="J359" i="115"/>
  <c r="I359" i="115"/>
  <c r="J358" i="115"/>
  <c r="I358" i="115"/>
  <c r="J357" i="115"/>
  <c r="I357" i="115"/>
  <c r="J356" i="115"/>
  <c r="I356" i="115"/>
  <c r="J355" i="115"/>
  <c r="I355" i="115"/>
  <c r="J354" i="115"/>
  <c r="I354" i="115"/>
  <c r="J353" i="115"/>
  <c r="I353" i="115"/>
  <c r="J352" i="115"/>
  <c r="I352" i="115"/>
  <c r="J351" i="115"/>
  <c r="I351" i="115"/>
  <c r="J350" i="115"/>
  <c r="I350" i="115"/>
  <c r="J349" i="115"/>
  <c r="I349" i="115"/>
  <c r="J348" i="115"/>
  <c r="I348" i="115"/>
  <c r="J347" i="115"/>
  <c r="I347" i="115"/>
  <c r="J346" i="115"/>
  <c r="I346" i="115"/>
  <c r="J345" i="115"/>
  <c r="I345" i="115"/>
  <c r="J344" i="115"/>
  <c r="I344" i="115"/>
  <c r="J343" i="115"/>
  <c r="I343" i="115"/>
  <c r="J342" i="115"/>
  <c r="I342" i="115"/>
  <c r="J341" i="115"/>
  <c r="I341" i="115"/>
  <c r="J340" i="115"/>
  <c r="I340" i="115"/>
  <c r="J339" i="115"/>
  <c r="I339" i="115"/>
  <c r="J338" i="115"/>
  <c r="I338" i="115"/>
  <c r="J337" i="115"/>
  <c r="I337" i="115"/>
  <c r="J336" i="115"/>
  <c r="I336" i="115"/>
  <c r="J335" i="115"/>
  <c r="I335" i="115"/>
  <c r="J334" i="115"/>
  <c r="I334" i="115"/>
  <c r="J333" i="115"/>
  <c r="I333" i="115"/>
  <c r="J332" i="115"/>
  <c r="I332" i="115"/>
  <c r="J331" i="115"/>
  <c r="I331" i="115"/>
  <c r="J330" i="115"/>
  <c r="I330" i="115"/>
  <c r="J329" i="115"/>
  <c r="I329" i="115"/>
  <c r="J328" i="115"/>
  <c r="I328" i="115"/>
  <c r="J327" i="115"/>
  <c r="I327" i="115"/>
  <c r="J326" i="115"/>
  <c r="I326" i="115"/>
  <c r="J325" i="115"/>
  <c r="I325" i="115"/>
  <c r="J324" i="115"/>
  <c r="I324" i="115"/>
  <c r="J323" i="115"/>
  <c r="I323" i="115"/>
  <c r="J322" i="115"/>
  <c r="I322" i="115"/>
  <c r="J321" i="115"/>
  <c r="I321" i="115"/>
  <c r="J320" i="115"/>
  <c r="I320" i="115"/>
  <c r="J319" i="115"/>
  <c r="I319" i="115"/>
  <c r="J318" i="115"/>
  <c r="I318" i="115"/>
  <c r="J317" i="115"/>
  <c r="I317" i="115"/>
  <c r="J316" i="115"/>
  <c r="I316" i="115"/>
  <c r="J315" i="115"/>
  <c r="I315" i="115"/>
  <c r="J314" i="115"/>
  <c r="I314" i="115"/>
  <c r="J313" i="115"/>
  <c r="I313" i="115"/>
  <c r="J312" i="115"/>
  <c r="I312" i="115"/>
  <c r="J311" i="115"/>
  <c r="I311" i="115"/>
  <c r="J310" i="115"/>
  <c r="I310" i="115"/>
  <c r="J309" i="115"/>
  <c r="I309" i="115"/>
  <c r="J308" i="115"/>
  <c r="I308" i="115"/>
  <c r="J307" i="115"/>
  <c r="I307" i="115"/>
  <c r="J306" i="115"/>
  <c r="I306" i="115"/>
  <c r="J305" i="115"/>
  <c r="I305" i="115"/>
  <c r="J304" i="115"/>
  <c r="I304" i="115"/>
  <c r="J303" i="115"/>
  <c r="I303" i="115"/>
  <c r="J302" i="115"/>
  <c r="I302" i="115"/>
  <c r="J301" i="115"/>
  <c r="I301" i="115"/>
  <c r="J300" i="115"/>
  <c r="I300" i="115"/>
  <c r="J299" i="115"/>
  <c r="I299" i="115"/>
  <c r="J298" i="115"/>
  <c r="I298" i="115"/>
  <c r="J297" i="115"/>
  <c r="I297" i="115"/>
  <c r="J296" i="115"/>
  <c r="I296" i="115"/>
  <c r="J295" i="115"/>
  <c r="I295" i="115"/>
  <c r="J294" i="115"/>
  <c r="I294" i="115"/>
  <c r="J293" i="115"/>
  <c r="I293" i="115"/>
  <c r="J292" i="115"/>
  <c r="I292" i="115"/>
  <c r="J291" i="115"/>
  <c r="I291" i="115"/>
  <c r="J290" i="115"/>
  <c r="I290" i="115"/>
  <c r="J289" i="115"/>
  <c r="I289" i="115"/>
  <c r="J288" i="115"/>
  <c r="I288" i="115"/>
  <c r="J287" i="115"/>
  <c r="I287" i="115"/>
  <c r="J286" i="115"/>
  <c r="I286" i="115"/>
  <c r="J285" i="115"/>
  <c r="I285" i="115"/>
  <c r="J284" i="115"/>
  <c r="I284" i="115"/>
  <c r="J283" i="115"/>
  <c r="I283" i="115"/>
  <c r="J282" i="115"/>
  <c r="I282" i="115"/>
  <c r="J281" i="115"/>
  <c r="I281" i="115"/>
  <c r="J280" i="115"/>
  <c r="I280" i="115"/>
  <c r="J279" i="115"/>
  <c r="I279" i="115"/>
  <c r="J278" i="115"/>
  <c r="I278" i="115"/>
  <c r="J277" i="115"/>
  <c r="I277" i="115"/>
  <c r="J276" i="115"/>
  <c r="I276" i="115"/>
  <c r="J275" i="115"/>
  <c r="I275" i="115"/>
  <c r="J274" i="115"/>
  <c r="I274" i="115"/>
  <c r="J273" i="115"/>
  <c r="I273" i="115"/>
  <c r="J272" i="115"/>
  <c r="I272" i="115"/>
  <c r="J271" i="115"/>
  <c r="I271" i="115"/>
  <c r="J270" i="115"/>
  <c r="I270" i="115"/>
  <c r="J269" i="115"/>
  <c r="I269" i="115"/>
  <c r="J268" i="115"/>
  <c r="I268" i="115"/>
  <c r="J267" i="115"/>
  <c r="I267" i="115"/>
  <c r="J266" i="115"/>
  <c r="I266" i="115"/>
  <c r="J265" i="115"/>
  <c r="I265" i="115"/>
  <c r="J264" i="115"/>
  <c r="I264" i="115"/>
  <c r="J263" i="115"/>
  <c r="I263" i="115"/>
  <c r="J262" i="115"/>
  <c r="I262" i="115"/>
  <c r="J261" i="115"/>
  <c r="I261" i="115"/>
  <c r="J260" i="115"/>
  <c r="I260" i="115"/>
  <c r="J259" i="115"/>
  <c r="I259" i="115"/>
  <c r="J258" i="115"/>
  <c r="I258" i="115"/>
  <c r="J257" i="115"/>
  <c r="I257" i="115"/>
  <c r="J256" i="115"/>
  <c r="I256" i="115"/>
  <c r="J255" i="115"/>
  <c r="I255" i="115"/>
  <c r="J254" i="115"/>
  <c r="I254" i="115"/>
  <c r="J253" i="115"/>
  <c r="I253" i="115"/>
  <c r="J252" i="115"/>
  <c r="I252" i="115"/>
  <c r="J251" i="115"/>
  <c r="I251" i="115"/>
  <c r="J250" i="115"/>
  <c r="I250" i="115"/>
  <c r="J249" i="115"/>
  <c r="I249" i="115"/>
  <c r="J248" i="115"/>
  <c r="I248" i="115"/>
  <c r="J247" i="115"/>
  <c r="I247" i="115"/>
  <c r="J246" i="115"/>
  <c r="I246" i="115"/>
  <c r="J245" i="115"/>
  <c r="I245" i="115"/>
  <c r="J244" i="115"/>
  <c r="I244" i="115"/>
  <c r="J243" i="115"/>
  <c r="I243" i="115"/>
  <c r="J242" i="115"/>
  <c r="I242" i="115"/>
  <c r="J241" i="115"/>
  <c r="I241" i="115"/>
  <c r="J240" i="115"/>
  <c r="I240" i="115"/>
  <c r="J239" i="115"/>
  <c r="I239" i="115"/>
  <c r="J238" i="115"/>
  <c r="I238" i="115"/>
  <c r="J237" i="115"/>
  <c r="I237" i="115"/>
  <c r="J236" i="115"/>
  <c r="I236" i="115"/>
  <c r="J235" i="115"/>
  <c r="I235" i="115"/>
  <c r="J234" i="115"/>
  <c r="I234" i="115"/>
  <c r="J233" i="115"/>
  <c r="I233" i="115"/>
  <c r="J232" i="115"/>
  <c r="I232" i="115"/>
  <c r="J231" i="115"/>
  <c r="I231" i="115"/>
  <c r="J230" i="115"/>
  <c r="I230" i="115"/>
  <c r="J229" i="115"/>
  <c r="I229" i="115"/>
  <c r="J228" i="115"/>
  <c r="I228" i="115"/>
  <c r="J227" i="115"/>
  <c r="I227" i="115"/>
  <c r="J226" i="115"/>
  <c r="I226" i="115"/>
  <c r="J225" i="115"/>
  <c r="I225" i="115"/>
  <c r="J224" i="115"/>
  <c r="I224" i="115"/>
  <c r="J223" i="115"/>
  <c r="I223" i="115"/>
  <c r="J222" i="115"/>
  <c r="I222" i="115"/>
  <c r="J221" i="115"/>
  <c r="I221" i="115"/>
  <c r="J220" i="115"/>
  <c r="I220" i="115"/>
  <c r="J219" i="115"/>
  <c r="I219" i="115"/>
  <c r="J218" i="115"/>
  <c r="I218" i="115"/>
  <c r="J217" i="115"/>
  <c r="I217" i="115"/>
  <c r="J216" i="115"/>
  <c r="I216" i="115"/>
  <c r="J215" i="115"/>
  <c r="I215" i="115"/>
  <c r="J214" i="115"/>
  <c r="I214" i="115"/>
  <c r="J213" i="115"/>
  <c r="I213" i="115"/>
  <c r="J212" i="115"/>
  <c r="I212" i="115"/>
  <c r="J211" i="115"/>
  <c r="I211" i="115"/>
  <c r="J210" i="115"/>
  <c r="I210" i="115"/>
  <c r="J209" i="115"/>
  <c r="I209" i="115"/>
  <c r="J208" i="115"/>
  <c r="I208" i="115"/>
  <c r="J207" i="115"/>
  <c r="I207" i="115"/>
  <c r="J206" i="115"/>
  <c r="I206" i="115"/>
  <c r="J205" i="115"/>
  <c r="I205" i="115"/>
  <c r="J204" i="115"/>
  <c r="I204" i="115"/>
  <c r="J203" i="115"/>
  <c r="I203" i="115"/>
  <c r="J202" i="115"/>
  <c r="I202" i="115"/>
  <c r="J201" i="115"/>
  <c r="I201" i="115"/>
  <c r="J200" i="115"/>
  <c r="I200" i="115"/>
  <c r="J199" i="115"/>
  <c r="I199" i="115"/>
  <c r="J198" i="115"/>
  <c r="I198" i="115"/>
  <c r="J197" i="115"/>
  <c r="I197" i="115"/>
  <c r="J196" i="115"/>
  <c r="I196" i="115"/>
  <c r="J195" i="115"/>
  <c r="I195" i="115"/>
  <c r="J194" i="115"/>
  <c r="I194" i="115"/>
  <c r="J193" i="115"/>
  <c r="I193" i="115"/>
  <c r="J192" i="115"/>
  <c r="I192" i="115"/>
  <c r="J191" i="115"/>
  <c r="I191" i="115"/>
  <c r="J190" i="115"/>
  <c r="I190" i="115"/>
  <c r="J189" i="115"/>
  <c r="I189" i="115"/>
  <c r="J188" i="115"/>
  <c r="I188" i="115"/>
  <c r="J187" i="115"/>
  <c r="I187" i="115"/>
  <c r="J186" i="115"/>
  <c r="I186" i="115"/>
  <c r="J185" i="115"/>
  <c r="I185" i="115"/>
  <c r="J184" i="115"/>
  <c r="I184" i="115"/>
  <c r="J183" i="115"/>
  <c r="I183" i="115"/>
  <c r="J182" i="115"/>
  <c r="I182" i="115"/>
  <c r="J181" i="115"/>
  <c r="I181" i="115"/>
  <c r="J180" i="115"/>
  <c r="I180" i="115"/>
  <c r="J179" i="115"/>
  <c r="I179" i="115"/>
  <c r="J178" i="115"/>
  <c r="I178" i="115"/>
  <c r="J177" i="115"/>
  <c r="I177" i="115"/>
  <c r="J176" i="115"/>
  <c r="I176" i="115"/>
  <c r="J175" i="115"/>
  <c r="I175" i="115"/>
  <c r="J174" i="115"/>
  <c r="I174" i="115"/>
  <c r="J173" i="115"/>
  <c r="I173" i="115"/>
  <c r="J172" i="115"/>
  <c r="I172" i="115"/>
  <c r="J171" i="115"/>
  <c r="I171" i="115"/>
  <c r="J170" i="115"/>
  <c r="I170" i="115"/>
  <c r="J169" i="115"/>
  <c r="I169" i="115"/>
  <c r="J168" i="115"/>
  <c r="I168" i="115"/>
  <c r="J167" i="115"/>
  <c r="I167" i="115"/>
  <c r="J166" i="115"/>
  <c r="I166" i="115"/>
  <c r="J165" i="115"/>
  <c r="I165" i="115"/>
  <c r="J164" i="115"/>
  <c r="I164" i="115"/>
  <c r="J163" i="115"/>
  <c r="I163" i="115"/>
  <c r="J162" i="115"/>
  <c r="I162" i="115"/>
  <c r="J161" i="115"/>
  <c r="I161" i="115"/>
  <c r="J160" i="115"/>
  <c r="I160" i="115"/>
  <c r="J159" i="115"/>
  <c r="I159" i="115"/>
  <c r="J158" i="115"/>
  <c r="I158" i="115"/>
  <c r="J157" i="115"/>
  <c r="I157" i="115"/>
  <c r="J156" i="115"/>
  <c r="I156" i="115"/>
  <c r="J155" i="115"/>
  <c r="I155" i="115"/>
  <c r="J154" i="115"/>
  <c r="I154" i="115"/>
  <c r="J153" i="115"/>
  <c r="I153" i="115"/>
  <c r="J152" i="115"/>
  <c r="I152" i="115"/>
  <c r="J151" i="115"/>
  <c r="I151" i="115"/>
  <c r="J150" i="115"/>
  <c r="I150" i="115"/>
  <c r="J149" i="115"/>
  <c r="I149" i="115"/>
  <c r="J148" i="115"/>
  <c r="I148" i="115"/>
  <c r="J147" i="115"/>
  <c r="I147" i="115"/>
  <c r="J146" i="115"/>
  <c r="I146" i="115"/>
  <c r="J145" i="115"/>
  <c r="I145" i="115"/>
  <c r="J144" i="115"/>
  <c r="I144" i="115"/>
  <c r="J143" i="115"/>
  <c r="I143" i="115"/>
  <c r="J142" i="115"/>
  <c r="I142" i="115"/>
  <c r="J141" i="115"/>
  <c r="I141" i="115"/>
  <c r="J140" i="115"/>
  <c r="I140" i="115"/>
  <c r="J139" i="115"/>
  <c r="I139" i="115"/>
  <c r="J138" i="115"/>
  <c r="I138" i="115"/>
  <c r="J137" i="115"/>
  <c r="I137" i="115"/>
  <c r="J136" i="115"/>
  <c r="I136" i="115"/>
  <c r="J135" i="115"/>
  <c r="I135" i="115"/>
  <c r="J134" i="115"/>
  <c r="I134" i="115"/>
  <c r="J133" i="115"/>
  <c r="I133" i="115"/>
  <c r="J132" i="115"/>
  <c r="I132" i="115"/>
  <c r="J131" i="115"/>
  <c r="I131" i="115"/>
  <c r="J130" i="115"/>
  <c r="I130" i="115"/>
  <c r="J129" i="115"/>
  <c r="I129" i="115"/>
  <c r="J128" i="115"/>
  <c r="I128" i="115"/>
  <c r="J127" i="115"/>
  <c r="I127" i="115"/>
  <c r="J126" i="115"/>
  <c r="I126" i="115"/>
  <c r="J125" i="115"/>
  <c r="I125" i="115"/>
  <c r="J124" i="115"/>
  <c r="I124" i="115"/>
  <c r="J123" i="115"/>
  <c r="I123" i="115"/>
  <c r="J122" i="115"/>
  <c r="I122" i="115"/>
  <c r="J121" i="115"/>
  <c r="I121" i="115"/>
  <c r="J120" i="115"/>
  <c r="I120" i="115"/>
  <c r="J119" i="115"/>
  <c r="I119" i="115"/>
  <c r="J118" i="115"/>
  <c r="I118" i="115"/>
  <c r="J117" i="115"/>
  <c r="I117" i="115"/>
  <c r="J116" i="115"/>
  <c r="I116" i="115"/>
  <c r="J115" i="115"/>
  <c r="I115" i="115"/>
  <c r="J114" i="115"/>
  <c r="I114" i="115"/>
  <c r="J113" i="115"/>
  <c r="I113" i="115"/>
  <c r="J112" i="115"/>
  <c r="I112" i="115"/>
  <c r="J111" i="115"/>
  <c r="I111" i="115"/>
  <c r="J110" i="115"/>
  <c r="I110" i="115"/>
  <c r="J109" i="115"/>
  <c r="I109" i="115"/>
  <c r="J108" i="115"/>
  <c r="I108" i="115"/>
  <c r="J107" i="115"/>
  <c r="I107" i="115"/>
  <c r="J106" i="115"/>
  <c r="I106" i="115"/>
  <c r="J105" i="115"/>
  <c r="I105" i="115"/>
  <c r="J104" i="115"/>
  <c r="I104" i="115"/>
  <c r="J103" i="115"/>
  <c r="I103" i="115"/>
  <c r="J102" i="115"/>
  <c r="I102" i="115"/>
  <c r="J101" i="115"/>
  <c r="I101" i="115"/>
  <c r="J100" i="115"/>
  <c r="I100" i="115"/>
  <c r="J99" i="115"/>
  <c r="I99" i="115"/>
  <c r="J98" i="115"/>
  <c r="I98" i="115"/>
  <c r="J97" i="115"/>
  <c r="I97" i="115"/>
  <c r="J96" i="115"/>
  <c r="I96" i="115"/>
  <c r="J95" i="115"/>
  <c r="I95" i="115"/>
  <c r="J94" i="115"/>
  <c r="I94" i="115"/>
  <c r="J93" i="115"/>
  <c r="I93" i="115"/>
  <c r="J92" i="115"/>
  <c r="I92" i="115"/>
  <c r="J91" i="115"/>
  <c r="I91" i="115"/>
  <c r="J90" i="115"/>
  <c r="I90" i="115"/>
  <c r="J89" i="115"/>
  <c r="I89" i="115"/>
  <c r="J88" i="115"/>
  <c r="I88" i="115"/>
  <c r="J87" i="115"/>
  <c r="I87" i="115"/>
  <c r="J86" i="115"/>
  <c r="I86" i="115"/>
  <c r="J85" i="115"/>
  <c r="I85" i="115"/>
  <c r="J84" i="115"/>
  <c r="I84" i="115"/>
  <c r="J83" i="115"/>
  <c r="I83" i="115"/>
  <c r="J82" i="115"/>
  <c r="I82" i="115"/>
  <c r="J81" i="115"/>
  <c r="I81" i="115"/>
  <c r="J80" i="115"/>
  <c r="I80" i="115"/>
  <c r="J79" i="115"/>
  <c r="I79" i="115"/>
  <c r="J78" i="115"/>
  <c r="I78" i="115"/>
  <c r="J77" i="115"/>
  <c r="I77" i="115"/>
  <c r="J76" i="115"/>
  <c r="I76" i="115"/>
  <c r="J75" i="115"/>
  <c r="I75" i="115"/>
  <c r="J74" i="115"/>
  <c r="I74" i="115"/>
  <c r="J73" i="115"/>
  <c r="I73" i="115"/>
  <c r="J72" i="115"/>
  <c r="I72" i="115"/>
  <c r="J71" i="115"/>
  <c r="I71" i="115"/>
  <c r="J70" i="115"/>
  <c r="I70" i="115"/>
  <c r="J69" i="115"/>
  <c r="I69" i="115"/>
  <c r="J68" i="115"/>
  <c r="I68" i="115"/>
  <c r="J67" i="115"/>
  <c r="I67" i="115"/>
  <c r="J66" i="115"/>
  <c r="I66" i="115"/>
  <c r="J65" i="115"/>
  <c r="I65" i="115"/>
  <c r="J64" i="115"/>
  <c r="I64" i="115"/>
  <c r="J63" i="115"/>
  <c r="I63" i="115"/>
  <c r="J62" i="115"/>
  <c r="I62" i="115"/>
  <c r="J61" i="115"/>
  <c r="I61" i="115"/>
  <c r="J60" i="115"/>
  <c r="I60" i="115"/>
  <c r="J59" i="115"/>
  <c r="I59" i="115"/>
  <c r="J58" i="115"/>
  <c r="I58" i="115"/>
  <c r="J57" i="115"/>
  <c r="I57" i="115"/>
  <c r="J56" i="115"/>
  <c r="I56" i="115"/>
  <c r="J55" i="115"/>
  <c r="I55" i="115"/>
  <c r="J54" i="115"/>
  <c r="I54" i="115"/>
  <c r="J53" i="115"/>
  <c r="I53" i="115"/>
  <c r="J52" i="115"/>
  <c r="I52" i="115"/>
  <c r="J51" i="115"/>
  <c r="I51" i="115"/>
  <c r="J50" i="115"/>
  <c r="I50" i="115"/>
  <c r="J49" i="115"/>
  <c r="I49" i="115"/>
  <c r="J48" i="115"/>
  <c r="I48" i="115"/>
  <c r="J47" i="115"/>
  <c r="I47" i="115"/>
  <c r="J46" i="115"/>
  <c r="I46" i="115"/>
  <c r="J45" i="115"/>
  <c r="I45" i="115"/>
  <c r="J44" i="115"/>
  <c r="I44" i="115"/>
  <c r="J43" i="115"/>
  <c r="I43" i="115"/>
  <c r="J42" i="115"/>
  <c r="I42" i="115"/>
  <c r="J41" i="115"/>
  <c r="I41" i="115"/>
  <c r="J40" i="115"/>
  <c r="I40" i="115"/>
  <c r="J39" i="115"/>
  <c r="I39" i="115"/>
  <c r="J38" i="115"/>
  <c r="I38" i="115"/>
  <c r="J37" i="115"/>
  <c r="I37" i="115"/>
  <c r="J36" i="115"/>
  <c r="I36" i="115"/>
  <c r="J35" i="115"/>
  <c r="I35" i="115"/>
  <c r="J34" i="115"/>
  <c r="I34" i="115"/>
  <c r="J33" i="115"/>
  <c r="I33" i="115"/>
  <c r="J32" i="115"/>
  <c r="I32" i="115"/>
  <c r="J31" i="115"/>
  <c r="I31" i="115"/>
  <c r="J30" i="115"/>
  <c r="I30" i="115"/>
  <c r="J29" i="115"/>
  <c r="I29" i="115"/>
  <c r="J28" i="115"/>
  <c r="I28" i="115"/>
  <c r="J27" i="115"/>
  <c r="I27" i="115"/>
  <c r="J26" i="115"/>
  <c r="I26" i="115"/>
  <c r="J25" i="115"/>
  <c r="I25" i="115"/>
  <c r="J24" i="115"/>
  <c r="I24" i="115"/>
  <c r="J23" i="115"/>
  <c r="I23" i="115"/>
  <c r="J22" i="115"/>
  <c r="I22" i="115"/>
  <c r="J21" i="115"/>
  <c r="I21" i="115"/>
  <c r="J20" i="115"/>
  <c r="I20" i="115"/>
  <c r="J19" i="115"/>
  <c r="I19" i="115"/>
  <c r="J18" i="115"/>
  <c r="I18" i="115"/>
  <c r="J17" i="115"/>
  <c r="I17" i="115"/>
  <c r="J16" i="115"/>
  <c r="I16" i="115"/>
  <c r="J15" i="115"/>
  <c r="I15" i="115"/>
  <c r="J14" i="115"/>
  <c r="I14" i="115"/>
  <c r="J13" i="115"/>
  <c r="I13" i="115"/>
  <c r="J12" i="115"/>
  <c r="I12" i="115"/>
  <c r="J11" i="115"/>
  <c r="I11" i="115"/>
  <c r="J10" i="115"/>
  <c r="I10" i="115"/>
  <c r="J9" i="115"/>
  <c r="I9" i="115"/>
  <c r="J8" i="115"/>
  <c r="I8" i="115"/>
  <c r="J7" i="115"/>
  <c r="I7" i="115"/>
  <c r="J6" i="115"/>
  <c r="I6" i="115"/>
  <c r="J5" i="115"/>
  <c r="I5" i="115"/>
  <c r="J4" i="115"/>
  <c r="I4" i="115"/>
  <c r="J3" i="115"/>
  <c r="I3" i="115"/>
  <c r="I2" i="115"/>
  <c r="J390" i="114"/>
  <c r="I390" i="114"/>
  <c r="J389" i="114"/>
  <c r="I389" i="114"/>
  <c r="J388" i="114"/>
  <c r="I388" i="114"/>
  <c r="J387" i="114"/>
  <c r="I387" i="114"/>
  <c r="J386" i="114"/>
  <c r="I386" i="114"/>
  <c r="J385" i="114"/>
  <c r="I385" i="114"/>
  <c r="J384" i="114"/>
  <c r="I384" i="114"/>
  <c r="J383" i="114"/>
  <c r="I383" i="114"/>
  <c r="J382" i="114"/>
  <c r="I382" i="114"/>
  <c r="J381" i="114"/>
  <c r="I381" i="114"/>
  <c r="J380" i="114"/>
  <c r="I380" i="114"/>
  <c r="J379" i="114"/>
  <c r="I379" i="114"/>
  <c r="J378" i="114"/>
  <c r="I378" i="114"/>
  <c r="J377" i="114"/>
  <c r="I377" i="114"/>
  <c r="J376" i="114"/>
  <c r="I376" i="114"/>
  <c r="J375" i="114"/>
  <c r="I375" i="114"/>
  <c r="J374" i="114"/>
  <c r="I374" i="114"/>
  <c r="J373" i="114"/>
  <c r="I373" i="114"/>
  <c r="J372" i="114"/>
  <c r="I372" i="114"/>
  <c r="J371" i="114"/>
  <c r="I371" i="114"/>
  <c r="J370" i="114"/>
  <c r="I370" i="114"/>
  <c r="J369" i="114"/>
  <c r="I369" i="114"/>
  <c r="J368" i="114"/>
  <c r="I368" i="114"/>
  <c r="J367" i="114"/>
  <c r="I367" i="114"/>
  <c r="J366" i="114"/>
  <c r="I366" i="114"/>
  <c r="J365" i="114"/>
  <c r="I365" i="114"/>
  <c r="J364" i="114"/>
  <c r="I364" i="114"/>
  <c r="J363" i="114"/>
  <c r="I363" i="114"/>
  <c r="J362" i="114"/>
  <c r="I362" i="114"/>
  <c r="J361" i="114"/>
  <c r="I361" i="114"/>
  <c r="J360" i="114"/>
  <c r="I360" i="114"/>
  <c r="J359" i="114"/>
  <c r="I359" i="114"/>
  <c r="J358" i="114"/>
  <c r="I358" i="114"/>
  <c r="J357" i="114"/>
  <c r="I357" i="114"/>
  <c r="J356" i="114"/>
  <c r="I356" i="114"/>
  <c r="J355" i="114"/>
  <c r="I355" i="114"/>
  <c r="J354" i="114"/>
  <c r="I354" i="114"/>
  <c r="J353" i="114"/>
  <c r="I353" i="114"/>
  <c r="J352" i="114"/>
  <c r="I352" i="114"/>
  <c r="J351" i="114"/>
  <c r="I351" i="114"/>
  <c r="J350" i="114"/>
  <c r="I350" i="114"/>
  <c r="J349" i="114"/>
  <c r="I349" i="114"/>
  <c r="J348" i="114"/>
  <c r="I348" i="114"/>
  <c r="J347" i="114"/>
  <c r="I347" i="114"/>
  <c r="J346" i="114"/>
  <c r="I346" i="114"/>
  <c r="J345" i="114"/>
  <c r="I345" i="114"/>
  <c r="J344" i="114"/>
  <c r="I344" i="114"/>
  <c r="J343" i="114"/>
  <c r="I343" i="114"/>
  <c r="J342" i="114"/>
  <c r="I342" i="114"/>
  <c r="J341" i="114"/>
  <c r="I341" i="114"/>
  <c r="J340" i="114"/>
  <c r="I340" i="114"/>
  <c r="J339" i="114"/>
  <c r="I339" i="114"/>
  <c r="J338" i="114"/>
  <c r="I338" i="114"/>
  <c r="J337" i="114"/>
  <c r="I337" i="114"/>
  <c r="J336" i="114"/>
  <c r="I336" i="114"/>
  <c r="J335" i="114"/>
  <c r="I335" i="114"/>
  <c r="J334" i="114"/>
  <c r="I334" i="114"/>
  <c r="J333" i="114"/>
  <c r="I333" i="114"/>
  <c r="J332" i="114"/>
  <c r="I332" i="114"/>
  <c r="J331" i="114"/>
  <c r="I331" i="114"/>
  <c r="J330" i="114"/>
  <c r="I330" i="114"/>
  <c r="J329" i="114"/>
  <c r="I329" i="114"/>
  <c r="J328" i="114"/>
  <c r="I328" i="114"/>
  <c r="J327" i="114"/>
  <c r="I327" i="114"/>
  <c r="J326" i="114"/>
  <c r="I326" i="114"/>
  <c r="J325" i="114"/>
  <c r="I325" i="114"/>
  <c r="J324" i="114"/>
  <c r="I324" i="114"/>
  <c r="J323" i="114"/>
  <c r="I323" i="114"/>
  <c r="J322" i="114"/>
  <c r="I322" i="114"/>
  <c r="J321" i="114"/>
  <c r="I321" i="114"/>
  <c r="J320" i="114"/>
  <c r="I320" i="114"/>
  <c r="J319" i="114"/>
  <c r="I319" i="114"/>
  <c r="J318" i="114"/>
  <c r="I318" i="114"/>
  <c r="J317" i="114"/>
  <c r="I317" i="114"/>
  <c r="J316" i="114"/>
  <c r="I316" i="114"/>
  <c r="J315" i="114"/>
  <c r="I315" i="114"/>
  <c r="J314" i="114"/>
  <c r="I314" i="114"/>
  <c r="J313" i="114"/>
  <c r="I313" i="114"/>
  <c r="J312" i="114"/>
  <c r="I312" i="114"/>
  <c r="J311" i="114"/>
  <c r="I311" i="114"/>
  <c r="J310" i="114"/>
  <c r="I310" i="114"/>
  <c r="J309" i="114"/>
  <c r="I309" i="114"/>
  <c r="J308" i="114"/>
  <c r="I308" i="114"/>
  <c r="J307" i="114"/>
  <c r="I307" i="114"/>
  <c r="J306" i="114"/>
  <c r="I306" i="114"/>
  <c r="J305" i="114"/>
  <c r="I305" i="114"/>
  <c r="J304" i="114"/>
  <c r="I304" i="114"/>
  <c r="J303" i="114"/>
  <c r="I303" i="114"/>
  <c r="J302" i="114"/>
  <c r="I302" i="114"/>
  <c r="J301" i="114"/>
  <c r="I301" i="114"/>
  <c r="J300" i="114"/>
  <c r="I300" i="114"/>
  <c r="J299" i="114"/>
  <c r="I299" i="114"/>
  <c r="J298" i="114"/>
  <c r="I298" i="114"/>
  <c r="J297" i="114"/>
  <c r="I297" i="114"/>
  <c r="J296" i="114"/>
  <c r="I296" i="114"/>
  <c r="J295" i="114"/>
  <c r="I295" i="114"/>
  <c r="J294" i="114"/>
  <c r="I294" i="114"/>
  <c r="J293" i="114"/>
  <c r="I293" i="114"/>
  <c r="J292" i="114"/>
  <c r="I292" i="114"/>
  <c r="J291" i="114"/>
  <c r="I291" i="114"/>
  <c r="J290" i="114"/>
  <c r="I290" i="114"/>
  <c r="J289" i="114"/>
  <c r="I289" i="114"/>
  <c r="J288" i="114"/>
  <c r="I288" i="114"/>
  <c r="J287" i="114"/>
  <c r="I287" i="114"/>
  <c r="J286" i="114"/>
  <c r="I286" i="114"/>
  <c r="J285" i="114"/>
  <c r="I285" i="114"/>
  <c r="J284" i="114"/>
  <c r="I284" i="114"/>
  <c r="J283" i="114"/>
  <c r="I283" i="114"/>
  <c r="J282" i="114"/>
  <c r="I282" i="114"/>
  <c r="J281" i="114"/>
  <c r="I281" i="114"/>
  <c r="J280" i="114"/>
  <c r="I280" i="114"/>
  <c r="J279" i="114"/>
  <c r="I279" i="114"/>
  <c r="J278" i="114"/>
  <c r="I278" i="114"/>
  <c r="J277" i="114"/>
  <c r="I277" i="114"/>
  <c r="J276" i="114"/>
  <c r="I276" i="114"/>
  <c r="J275" i="114"/>
  <c r="I275" i="114"/>
  <c r="J274" i="114"/>
  <c r="I274" i="114"/>
  <c r="J273" i="114"/>
  <c r="I273" i="114"/>
  <c r="J272" i="114"/>
  <c r="I272" i="114"/>
  <c r="J271" i="114"/>
  <c r="I271" i="114"/>
  <c r="J270" i="114"/>
  <c r="I270" i="114"/>
  <c r="J269" i="114"/>
  <c r="I269" i="114"/>
  <c r="J268" i="114"/>
  <c r="I268" i="114"/>
  <c r="J267" i="114"/>
  <c r="I267" i="114"/>
  <c r="J266" i="114"/>
  <c r="I266" i="114"/>
  <c r="J265" i="114"/>
  <c r="I265" i="114"/>
  <c r="J264" i="114"/>
  <c r="I264" i="114"/>
  <c r="J263" i="114"/>
  <c r="I263" i="114"/>
  <c r="J262" i="114"/>
  <c r="I262" i="114"/>
  <c r="J261" i="114"/>
  <c r="I261" i="114"/>
  <c r="J260" i="114"/>
  <c r="I260" i="114"/>
  <c r="J259" i="114"/>
  <c r="I259" i="114"/>
  <c r="J258" i="114"/>
  <c r="I258" i="114"/>
  <c r="J257" i="114"/>
  <c r="I257" i="114"/>
  <c r="J256" i="114"/>
  <c r="I256" i="114"/>
  <c r="J255" i="114"/>
  <c r="I255" i="114"/>
  <c r="J254" i="114"/>
  <c r="I254" i="114"/>
  <c r="J253" i="114"/>
  <c r="I253" i="114"/>
  <c r="J252" i="114"/>
  <c r="I252" i="114"/>
  <c r="J251" i="114"/>
  <c r="I251" i="114"/>
  <c r="J250" i="114"/>
  <c r="I250" i="114"/>
  <c r="J249" i="114"/>
  <c r="I249" i="114"/>
  <c r="J248" i="114"/>
  <c r="I248" i="114"/>
  <c r="J247" i="114"/>
  <c r="I247" i="114"/>
  <c r="J246" i="114"/>
  <c r="I246" i="114"/>
  <c r="J245" i="114"/>
  <c r="I245" i="114"/>
  <c r="J244" i="114"/>
  <c r="I244" i="114"/>
  <c r="J243" i="114"/>
  <c r="I243" i="114"/>
  <c r="J242" i="114"/>
  <c r="I242" i="114"/>
  <c r="J241" i="114"/>
  <c r="I241" i="114"/>
  <c r="J240" i="114"/>
  <c r="I240" i="114"/>
  <c r="J239" i="114"/>
  <c r="I239" i="114"/>
  <c r="J238" i="114"/>
  <c r="I238" i="114"/>
  <c r="J237" i="114"/>
  <c r="I237" i="114"/>
  <c r="J236" i="114"/>
  <c r="I236" i="114"/>
  <c r="J235" i="114"/>
  <c r="I235" i="114"/>
  <c r="J234" i="114"/>
  <c r="I234" i="114"/>
  <c r="J233" i="114"/>
  <c r="I233" i="114"/>
  <c r="J232" i="114"/>
  <c r="I232" i="114"/>
  <c r="J231" i="114"/>
  <c r="I231" i="114"/>
  <c r="J230" i="114"/>
  <c r="I230" i="114"/>
  <c r="J229" i="114"/>
  <c r="I229" i="114"/>
  <c r="J228" i="114"/>
  <c r="I228" i="114"/>
  <c r="J227" i="114"/>
  <c r="I227" i="114"/>
  <c r="J226" i="114"/>
  <c r="I226" i="114"/>
  <c r="J225" i="114"/>
  <c r="I225" i="114"/>
  <c r="J224" i="114"/>
  <c r="I224" i="114"/>
  <c r="J223" i="114"/>
  <c r="I223" i="114"/>
  <c r="J222" i="114"/>
  <c r="I222" i="114"/>
  <c r="J221" i="114"/>
  <c r="I221" i="114"/>
  <c r="J220" i="114"/>
  <c r="I220" i="114"/>
  <c r="J219" i="114"/>
  <c r="I219" i="114"/>
  <c r="J218" i="114"/>
  <c r="I218" i="114"/>
  <c r="J217" i="114"/>
  <c r="I217" i="114"/>
  <c r="J216" i="114"/>
  <c r="I216" i="114"/>
  <c r="J215" i="114"/>
  <c r="I215" i="114"/>
  <c r="J214" i="114"/>
  <c r="I214" i="114"/>
  <c r="J213" i="114"/>
  <c r="I213" i="114"/>
  <c r="J212" i="114"/>
  <c r="I212" i="114"/>
  <c r="J211" i="114"/>
  <c r="I211" i="114"/>
  <c r="J210" i="114"/>
  <c r="I210" i="114"/>
  <c r="J209" i="114"/>
  <c r="I209" i="114"/>
  <c r="J208" i="114"/>
  <c r="I208" i="114"/>
  <c r="J207" i="114"/>
  <c r="I207" i="114"/>
  <c r="J206" i="114"/>
  <c r="I206" i="114"/>
  <c r="J205" i="114"/>
  <c r="I205" i="114"/>
  <c r="J204" i="114"/>
  <c r="I204" i="114"/>
  <c r="J203" i="114"/>
  <c r="I203" i="114"/>
  <c r="J202" i="114"/>
  <c r="I202" i="114"/>
  <c r="J201" i="114"/>
  <c r="I201" i="114"/>
  <c r="J200" i="114"/>
  <c r="I200" i="114"/>
  <c r="J199" i="114"/>
  <c r="I199" i="114"/>
  <c r="J198" i="114"/>
  <c r="I198" i="114"/>
  <c r="J197" i="114"/>
  <c r="I197" i="114"/>
  <c r="J196" i="114"/>
  <c r="I196" i="114"/>
  <c r="J195" i="114"/>
  <c r="I195" i="114"/>
  <c r="J194" i="114"/>
  <c r="I194" i="114"/>
  <c r="J193" i="114"/>
  <c r="I193" i="114"/>
  <c r="J192" i="114"/>
  <c r="I192" i="114"/>
  <c r="J191" i="114"/>
  <c r="I191" i="114"/>
  <c r="J190" i="114"/>
  <c r="I190" i="114"/>
  <c r="J189" i="114"/>
  <c r="I189" i="114"/>
  <c r="J188" i="114"/>
  <c r="I188" i="114"/>
  <c r="J187" i="114"/>
  <c r="I187" i="114"/>
  <c r="J186" i="114"/>
  <c r="I186" i="114"/>
  <c r="J185" i="114"/>
  <c r="I185" i="114"/>
  <c r="J184" i="114"/>
  <c r="I184" i="114"/>
  <c r="J183" i="114"/>
  <c r="I183" i="114"/>
  <c r="J182" i="114"/>
  <c r="I182" i="114"/>
  <c r="J181" i="114"/>
  <c r="I181" i="114"/>
  <c r="J180" i="114"/>
  <c r="I180" i="114"/>
  <c r="J179" i="114"/>
  <c r="I179" i="114"/>
  <c r="J178" i="114"/>
  <c r="I178" i="114"/>
  <c r="J177" i="114"/>
  <c r="I177" i="114"/>
  <c r="J176" i="114"/>
  <c r="I176" i="114"/>
  <c r="J175" i="114"/>
  <c r="I175" i="114"/>
  <c r="J174" i="114"/>
  <c r="I174" i="114"/>
  <c r="J173" i="114"/>
  <c r="I173" i="114"/>
  <c r="J172" i="114"/>
  <c r="I172" i="114"/>
  <c r="J171" i="114"/>
  <c r="I171" i="114"/>
  <c r="J170" i="114"/>
  <c r="I170" i="114"/>
  <c r="J169" i="114"/>
  <c r="I169" i="114"/>
  <c r="J168" i="114"/>
  <c r="I168" i="114"/>
  <c r="J167" i="114"/>
  <c r="I167" i="114"/>
  <c r="J166" i="114"/>
  <c r="I166" i="114"/>
  <c r="J165" i="114"/>
  <c r="I165" i="114"/>
  <c r="J164" i="114"/>
  <c r="I164" i="114"/>
  <c r="J163" i="114"/>
  <c r="I163" i="114"/>
  <c r="J162" i="114"/>
  <c r="I162" i="114"/>
  <c r="J161" i="114"/>
  <c r="I161" i="114"/>
  <c r="J160" i="114"/>
  <c r="I160" i="114"/>
  <c r="J159" i="114"/>
  <c r="I159" i="114"/>
  <c r="J158" i="114"/>
  <c r="I158" i="114"/>
  <c r="J157" i="114"/>
  <c r="I157" i="114"/>
  <c r="J156" i="114"/>
  <c r="I156" i="114"/>
  <c r="J155" i="114"/>
  <c r="I155" i="114"/>
  <c r="J154" i="114"/>
  <c r="I154" i="114"/>
  <c r="J153" i="114"/>
  <c r="I153" i="114"/>
  <c r="J152" i="114"/>
  <c r="I152" i="114"/>
  <c r="J151" i="114"/>
  <c r="I151" i="114"/>
  <c r="J150" i="114"/>
  <c r="I150" i="114"/>
  <c r="J149" i="114"/>
  <c r="I149" i="114"/>
  <c r="J148" i="114"/>
  <c r="I148" i="114"/>
  <c r="J147" i="114"/>
  <c r="I147" i="114"/>
  <c r="J146" i="114"/>
  <c r="I146" i="114"/>
  <c r="J145" i="114"/>
  <c r="I145" i="114"/>
  <c r="J144" i="114"/>
  <c r="I144" i="114"/>
  <c r="J143" i="114"/>
  <c r="I143" i="114"/>
  <c r="J142" i="114"/>
  <c r="I142" i="114"/>
  <c r="J141" i="114"/>
  <c r="I141" i="114"/>
  <c r="J140" i="114"/>
  <c r="I140" i="114"/>
  <c r="J139" i="114"/>
  <c r="I139" i="114"/>
  <c r="J138" i="114"/>
  <c r="I138" i="114"/>
  <c r="J137" i="114"/>
  <c r="I137" i="114"/>
  <c r="J136" i="114"/>
  <c r="I136" i="114"/>
  <c r="J135" i="114"/>
  <c r="I135" i="114"/>
  <c r="J134" i="114"/>
  <c r="I134" i="114"/>
  <c r="J133" i="114"/>
  <c r="I133" i="114"/>
  <c r="J132" i="114"/>
  <c r="I132" i="114"/>
  <c r="J131" i="114"/>
  <c r="I131" i="114"/>
  <c r="J130" i="114"/>
  <c r="I130" i="114"/>
  <c r="J129" i="114"/>
  <c r="I129" i="114"/>
  <c r="J128" i="114"/>
  <c r="I128" i="114"/>
  <c r="J127" i="114"/>
  <c r="I127" i="114"/>
  <c r="J126" i="114"/>
  <c r="I126" i="114"/>
  <c r="J125" i="114"/>
  <c r="I125" i="114"/>
  <c r="J124" i="114"/>
  <c r="I124" i="114"/>
  <c r="J123" i="114"/>
  <c r="I123" i="114"/>
  <c r="J122" i="114"/>
  <c r="I122" i="114"/>
  <c r="J121" i="114"/>
  <c r="I121" i="114"/>
  <c r="J120" i="114"/>
  <c r="I120" i="114"/>
  <c r="J119" i="114"/>
  <c r="I119" i="114"/>
  <c r="J118" i="114"/>
  <c r="I118" i="114"/>
  <c r="J117" i="114"/>
  <c r="I117" i="114"/>
  <c r="J116" i="114"/>
  <c r="I116" i="114"/>
  <c r="J115" i="114"/>
  <c r="I115" i="114"/>
  <c r="J114" i="114"/>
  <c r="I114" i="114"/>
  <c r="J113" i="114"/>
  <c r="I113" i="114"/>
  <c r="J112" i="114"/>
  <c r="I112" i="114"/>
  <c r="J111" i="114"/>
  <c r="I111" i="114"/>
  <c r="J110" i="114"/>
  <c r="I110" i="114"/>
  <c r="J109" i="114"/>
  <c r="I109" i="114"/>
  <c r="J108" i="114"/>
  <c r="I108" i="114"/>
  <c r="J107" i="114"/>
  <c r="I107" i="114"/>
  <c r="J106" i="114"/>
  <c r="I106" i="114"/>
  <c r="J105" i="114"/>
  <c r="I105" i="114"/>
  <c r="J104" i="114"/>
  <c r="I104" i="114"/>
  <c r="J103" i="114"/>
  <c r="I103" i="114"/>
  <c r="J102" i="114"/>
  <c r="I102" i="114"/>
  <c r="J101" i="114"/>
  <c r="I101" i="114"/>
  <c r="J100" i="114"/>
  <c r="I100" i="114"/>
  <c r="J99" i="114"/>
  <c r="I99" i="114"/>
  <c r="J98" i="114"/>
  <c r="I98" i="114"/>
  <c r="J97" i="114"/>
  <c r="I97" i="114"/>
  <c r="J96" i="114"/>
  <c r="I96" i="114"/>
  <c r="J95" i="114"/>
  <c r="I95" i="114"/>
  <c r="J94" i="114"/>
  <c r="I94" i="114"/>
  <c r="J93" i="114"/>
  <c r="I93" i="114"/>
  <c r="J92" i="114"/>
  <c r="I92" i="114"/>
  <c r="J91" i="114"/>
  <c r="I91" i="114"/>
  <c r="J90" i="114"/>
  <c r="I90" i="114"/>
  <c r="J89" i="114"/>
  <c r="I89" i="114"/>
  <c r="J88" i="114"/>
  <c r="I88" i="114"/>
  <c r="J87" i="114"/>
  <c r="I87" i="114"/>
  <c r="J86" i="114"/>
  <c r="I86" i="114"/>
  <c r="J85" i="114"/>
  <c r="I85" i="114"/>
  <c r="J84" i="114"/>
  <c r="I84" i="114"/>
  <c r="J83" i="114"/>
  <c r="I83" i="114"/>
  <c r="J82" i="114"/>
  <c r="I82" i="114"/>
  <c r="J81" i="114"/>
  <c r="I81" i="114"/>
  <c r="J80" i="114"/>
  <c r="I80" i="114"/>
  <c r="J79" i="114"/>
  <c r="I79" i="114"/>
  <c r="J78" i="114"/>
  <c r="I78" i="114"/>
  <c r="J77" i="114"/>
  <c r="I77" i="114"/>
  <c r="J76" i="114"/>
  <c r="I76" i="114"/>
  <c r="J75" i="114"/>
  <c r="I75" i="114"/>
  <c r="J74" i="114"/>
  <c r="I74" i="114"/>
  <c r="J73" i="114"/>
  <c r="I73" i="114"/>
  <c r="J72" i="114"/>
  <c r="I72" i="114"/>
  <c r="J71" i="114"/>
  <c r="I71" i="114"/>
  <c r="J70" i="114"/>
  <c r="I70" i="114"/>
  <c r="J69" i="114"/>
  <c r="I69" i="114"/>
  <c r="J68" i="114"/>
  <c r="I68" i="114"/>
  <c r="J67" i="114"/>
  <c r="I67" i="114"/>
  <c r="J66" i="114"/>
  <c r="I66" i="114"/>
  <c r="J65" i="114"/>
  <c r="I65" i="114"/>
  <c r="J64" i="114"/>
  <c r="I64" i="114"/>
  <c r="J63" i="114"/>
  <c r="I63" i="114"/>
  <c r="J62" i="114"/>
  <c r="I62" i="114"/>
  <c r="J61" i="114"/>
  <c r="I61" i="114"/>
  <c r="J60" i="114"/>
  <c r="I60" i="114"/>
  <c r="J59" i="114"/>
  <c r="I59" i="114"/>
  <c r="J58" i="114"/>
  <c r="I58" i="114"/>
  <c r="J57" i="114"/>
  <c r="I57" i="114"/>
  <c r="J56" i="114"/>
  <c r="I56" i="114"/>
  <c r="J55" i="114"/>
  <c r="I55" i="114"/>
  <c r="J54" i="114"/>
  <c r="I54" i="114"/>
  <c r="J53" i="114"/>
  <c r="I53" i="114"/>
  <c r="J52" i="114"/>
  <c r="I52" i="114"/>
  <c r="J51" i="114"/>
  <c r="I51" i="114"/>
  <c r="J50" i="114"/>
  <c r="I50" i="114"/>
  <c r="J49" i="114"/>
  <c r="I49" i="114"/>
  <c r="J48" i="114"/>
  <c r="I48" i="114"/>
  <c r="J47" i="114"/>
  <c r="I47" i="114"/>
  <c r="J46" i="114"/>
  <c r="I46" i="114"/>
  <c r="J45" i="114"/>
  <c r="I45" i="114"/>
  <c r="J44" i="114"/>
  <c r="I44" i="114"/>
  <c r="J43" i="114"/>
  <c r="I43" i="114"/>
  <c r="J42" i="114"/>
  <c r="I42" i="114"/>
  <c r="J41" i="114"/>
  <c r="I41" i="114"/>
  <c r="J40" i="114"/>
  <c r="I40" i="114"/>
  <c r="J39" i="114"/>
  <c r="I39" i="114"/>
  <c r="J38" i="114"/>
  <c r="I38" i="114"/>
  <c r="J37" i="114"/>
  <c r="I37" i="114"/>
  <c r="J36" i="114"/>
  <c r="I36" i="114"/>
  <c r="J35" i="114"/>
  <c r="I35" i="114"/>
  <c r="J34" i="114"/>
  <c r="I34" i="114"/>
  <c r="J33" i="114"/>
  <c r="I33" i="114"/>
  <c r="J32" i="114"/>
  <c r="I32" i="114"/>
  <c r="J31" i="114"/>
  <c r="I31" i="114"/>
  <c r="J30" i="114"/>
  <c r="I30" i="114"/>
  <c r="J29" i="114"/>
  <c r="I29" i="114"/>
  <c r="J28" i="114"/>
  <c r="I28" i="114"/>
  <c r="J27" i="114"/>
  <c r="I27" i="114"/>
  <c r="J26" i="114"/>
  <c r="I26" i="114"/>
  <c r="J25" i="114"/>
  <c r="I25" i="114"/>
  <c r="J24" i="114"/>
  <c r="I24" i="114"/>
  <c r="J23" i="114"/>
  <c r="I23" i="114"/>
  <c r="J22" i="114"/>
  <c r="I22" i="114"/>
  <c r="J21" i="114"/>
  <c r="I21" i="114"/>
  <c r="J20" i="114"/>
  <c r="I20" i="114"/>
  <c r="J19" i="114"/>
  <c r="I19" i="114"/>
  <c r="J18" i="114"/>
  <c r="I18" i="114"/>
  <c r="J17" i="114"/>
  <c r="I17" i="114"/>
  <c r="J16" i="114"/>
  <c r="I16" i="114"/>
  <c r="J15" i="114"/>
  <c r="I15" i="114"/>
  <c r="J14" i="114"/>
  <c r="I14" i="114"/>
  <c r="J13" i="114"/>
  <c r="I13" i="114"/>
  <c r="J12" i="114"/>
  <c r="I12" i="114"/>
  <c r="J11" i="114"/>
  <c r="I11" i="114"/>
  <c r="J10" i="114"/>
  <c r="I10" i="114"/>
  <c r="J9" i="114"/>
  <c r="I9" i="114"/>
  <c r="J8" i="114"/>
  <c r="I8" i="114"/>
  <c r="J7" i="114"/>
  <c r="I7" i="114"/>
  <c r="J6" i="114"/>
  <c r="I6" i="114"/>
  <c r="J5" i="114"/>
  <c r="I5" i="114"/>
  <c r="J4" i="114"/>
  <c r="I4" i="114"/>
  <c r="J3" i="114"/>
  <c r="I3" i="114"/>
  <c r="I2" i="114"/>
  <c r="J390" i="113"/>
  <c r="I390" i="113"/>
  <c r="J389" i="113"/>
  <c r="I389" i="113"/>
  <c r="J388" i="113"/>
  <c r="I388" i="113"/>
  <c r="J387" i="113"/>
  <c r="I387" i="113"/>
  <c r="J386" i="113"/>
  <c r="I386" i="113"/>
  <c r="J385" i="113"/>
  <c r="I385" i="113"/>
  <c r="J384" i="113"/>
  <c r="I384" i="113"/>
  <c r="J383" i="113"/>
  <c r="I383" i="113"/>
  <c r="J382" i="113"/>
  <c r="I382" i="113"/>
  <c r="J381" i="113"/>
  <c r="I381" i="113"/>
  <c r="J380" i="113"/>
  <c r="I380" i="113"/>
  <c r="J379" i="113"/>
  <c r="I379" i="113"/>
  <c r="J378" i="113"/>
  <c r="I378" i="113"/>
  <c r="J377" i="113"/>
  <c r="I377" i="113"/>
  <c r="J376" i="113"/>
  <c r="I376" i="113"/>
  <c r="J375" i="113"/>
  <c r="I375" i="113"/>
  <c r="J374" i="113"/>
  <c r="I374" i="113"/>
  <c r="J373" i="113"/>
  <c r="I373" i="113"/>
  <c r="J372" i="113"/>
  <c r="I372" i="113"/>
  <c r="J371" i="113"/>
  <c r="I371" i="113"/>
  <c r="J370" i="113"/>
  <c r="I370" i="113"/>
  <c r="J369" i="113"/>
  <c r="I369" i="113"/>
  <c r="J368" i="113"/>
  <c r="I368" i="113"/>
  <c r="J367" i="113"/>
  <c r="I367" i="113"/>
  <c r="J366" i="113"/>
  <c r="I366" i="113"/>
  <c r="J365" i="113"/>
  <c r="I365" i="113"/>
  <c r="J364" i="113"/>
  <c r="I364" i="113"/>
  <c r="J363" i="113"/>
  <c r="I363" i="113"/>
  <c r="J362" i="113"/>
  <c r="I362" i="113"/>
  <c r="J361" i="113"/>
  <c r="I361" i="113"/>
  <c r="J360" i="113"/>
  <c r="I360" i="113"/>
  <c r="J359" i="113"/>
  <c r="I359" i="113"/>
  <c r="J358" i="113"/>
  <c r="I358" i="113"/>
  <c r="J357" i="113"/>
  <c r="I357" i="113"/>
  <c r="J356" i="113"/>
  <c r="I356" i="113"/>
  <c r="J355" i="113"/>
  <c r="I355" i="113"/>
  <c r="J354" i="113"/>
  <c r="I354" i="113"/>
  <c r="J353" i="113"/>
  <c r="I353" i="113"/>
  <c r="J352" i="113"/>
  <c r="I352" i="113"/>
  <c r="J351" i="113"/>
  <c r="I351" i="113"/>
  <c r="J350" i="113"/>
  <c r="I350" i="113"/>
  <c r="J349" i="113"/>
  <c r="I349" i="113"/>
  <c r="J348" i="113"/>
  <c r="I348" i="113"/>
  <c r="J347" i="113"/>
  <c r="I347" i="113"/>
  <c r="J346" i="113"/>
  <c r="I346" i="113"/>
  <c r="J345" i="113"/>
  <c r="I345" i="113"/>
  <c r="J344" i="113"/>
  <c r="I344" i="113"/>
  <c r="J343" i="113"/>
  <c r="I343" i="113"/>
  <c r="J342" i="113"/>
  <c r="I342" i="113"/>
  <c r="J341" i="113"/>
  <c r="I341" i="113"/>
  <c r="J340" i="113"/>
  <c r="I340" i="113"/>
  <c r="J339" i="113"/>
  <c r="I339" i="113"/>
  <c r="J338" i="113"/>
  <c r="I338" i="113"/>
  <c r="J337" i="113"/>
  <c r="I337" i="113"/>
  <c r="J336" i="113"/>
  <c r="I336" i="113"/>
  <c r="J335" i="113"/>
  <c r="I335" i="113"/>
  <c r="J334" i="113"/>
  <c r="I334" i="113"/>
  <c r="J333" i="113"/>
  <c r="I333" i="113"/>
  <c r="J332" i="113"/>
  <c r="I332" i="113"/>
  <c r="J331" i="113"/>
  <c r="I331" i="113"/>
  <c r="J330" i="113"/>
  <c r="I330" i="113"/>
  <c r="J329" i="113"/>
  <c r="I329" i="113"/>
  <c r="J328" i="113"/>
  <c r="I328" i="113"/>
  <c r="J327" i="113"/>
  <c r="I327" i="113"/>
  <c r="J326" i="113"/>
  <c r="I326" i="113"/>
  <c r="J325" i="113"/>
  <c r="I325" i="113"/>
  <c r="J324" i="113"/>
  <c r="I324" i="113"/>
  <c r="J323" i="113"/>
  <c r="I323" i="113"/>
  <c r="J322" i="113"/>
  <c r="I322" i="113"/>
  <c r="J321" i="113"/>
  <c r="I321" i="113"/>
  <c r="J320" i="113"/>
  <c r="I320" i="113"/>
  <c r="J319" i="113"/>
  <c r="I319" i="113"/>
  <c r="J318" i="113"/>
  <c r="I318" i="113"/>
  <c r="J317" i="113"/>
  <c r="I317" i="113"/>
  <c r="J316" i="113"/>
  <c r="I316" i="113"/>
  <c r="J315" i="113"/>
  <c r="I315" i="113"/>
  <c r="J314" i="113"/>
  <c r="I314" i="113"/>
  <c r="J313" i="113"/>
  <c r="I313" i="113"/>
  <c r="J312" i="113"/>
  <c r="I312" i="113"/>
  <c r="J311" i="113"/>
  <c r="I311" i="113"/>
  <c r="J310" i="113"/>
  <c r="I310" i="113"/>
  <c r="J309" i="113"/>
  <c r="I309" i="113"/>
  <c r="J308" i="113"/>
  <c r="I308" i="113"/>
  <c r="J307" i="113"/>
  <c r="I307" i="113"/>
  <c r="J306" i="113"/>
  <c r="I306" i="113"/>
  <c r="J305" i="113"/>
  <c r="I305" i="113"/>
  <c r="J304" i="113"/>
  <c r="I304" i="113"/>
  <c r="J303" i="113"/>
  <c r="I303" i="113"/>
  <c r="J302" i="113"/>
  <c r="I302" i="113"/>
  <c r="J301" i="113"/>
  <c r="I301" i="113"/>
  <c r="J300" i="113"/>
  <c r="I300" i="113"/>
  <c r="J299" i="113"/>
  <c r="I299" i="113"/>
  <c r="J298" i="113"/>
  <c r="I298" i="113"/>
  <c r="J297" i="113"/>
  <c r="I297" i="113"/>
  <c r="J296" i="113"/>
  <c r="I296" i="113"/>
  <c r="J295" i="113"/>
  <c r="I295" i="113"/>
  <c r="J294" i="113"/>
  <c r="I294" i="113"/>
  <c r="J293" i="113"/>
  <c r="I293" i="113"/>
  <c r="J292" i="113"/>
  <c r="I292" i="113"/>
  <c r="J291" i="113"/>
  <c r="I291" i="113"/>
  <c r="J290" i="113"/>
  <c r="I290" i="113"/>
  <c r="J289" i="113"/>
  <c r="I289" i="113"/>
  <c r="J288" i="113"/>
  <c r="I288" i="113"/>
  <c r="J287" i="113"/>
  <c r="I287" i="113"/>
  <c r="J286" i="113"/>
  <c r="I286" i="113"/>
  <c r="J285" i="113"/>
  <c r="I285" i="113"/>
  <c r="J284" i="113"/>
  <c r="I284" i="113"/>
  <c r="J283" i="113"/>
  <c r="I283" i="113"/>
  <c r="J282" i="113"/>
  <c r="I282" i="113"/>
  <c r="J281" i="113"/>
  <c r="I281" i="113"/>
  <c r="J280" i="113"/>
  <c r="I280" i="113"/>
  <c r="J279" i="113"/>
  <c r="I279" i="113"/>
  <c r="J278" i="113"/>
  <c r="I278" i="113"/>
  <c r="J277" i="113"/>
  <c r="I277" i="113"/>
  <c r="J276" i="113"/>
  <c r="I276" i="113"/>
  <c r="J275" i="113"/>
  <c r="I275" i="113"/>
  <c r="J274" i="113"/>
  <c r="I274" i="113"/>
  <c r="J273" i="113"/>
  <c r="I273" i="113"/>
  <c r="J272" i="113"/>
  <c r="I272" i="113"/>
  <c r="J271" i="113"/>
  <c r="I271" i="113"/>
  <c r="J270" i="113"/>
  <c r="I270" i="113"/>
  <c r="J269" i="113"/>
  <c r="I269" i="113"/>
  <c r="J268" i="113"/>
  <c r="I268" i="113"/>
  <c r="J267" i="113"/>
  <c r="I267" i="113"/>
  <c r="J266" i="113"/>
  <c r="I266" i="113"/>
  <c r="J265" i="113"/>
  <c r="I265" i="113"/>
  <c r="J264" i="113"/>
  <c r="I264" i="113"/>
  <c r="J263" i="113"/>
  <c r="I263" i="113"/>
  <c r="J262" i="113"/>
  <c r="I262" i="113"/>
  <c r="J261" i="113"/>
  <c r="I261" i="113"/>
  <c r="J260" i="113"/>
  <c r="I260" i="113"/>
  <c r="J259" i="113"/>
  <c r="I259" i="113"/>
  <c r="J258" i="113"/>
  <c r="I258" i="113"/>
  <c r="J257" i="113"/>
  <c r="I257" i="113"/>
  <c r="J256" i="113"/>
  <c r="I256" i="113"/>
  <c r="J255" i="113"/>
  <c r="I255" i="113"/>
  <c r="J254" i="113"/>
  <c r="I254" i="113"/>
  <c r="J253" i="113"/>
  <c r="I253" i="113"/>
  <c r="J252" i="113"/>
  <c r="I252" i="113"/>
  <c r="J251" i="113"/>
  <c r="I251" i="113"/>
  <c r="J250" i="113"/>
  <c r="I250" i="113"/>
  <c r="J249" i="113"/>
  <c r="I249" i="113"/>
  <c r="J248" i="113"/>
  <c r="I248" i="113"/>
  <c r="J247" i="113"/>
  <c r="I247" i="113"/>
  <c r="J246" i="113"/>
  <c r="I246" i="113"/>
  <c r="J245" i="113"/>
  <c r="I245" i="113"/>
  <c r="J244" i="113"/>
  <c r="I244" i="113"/>
  <c r="J243" i="113"/>
  <c r="I243" i="113"/>
  <c r="J242" i="113"/>
  <c r="I242" i="113"/>
  <c r="J241" i="113"/>
  <c r="I241" i="113"/>
  <c r="J240" i="113"/>
  <c r="I240" i="113"/>
  <c r="J239" i="113"/>
  <c r="I239" i="113"/>
  <c r="J238" i="113"/>
  <c r="I238" i="113"/>
  <c r="J237" i="113"/>
  <c r="I237" i="113"/>
  <c r="J236" i="113"/>
  <c r="I236" i="113"/>
  <c r="J235" i="113"/>
  <c r="I235" i="113"/>
  <c r="J234" i="113"/>
  <c r="I234" i="113"/>
  <c r="J233" i="113"/>
  <c r="I233" i="113"/>
  <c r="J232" i="113"/>
  <c r="I232" i="113"/>
  <c r="J231" i="113"/>
  <c r="I231" i="113"/>
  <c r="J230" i="113"/>
  <c r="I230" i="113"/>
  <c r="J229" i="113"/>
  <c r="I229" i="113"/>
  <c r="J228" i="113"/>
  <c r="I228" i="113"/>
  <c r="J227" i="113"/>
  <c r="I227" i="113"/>
  <c r="J226" i="113"/>
  <c r="I226" i="113"/>
  <c r="J225" i="113"/>
  <c r="I225" i="113"/>
  <c r="J224" i="113"/>
  <c r="I224" i="113"/>
  <c r="J223" i="113"/>
  <c r="I223" i="113"/>
  <c r="J222" i="113"/>
  <c r="I222" i="113"/>
  <c r="J221" i="113"/>
  <c r="I221" i="113"/>
  <c r="J220" i="113"/>
  <c r="I220" i="113"/>
  <c r="J219" i="113"/>
  <c r="I219" i="113"/>
  <c r="J218" i="113"/>
  <c r="I218" i="113"/>
  <c r="J217" i="113"/>
  <c r="I217" i="113"/>
  <c r="J216" i="113"/>
  <c r="I216" i="113"/>
  <c r="J215" i="113"/>
  <c r="I215" i="113"/>
  <c r="J214" i="113"/>
  <c r="I214" i="113"/>
  <c r="J213" i="113"/>
  <c r="I213" i="113"/>
  <c r="J212" i="113"/>
  <c r="I212" i="113"/>
  <c r="J211" i="113"/>
  <c r="I211" i="113"/>
  <c r="J210" i="113"/>
  <c r="I210" i="113"/>
  <c r="J209" i="113"/>
  <c r="I209" i="113"/>
  <c r="J208" i="113"/>
  <c r="I208" i="113"/>
  <c r="J207" i="113"/>
  <c r="I207" i="113"/>
  <c r="J206" i="113"/>
  <c r="I206" i="113"/>
  <c r="J205" i="113"/>
  <c r="I205" i="113"/>
  <c r="J204" i="113"/>
  <c r="I204" i="113"/>
  <c r="J203" i="113"/>
  <c r="I203" i="113"/>
  <c r="J202" i="113"/>
  <c r="I202" i="113"/>
  <c r="J201" i="113"/>
  <c r="I201" i="113"/>
  <c r="J200" i="113"/>
  <c r="I200" i="113"/>
  <c r="J199" i="113"/>
  <c r="I199" i="113"/>
  <c r="J198" i="113"/>
  <c r="I198" i="113"/>
  <c r="J197" i="113"/>
  <c r="I197" i="113"/>
  <c r="J196" i="113"/>
  <c r="I196" i="113"/>
  <c r="J195" i="113"/>
  <c r="I195" i="113"/>
  <c r="J194" i="113"/>
  <c r="I194" i="113"/>
  <c r="J193" i="113"/>
  <c r="I193" i="113"/>
  <c r="J192" i="113"/>
  <c r="I192" i="113"/>
  <c r="J191" i="113"/>
  <c r="I191" i="113"/>
  <c r="J190" i="113"/>
  <c r="I190" i="113"/>
  <c r="J189" i="113"/>
  <c r="I189" i="113"/>
  <c r="J188" i="113"/>
  <c r="I188" i="113"/>
  <c r="J187" i="113"/>
  <c r="I187" i="113"/>
  <c r="J186" i="113"/>
  <c r="I186" i="113"/>
  <c r="J185" i="113"/>
  <c r="I185" i="113"/>
  <c r="J184" i="113"/>
  <c r="I184" i="113"/>
  <c r="J183" i="113"/>
  <c r="I183" i="113"/>
  <c r="J182" i="113"/>
  <c r="I182" i="113"/>
  <c r="J181" i="113"/>
  <c r="I181" i="113"/>
  <c r="J180" i="113"/>
  <c r="I180" i="113"/>
  <c r="J179" i="113"/>
  <c r="I179" i="113"/>
  <c r="J178" i="113"/>
  <c r="I178" i="113"/>
  <c r="J177" i="113"/>
  <c r="I177" i="113"/>
  <c r="J176" i="113"/>
  <c r="I176" i="113"/>
  <c r="J175" i="113"/>
  <c r="I175" i="113"/>
  <c r="J174" i="113"/>
  <c r="I174" i="113"/>
  <c r="J173" i="113"/>
  <c r="I173" i="113"/>
  <c r="J172" i="113"/>
  <c r="I172" i="113"/>
  <c r="J171" i="113"/>
  <c r="I171" i="113"/>
  <c r="J170" i="113"/>
  <c r="I170" i="113"/>
  <c r="J169" i="113"/>
  <c r="I169" i="113"/>
  <c r="J168" i="113"/>
  <c r="I168" i="113"/>
  <c r="J167" i="113"/>
  <c r="I167" i="113"/>
  <c r="J166" i="113"/>
  <c r="I166" i="113"/>
  <c r="J165" i="113"/>
  <c r="I165" i="113"/>
  <c r="J164" i="113"/>
  <c r="I164" i="113"/>
  <c r="J163" i="113"/>
  <c r="I163" i="113"/>
  <c r="J162" i="113"/>
  <c r="I162" i="113"/>
  <c r="J161" i="113"/>
  <c r="I161" i="113"/>
  <c r="J160" i="113"/>
  <c r="I160" i="113"/>
  <c r="J159" i="113"/>
  <c r="I159" i="113"/>
  <c r="J158" i="113"/>
  <c r="I158" i="113"/>
  <c r="J157" i="113"/>
  <c r="I157" i="113"/>
  <c r="J156" i="113"/>
  <c r="I156" i="113"/>
  <c r="J155" i="113"/>
  <c r="I155" i="113"/>
  <c r="J154" i="113"/>
  <c r="I154" i="113"/>
  <c r="J153" i="113"/>
  <c r="I153" i="113"/>
  <c r="J152" i="113"/>
  <c r="I152" i="113"/>
  <c r="J151" i="113"/>
  <c r="I151" i="113"/>
  <c r="J150" i="113"/>
  <c r="I150" i="113"/>
  <c r="J149" i="113"/>
  <c r="I149" i="113"/>
  <c r="J148" i="113"/>
  <c r="I148" i="113"/>
  <c r="J147" i="113"/>
  <c r="I147" i="113"/>
  <c r="J146" i="113"/>
  <c r="I146" i="113"/>
  <c r="J145" i="113"/>
  <c r="I145" i="113"/>
  <c r="J144" i="113"/>
  <c r="I144" i="113"/>
  <c r="J143" i="113"/>
  <c r="I143" i="113"/>
  <c r="J142" i="113"/>
  <c r="I142" i="113"/>
  <c r="J141" i="113"/>
  <c r="I141" i="113"/>
  <c r="J140" i="113"/>
  <c r="I140" i="113"/>
  <c r="J139" i="113"/>
  <c r="I139" i="113"/>
  <c r="J138" i="113"/>
  <c r="I138" i="113"/>
  <c r="J137" i="113"/>
  <c r="I137" i="113"/>
  <c r="J136" i="113"/>
  <c r="I136" i="113"/>
  <c r="J135" i="113"/>
  <c r="I135" i="113"/>
  <c r="J134" i="113"/>
  <c r="I134" i="113"/>
  <c r="J133" i="113"/>
  <c r="I133" i="113"/>
  <c r="J132" i="113"/>
  <c r="I132" i="113"/>
  <c r="J131" i="113"/>
  <c r="I131" i="113"/>
  <c r="J130" i="113"/>
  <c r="I130" i="113"/>
  <c r="J129" i="113"/>
  <c r="I129" i="113"/>
  <c r="J128" i="113"/>
  <c r="I128" i="113"/>
  <c r="J127" i="113"/>
  <c r="I127" i="113"/>
  <c r="J126" i="113"/>
  <c r="I126" i="113"/>
  <c r="J125" i="113"/>
  <c r="I125" i="113"/>
  <c r="J124" i="113"/>
  <c r="I124" i="113"/>
  <c r="J123" i="113"/>
  <c r="I123" i="113"/>
  <c r="J122" i="113"/>
  <c r="I122" i="113"/>
  <c r="J121" i="113"/>
  <c r="I121" i="113"/>
  <c r="J120" i="113"/>
  <c r="I120" i="113"/>
  <c r="J119" i="113"/>
  <c r="I119" i="113"/>
  <c r="J118" i="113"/>
  <c r="I118" i="113"/>
  <c r="J117" i="113"/>
  <c r="I117" i="113"/>
  <c r="J116" i="113"/>
  <c r="I116" i="113"/>
  <c r="J115" i="113"/>
  <c r="I115" i="113"/>
  <c r="J114" i="113"/>
  <c r="I114" i="113"/>
  <c r="J113" i="113"/>
  <c r="I113" i="113"/>
  <c r="J112" i="113"/>
  <c r="I112" i="113"/>
  <c r="J111" i="113"/>
  <c r="I111" i="113"/>
  <c r="J110" i="113"/>
  <c r="I110" i="113"/>
  <c r="J109" i="113"/>
  <c r="I109" i="113"/>
  <c r="J108" i="113"/>
  <c r="I108" i="113"/>
  <c r="J107" i="113"/>
  <c r="I107" i="113"/>
  <c r="J106" i="113"/>
  <c r="I106" i="113"/>
  <c r="J105" i="113"/>
  <c r="I105" i="113"/>
  <c r="J104" i="113"/>
  <c r="I104" i="113"/>
  <c r="J103" i="113"/>
  <c r="I103" i="113"/>
  <c r="J102" i="113"/>
  <c r="I102" i="113"/>
  <c r="J101" i="113"/>
  <c r="I101" i="113"/>
  <c r="J100" i="113"/>
  <c r="I100" i="113"/>
  <c r="J99" i="113"/>
  <c r="I99" i="113"/>
  <c r="J98" i="113"/>
  <c r="I98" i="113"/>
  <c r="J97" i="113"/>
  <c r="I97" i="113"/>
  <c r="J96" i="113"/>
  <c r="I96" i="113"/>
  <c r="J95" i="113"/>
  <c r="I95" i="113"/>
  <c r="J94" i="113"/>
  <c r="I94" i="113"/>
  <c r="J93" i="113"/>
  <c r="I93" i="113"/>
  <c r="J92" i="113"/>
  <c r="I92" i="113"/>
  <c r="J91" i="113"/>
  <c r="I91" i="113"/>
  <c r="J90" i="113"/>
  <c r="I90" i="113"/>
  <c r="J89" i="113"/>
  <c r="I89" i="113"/>
  <c r="J88" i="113"/>
  <c r="I88" i="113"/>
  <c r="J87" i="113"/>
  <c r="I87" i="113"/>
  <c r="J86" i="113"/>
  <c r="I86" i="113"/>
  <c r="J85" i="113"/>
  <c r="I85" i="113"/>
  <c r="J84" i="113"/>
  <c r="I84" i="113"/>
  <c r="J83" i="113"/>
  <c r="I83" i="113"/>
  <c r="J82" i="113"/>
  <c r="I82" i="113"/>
  <c r="J81" i="113"/>
  <c r="I81" i="113"/>
  <c r="J80" i="113"/>
  <c r="I80" i="113"/>
  <c r="J79" i="113"/>
  <c r="I79" i="113"/>
  <c r="J78" i="113"/>
  <c r="I78" i="113"/>
  <c r="J77" i="113"/>
  <c r="I77" i="113"/>
  <c r="J76" i="113"/>
  <c r="I76" i="113"/>
  <c r="J75" i="113"/>
  <c r="I75" i="113"/>
  <c r="J74" i="113"/>
  <c r="I74" i="113"/>
  <c r="J73" i="113"/>
  <c r="I73" i="113"/>
  <c r="J72" i="113"/>
  <c r="I72" i="113"/>
  <c r="J71" i="113"/>
  <c r="I71" i="113"/>
  <c r="J70" i="113"/>
  <c r="I70" i="113"/>
  <c r="J69" i="113"/>
  <c r="I69" i="113"/>
  <c r="J68" i="113"/>
  <c r="I68" i="113"/>
  <c r="J67" i="113"/>
  <c r="I67" i="113"/>
  <c r="J66" i="113"/>
  <c r="I66" i="113"/>
  <c r="J65" i="113"/>
  <c r="I65" i="113"/>
  <c r="J64" i="113"/>
  <c r="I64" i="113"/>
  <c r="J63" i="113"/>
  <c r="I63" i="113"/>
  <c r="J62" i="113"/>
  <c r="I62" i="113"/>
  <c r="J61" i="113"/>
  <c r="I61" i="113"/>
  <c r="J60" i="113"/>
  <c r="I60" i="113"/>
  <c r="J59" i="113"/>
  <c r="I59" i="113"/>
  <c r="J58" i="113"/>
  <c r="I58" i="113"/>
  <c r="J57" i="113"/>
  <c r="I57" i="113"/>
  <c r="J56" i="113"/>
  <c r="I56" i="113"/>
  <c r="J55" i="113"/>
  <c r="I55" i="113"/>
  <c r="J54" i="113"/>
  <c r="I54" i="113"/>
  <c r="J53" i="113"/>
  <c r="I53" i="113"/>
  <c r="J52" i="113"/>
  <c r="I52" i="113"/>
  <c r="J51" i="113"/>
  <c r="I51" i="113"/>
  <c r="J50" i="113"/>
  <c r="I50" i="113"/>
  <c r="J49" i="113"/>
  <c r="I49" i="113"/>
  <c r="J48" i="113"/>
  <c r="I48" i="113"/>
  <c r="J47" i="113"/>
  <c r="I47" i="113"/>
  <c r="J46" i="113"/>
  <c r="I46" i="113"/>
  <c r="J45" i="113"/>
  <c r="I45" i="113"/>
  <c r="J44" i="113"/>
  <c r="I44" i="113"/>
  <c r="J43" i="113"/>
  <c r="I43" i="113"/>
  <c r="J42" i="113"/>
  <c r="I42" i="113"/>
  <c r="J41" i="113"/>
  <c r="I41" i="113"/>
  <c r="J40" i="113"/>
  <c r="I40" i="113"/>
  <c r="J39" i="113"/>
  <c r="I39" i="113"/>
  <c r="J38" i="113"/>
  <c r="I38" i="113"/>
  <c r="J37" i="113"/>
  <c r="I37" i="113"/>
  <c r="J36" i="113"/>
  <c r="I36" i="113"/>
  <c r="J35" i="113"/>
  <c r="I35" i="113"/>
  <c r="J34" i="113"/>
  <c r="I34" i="113"/>
  <c r="J33" i="113"/>
  <c r="I33" i="113"/>
  <c r="J32" i="113"/>
  <c r="I32" i="113"/>
  <c r="J31" i="113"/>
  <c r="I31" i="113"/>
  <c r="J30" i="113"/>
  <c r="I30" i="113"/>
  <c r="J29" i="113"/>
  <c r="I29" i="113"/>
  <c r="J28" i="113"/>
  <c r="I28" i="113"/>
  <c r="J27" i="113"/>
  <c r="I27" i="113"/>
  <c r="J26" i="113"/>
  <c r="I26" i="113"/>
  <c r="J25" i="113"/>
  <c r="I25" i="113"/>
  <c r="J24" i="113"/>
  <c r="I24" i="113"/>
  <c r="J23" i="113"/>
  <c r="I23" i="113"/>
  <c r="J22" i="113"/>
  <c r="I22" i="113"/>
  <c r="J21" i="113"/>
  <c r="I21" i="113"/>
  <c r="J20" i="113"/>
  <c r="I20" i="113"/>
  <c r="J19" i="113"/>
  <c r="I19" i="113"/>
  <c r="J18" i="113"/>
  <c r="I18" i="113"/>
  <c r="J17" i="113"/>
  <c r="I17" i="113"/>
  <c r="J16" i="113"/>
  <c r="I16" i="113"/>
  <c r="J15" i="113"/>
  <c r="I15" i="113"/>
  <c r="J14" i="113"/>
  <c r="I14" i="113"/>
  <c r="J13" i="113"/>
  <c r="I13" i="113"/>
  <c r="J12" i="113"/>
  <c r="I12" i="113"/>
  <c r="J11" i="113"/>
  <c r="I11" i="113"/>
  <c r="J10" i="113"/>
  <c r="I10" i="113"/>
  <c r="J9" i="113"/>
  <c r="I9" i="113"/>
  <c r="J8" i="113"/>
  <c r="I8" i="113"/>
  <c r="J7" i="113"/>
  <c r="I7" i="113"/>
  <c r="J6" i="113"/>
  <c r="I6" i="113"/>
  <c r="J5" i="113"/>
  <c r="I5" i="113"/>
  <c r="J4" i="113"/>
  <c r="I4" i="113"/>
  <c r="J3" i="113"/>
  <c r="I3" i="113"/>
  <c r="I2" i="113"/>
  <c r="J390" i="112"/>
  <c r="I390" i="112"/>
  <c r="J389" i="112"/>
  <c r="I389" i="112"/>
  <c r="J388" i="112"/>
  <c r="I388" i="112"/>
  <c r="J387" i="112"/>
  <c r="I387" i="112"/>
  <c r="J386" i="112"/>
  <c r="I386" i="112"/>
  <c r="J385" i="112"/>
  <c r="I385" i="112"/>
  <c r="J384" i="112"/>
  <c r="I384" i="112"/>
  <c r="J383" i="112"/>
  <c r="I383" i="112"/>
  <c r="J382" i="112"/>
  <c r="I382" i="112"/>
  <c r="J381" i="112"/>
  <c r="I381" i="112"/>
  <c r="J380" i="112"/>
  <c r="I380" i="112"/>
  <c r="J379" i="112"/>
  <c r="I379" i="112"/>
  <c r="J378" i="112"/>
  <c r="I378" i="112"/>
  <c r="J377" i="112"/>
  <c r="I377" i="112"/>
  <c r="J376" i="112"/>
  <c r="I376" i="112"/>
  <c r="J375" i="112"/>
  <c r="I375" i="112"/>
  <c r="J374" i="112"/>
  <c r="I374" i="112"/>
  <c r="J373" i="112"/>
  <c r="I373" i="112"/>
  <c r="J372" i="112"/>
  <c r="I372" i="112"/>
  <c r="J371" i="112"/>
  <c r="I371" i="112"/>
  <c r="J370" i="112"/>
  <c r="I370" i="112"/>
  <c r="J369" i="112"/>
  <c r="I369" i="112"/>
  <c r="J368" i="112"/>
  <c r="I368" i="112"/>
  <c r="J367" i="112"/>
  <c r="I367" i="112"/>
  <c r="J366" i="112"/>
  <c r="I366" i="112"/>
  <c r="J365" i="112"/>
  <c r="I365" i="112"/>
  <c r="J364" i="112"/>
  <c r="I364" i="112"/>
  <c r="J363" i="112"/>
  <c r="I363" i="112"/>
  <c r="J362" i="112"/>
  <c r="I362" i="112"/>
  <c r="J361" i="112"/>
  <c r="I361" i="112"/>
  <c r="J360" i="112"/>
  <c r="I360" i="112"/>
  <c r="J359" i="112"/>
  <c r="I359" i="112"/>
  <c r="J358" i="112"/>
  <c r="I358" i="112"/>
  <c r="J357" i="112"/>
  <c r="I357" i="112"/>
  <c r="J356" i="112"/>
  <c r="I356" i="112"/>
  <c r="J355" i="112"/>
  <c r="I355" i="112"/>
  <c r="J354" i="112"/>
  <c r="I354" i="112"/>
  <c r="J353" i="112"/>
  <c r="I353" i="112"/>
  <c r="J352" i="112"/>
  <c r="I352" i="112"/>
  <c r="J351" i="112"/>
  <c r="I351" i="112"/>
  <c r="J350" i="112"/>
  <c r="I350" i="112"/>
  <c r="J349" i="112"/>
  <c r="I349" i="112"/>
  <c r="J348" i="112"/>
  <c r="I348" i="112"/>
  <c r="J347" i="112"/>
  <c r="I347" i="112"/>
  <c r="J346" i="112"/>
  <c r="I346" i="112"/>
  <c r="J345" i="112"/>
  <c r="I345" i="112"/>
  <c r="J344" i="112"/>
  <c r="I344" i="112"/>
  <c r="J343" i="112"/>
  <c r="I343" i="112"/>
  <c r="J342" i="112"/>
  <c r="I342" i="112"/>
  <c r="J341" i="112"/>
  <c r="I341" i="112"/>
  <c r="J340" i="112"/>
  <c r="I340" i="112"/>
  <c r="J339" i="112"/>
  <c r="I339" i="112"/>
  <c r="J338" i="112"/>
  <c r="I338" i="112"/>
  <c r="J337" i="112"/>
  <c r="I337" i="112"/>
  <c r="J336" i="112"/>
  <c r="I336" i="112"/>
  <c r="J335" i="112"/>
  <c r="I335" i="112"/>
  <c r="J334" i="112"/>
  <c r="I334" i="112"/>
  <c r="J333" i="112"/>
  <c r="I333" i="112"/>
  <c r="J332" i="112"/>
  <c r="I332" i="112"/>
  <c r="J331" i="112"/>
  <c r="I331" i="112"/>
  <c r="J330" i="112"/>
  <c r="I330" i="112"/>
  <c r="J329" i="112"/>
  <c r="I329" i="112"/>
  <c r="J328" i="112"/>
  <c r="I328" i="112"/>
  <c r="J327" i="112"/>
  <c r="I327" i="112"/>
  <c r="J326" i="112"/>
  <c r="I326" i="112"/>
  <c r="J325" i="112"/>
  <c r="I325" i="112"/>
  <c r="J324" i="112"/>
  <c r="I324" i="112"/>
  <c r="J323" i="112"/>
  <c r="I323" i="112"/>
  <c r="J322" i="112"/>
  <c r="I322" i="112"/>
  <c r="J321" i="112"/>
  <c r="I321" i="112"/>
  <c r="J320" i="112"/>
  <c r="I320" i="112"/>
  <c r="J319" i="112"/>
  <c r="I319" i="112"/>
  <c r="J318" i="112"/>
  <c r="I318" i="112"/>
  <c r="J317" i="112"/>
  <c r="I317" i="112"/>
  <c r="J316" i="112"/>
  <c r="I316" i="112"/>
  <c r="J315" i="112"/>
  <c r="I315" i="112"/>
  <c r="J314" i="112"/>
  <c r="I314" i="112"/>
  <c r="J313" i="112"/>
  <c r="I313" i="112"/>
  <c r="J312" i="112"/>
  <c r="I312" i="112"/>
  <c r="J311" i="112"/>
  <c r="I311" i="112"/>
  <c r="J310" i="112"/>
  <c r="I310" i="112"/>
  <c r="J309" i="112"/>
  <c r="I309" i="112"/>
  <c r="J308" i="112"/>
  <c r="I308" i="112"/>
  <c r="J307" i="112"/>
  <c r="I307" i="112"/>
  <c r="J306" i="112"/>
  <c r="I306" i="112"/>
  <c r="J305" i="112"/>
  <c r="I305" i="112"/>
  <c r="J304" i="112"/>
  <c r="I304" i="112"/>
  <c r="J303" i="112"/>
  <c r="I303" i="112"/>
  <c r="J302" i="112"/>
  <c r="I302" i="112"/>
  <c r="J301" i="112"/>
  <c r="I301" i="112"/>
  <c r="J300" i="112"/>
  <c r="I300" i="112"/>
  <c r="J299" i="112"/>
  <c r="I299" i="112"/>
  <c r="J298" i="112"/>
  <c r="I298" i="112"/>
  <c r="J297" i="112"/>
  <c r="I297" i="112"/>
  <c r="J296" i="112"/>
  <c r="I296" i="112"/>
  <c r="J295" i="112"/>
  <c r="I295" i="112"/>
  <c r="J294" i="112"/>
  <c r="I294" i="112"/>
  <c r="J293" i="112"/>
  <c r="I293" i="112"/>
  <c r="J292" i="112"/>
  <c r="I292" i="112"/>
  <c r="J291" i="112"/>
  <c r="I291" i="112"/>
  <c r="J290" i="112"/>
  <c r="I290" i="112"/>
  <c r="J289" i="112"/>
  <c r="I289" i="112"/>
  <c r="J288" i="112"/>
  <c r="I288" i="112"/>
  <c r="J287" i="112"/>
  <c r="I287" i="112"/>
  <c r="J286" i="112"/>
  <c r="I286" i="112"/>
  <c r="J285" i="112"/>
  <c r="I285" i="112"/>
  <c r="J284" i="112"/>
  <c r="I284" i="112"/>
  <c r="J283" i="112"/>
  <c r="I283" i="112"/>
  <c r="J282" i="112"/>
  <c r="I282" i="112"/>
  <c r="J281" i="112"/>
  <c r="I281" i="112"/>
  <c r="J280" i="112"/>
  <c r="I280" i="112"/>
  <c r="J279" i="112"/>
  <c r="I279" i="112"/>
  <c r="J278" i="112"/>
  <c r="I278" i="112"/>
  <c r="J277" i="112"/>
  <c r="I277" i="112"/>
  <c r="J276" i="112"/>
  <c r="I276" i="112"/>
  <c r="J275" i="112"/>
  <c r="I275" i="112"/>
  <c r="J274" i="112"/>
  <c r="I274" i="112"/>
  <c r="J273" i="112"/>
  <c r="I273" i="112"/>
  <c r="J272" i="112"/>
  <c r="I272" i="112"/>
  <c r="J271" i="112"/>
  <c r="I271" i="112"/>
  <c r="J270" i="112"/>
  <c r="I270" i="112"/>
  <c r="J269" i="112"/>
  <c r="I269" i="112"/>
  <c r="J268" i="112"/>
  <c r="I268" i="112"/>
  <c r="J267" i="112"/>
  <c r="I267" i="112"/>
  <c r="J266" i="112"/>
  <c r="I266" i="112"/>
  <c r="J265" i="112"/>
  <c r="I265" i="112"/>
  <c r="J264" i="112"/>
  <c r="I264" i="112"/>
  <c r="J263" i="112"/>
  <c r="I263" i="112"/>
  <c r="J262" i="112"/>
  <c r="I262" i="112"/>
  <c r="J261" i="112"/>
  <c r="I261" i="112"/>
  <c r="J260" i="112"/>
  <c r="I260" i="112"/>
  <c r="J259" i="112"/>
  <c r="I259" i="112"/>
  <c r="J258" i="112"/>
  <c r="I258" i="112"/>
  <c r="J257" i="112"/>
  <c r="I257" i="112"/>
  <c r="J256" i="112"/>
  <c r="I256" i="112"/>
  <c r="J255" i="112"/>
  <c r="I255" i="112"/>
  <c r="J254" i="112"/>
  <c r="I254" i="112"/>
  <c r="J253" i="112"/>
  <c r="I253" i="112"/>
  <c r="J252" i="112"/>
  <c r="I252" i="112"/>
  <c r="J251" i="112"/>
  <c r="I251" i="112"/>
  <c r="J250" i="112"/>
  <c r="I250" i="112"/>
  <c r="J249" i="112"/>
  <c r="I249" i="112"/>
  <c r="J248" i="112"/>
  <c r="I248" i="112"/>
  <c r="J247" i="112"/>
  <c r="I247" i="112"/>
  <c r="J246" i="112"/>
  <c r="I246" i="112"/>
  <c r="J245" i="112"/>
  <c r="I245" i="112"/>
  <c r="J244" i="112"/>
  <c r="I244" i="112"/>
  <c r="J243" i="112"/>
  <c r="I243" i="112"/>
  <c r="J242" i="112"/>
  <c r="I242" i="112"/>
  <c r="J241" i="112"/>
  <c r="I241" i="112"/>
  <c r="J240" i="112"/>
  <c r="I240" i="112"/>
  <c r="J239" i="112"/>
  <c r="I239" i="112"/>
  <c r="J238" i="112"/>
  <c r="I238" i="112"/>
  <c r="J237" i="112"/>
  <c r="I237" i="112"/>
  <c r="J236" i="112"/>
  <c r="I236" i="112"/>
  <c r="J235" i="112"/>
  <c r="I235" i="112"/>
  <c r="J234" i="112"/>
  <c r="I234" i="112"/>
  <c r="J233" i="112"/>
  <c r="I233" i="112"/>
  <c r="J232" i="112"/>
  <c r="I232" i="112"/>
  <c r="J231" i="112"/>
  <c r="I231" i="112"/>
  <c r="J230" i="112"/>
  <c r="I230" i="112"/>
  <c r="J229" i="112"/>
  <c r="I229" i="112"/>
  <c r="J228" i="112"/>
  <c r="I228" i="112"/>
  <c r="J227" i="112"/>
  <c r="I227" i="112"/>
  <c r="J226" i="112"/>
  <c r="I226" i="112"/>
  <c r="J225" i="112"/>
  <c r="I225" i="112"/>
  <c r="J224" i="112"/>
  <c r="I224" i="112"/>
  <c r="J223" i="112"/>
  <c r="I223" i="112"/>
  <c r="J222" i="112"/>
  <c r="I222" i="112"/>
  <c r="J221" i="112"/>
  <c r="I221" i="112"/>
  <c r="J220" i="112"/>
  <c r="I220" i="112"/>
  <c r="J219" i="112"/>
  <c r="I219" i="112"/>
  <c r="J218" i="112"/>
  <c r="I218" i="112"/>
  <c r="J217" i="112"/>
  <c r="I217" i="112"/>
  <c r="J216" i="112"/>
  <c r="I216" i="112"/>
  <c r="J215" i="112"/>
  <c r="I215" i="112"/>
  <c r="J214" i="112"/>
  <c r="I214" i="112"/>
  <c r="J213" i="112"/>
  <c r="I213" i="112"/>
  <c r="J212" i="112"/>
  <c r="I212" i="112"/>
  <c r="J211" i="112"/>
  <c r="I211" i="112"/>
  <c r="J210" i="112"/>
  <c r="I210" i="112"/>
  <c r="J209" i="112"/>
  <c r="I209" i="112"/>
  <c r="J208" i="112"/>
  <c r="I208" i="112"/>
  <c r="J207" i="112"/>
  <c r="I207" i="112"/>
  <c r="J206" i="112"/>
  <c r="I206" i="112"/>
  <c r="J205" i="112"/>
  <c r="I205" i="112"/>
  <c r="J204" i="112"/>
  <c r="I204" i="112"/>
  <c r="J203" i="112"/>
  <c r="I203" i="112"/>
  <c r="J202" i="112"/>
  <c r="I202" i="112"/>
  <c r="J201" i="112"/>
  <c r="I201" i="112"/>
  <c r="J200" i="112"/>
  <c r="I200" i="112"/>
  <c r="J199" i="112"/>
  <c r="I199" i="112"/>
  <c r="J198" i="112"/>
  <c r="I198" i="112"/>
  <c r="J197" i="112"/>
  <c r="I197" i="112"/>
  <c r="J196" i="112"/>
  <c r="I196" i="112"/>
  <c r="J195" i="112"/>
  <c r="I195" i="112"/>
  <c r="J194" i="112"/>
  <c r="I194" i="112"/>
  <c r="J193" i="112"/>
  <c r="I193" i="112"/>
  <c r="J192" i="112"/>
  <c r="I192" i="112"/>
  <c r="J191" i="112"/>
  <c r="I191" i="112"/>
  <c r="J190" i="112"/>
  <c r="I190" i="112"/>
  <c r="J189" i="112"/>
  <c r="I189" i="112"/>
  <c r="J188" i="112"/>
  <c r="I188" i="112"/>
  <c r="J187" i="112"/>
  <c r="I187" i="112"/>
  <c r="J186" i="112"/>
  <c r="I186" i="112"/>
  <c r="J185" i="112"/>
  <c r="I185" i="112"/>
  <c r="J184" i="112"/>
  <c r="I184" i="112"/>
  <c r="J183" i="112"/>
  <c r="I183" i="112"/>
  <c r="J182" i="112"/>
  <c r="I182" i="112"/>
  <c r="J181" i="112"/>
  <c r="I181" i="112"/>
  <c r="J180" i="112"/>
  <c r="I180" i="112"/>
  <c r="J179" i="112"/>
  <c r="I179" i="112"/>
  <c r="J178" i="112"/>
  <c r="I178" i="112"/>
  <c r="J177" i="112"/>
  <c r="I177" i="112"/>
  <c r="J176" i="112"/>
  <c r="I176" i="112"/>
  <c r="J175" i="112"/>
  <c r="I175" i="112"/>
  <c r="J174" i="112"/>
  <c r="I174" i="112"/>
  <c r="J173" i="112"/>
  <c r="I173" i="112"/>
  <c r="J172" i="112"/>
  <c r="I172" i="112"/>
  <c r="J171" i="112"/>
  <c r="I171" i="112"/>
  <c r="J170" i="112"/>
  <c r="I170" i="112"/>
  <c r="J169" i="112"/>
  <c r="I169" i="112"/>
  <c r="J168" i="112"/>
  <c r="I168" i="112"/>
  <c r="J167" i="112"/>
  <c r="I167" i="112"/>
  <c r="J166" i="112"/>
  <c r="I166" i="112"/>
  <c r="J165" i="112"/>
  <c r="I165" i="112"/>
  <c r="J164" i="112"/>
  <c r="I164" i="112"/>
  <c r="J163" i="112"/>
  <c r="I163" i="112"/>
  <c r="J162" i="112"/>
  <c r="I162" i="112"/>
  <c r="J161" i="112"/>
  <c r="I161" i="112"/>
  <c r="J160" i="112"/>
  <c r="I160" i="112"/>
  <c r="J159" i="112"/>
  <c r="I159" i="112"/>
  <c r="J158" i="112"/>
  <c r="I158" i="112"/>
  <c r="J157" i="112"/>
  <c r="I157" i="112"/>
  <c r="J156" i="112"/>
  <c r="I156" i="112"/>
  <c r="J155" i="112"/>
  <c r="I155" i="112"/>
  <c r="J154" i="112"/>
  <c r="I154" i="112"/>
  <c r="J153" i="112"/>
  <c r="I153" i="112"/>
  <c r="J152" i="112"/>
  <c r="I152" i="112"/>
  <c r="J151" i="112"/>
  <c r="I151" i="112"/>
  <c r="J150" i="112"/>
  <c r="I150" i="112"/>
  <c r="J149" i="112"/>
  <c r="I149" i="112"/>
  <c r="J148" i="112"/>
  <c r="I148" i="112"/>
  <c r="J147" i="112"/>
  <c r="I147" i="112"/>
  <c r="J146" i="112"/>
  <c r="I146" i="112"/>
  <c r="J145" i="112"/>
  <c r="I145" i="112"/>
  <c r="J144" i="112"/>
  <c r="I144" i="112"/>
  <c r="J143" i="112"/>
  <c r="I143" i="112"/>
  <c r="J142" i="112"/>
  <c r="I142" i="112"/>
  <c r="J141" i="112"/>
  <c r="I141" i="112"/>
  <c r="J140" i="112"/>
  <c r="I140" i="112"/>
  <c r="J139" i="112"/>
  <c r="I139" i="112"/>
  <c r="J138" i="112"/>
  <c r="I138" i="112"/>
  <c r="J137" i="112"/>
  <c r="I137" i="112"/>
  <c r="J136" i="112"/>
  <c r="I136" i="112"/>
  <c r="J135" i="112"/>
  <c r="I135" i="112"/>
  <c r="J134" i="112"/>
  <c r="I134" i="112"/>
  <c r="J133" i="112"/>
  <c r="I133" i="112"/>
  <c r="J132" i="112"/>
  <c r="I132" i="112"/>
  <c r="J131" i="112"/>
  <c r="I131" i="112"/>
  <c r="J130" i="112"/>
  <c r="I130" i="112"/>
  <c r="J129" i="112"/>
  <c r="I129" i="112"/>
  <c r="J128" i="112"/>
  <c r="I128" i="112"/>
  <c r="J127" i="112"/>
  <c r="I127" i="112"/>
  <c r="J126" i="112"/>
  <c r="I126" i="112"/>
  <c r="J125" i="112"/>
  <c r="I125" i="112"/>
  <c r="J124" i="112"/>
  <c r="I124" i="112"/>
  <c r="J123" i="112"/>
  <c r="I123" i="112"/>
  <c r="J122" i="112"/>
  <c r="I122" i="112"/>
  <c r="J121" i="112"/>
  <c r="I121" i="112"/>
  <c r="J120" i="112"/>
  <c r="I120" i="112"/>
  <c r="J119" i="112"/>
  <c r="I119" i="112"/>
  <c r="J118" i="112"/>
  <c r="I118" i="112"/>
  <c r="J117" i="112"/>
  <c r="I117" i="112"/>
  <c r="J116" i="112"/>
  <c r="I116" i="112"/>
  <c r="J115" i="112"/>
  <c r="I115" i="112"/>
  <c r="J114" i="112"/>
  <c r="I114" i="112"/>
  <c r="J113" i="112"/>
  <c r="I113" i="112"/>
  <c r="J112" i="112"/>
  <c r="I112" i="112"/>
  <c r="J111" i="112"/>
  <c r="I111" i="112"/>
  <c r="J110" i="112"/>
  <c r="I110" i="112"/>
  <c r="J109" i="112"/>
  <c r="I109" i="112"/>
  <c r="J108" i="112"/>
  <c r="I108" i="112"/>
  <c r="J107" i="112"/>
  <c r="I107" i="112"/>
  <c r="J106" i="112"/>
  <c r="I106" i="112"/>
  <c r="J105" i="112"/>
  <c r="I105" i="112"/>
  <c r="J104" i="112"/>
  <c r="I104" i="112"/>
  <c r="J103" i="112"/>
  <c r="I103" i="112"/>
  <c r="J102" i="112"/>
  <c r="I102" i="112"/>
  <c r="J101" i="112"/>
  <c r="I101" i="112"/>
  <c r="J100" i="112"/>
  <c r="I100" i="112"/>
  <c r="J99" i="112"/>
  <c r="I99" i="112"/>
  <c r="J98" i="112"/>
  <c r="I98" i="112"/>
  <c r="J97" i="112"/>
  <c r="I97" i="112"/>
  <c r="J96" i="112"/>
  <c r="I96" i="112"/>
  <c r="J95" i="112"/>
  <c r="I95" i="112"/>
  <c r="J94" i="112"/>
  <c r="I94" i="112"/>
  <c r="J93" i="112"/>
  <c r="I93" i="112"/>
  <c r="J92" i="112"/>
  <c r="I92" i="112"/>
  <c r="J91" i="112"/>
  <c r="I91" i="112"/>
  <c r="J90" i="112"/>
  <c r="I90" i="112"/>
  <c r="J89" i="112"/>
  <c r="I89" i="112"/>
  <c r="J88" i="112"/>
  <c r="I88" i="112"/>
  <c r="J87" i="112"/>
  <c r="I87" i="112"/>
  <c r="J86" i="112"/>
  <c r="I86" i="112"/>
  <c r="J85" i="112"/>
  <c r="I85" i="112"/>
  <c r="J84" i="112"/>
  <c r="I84" i="112"/>
  <c r="J83" i="112"/>
  <c r="I83" i="112"/>
  <c r="J82" i="112"/>
  <c r="I82" i="112"/>
  <c r="J81" i="112"/>
  <c r="I81" i="112"/>
  <c r="J80" i="112"/>
  <c r="I80" i="112"/>
  <c r="J79" i="112"/>
  <c r="I79" i="112"/>
  <c r="J78" i="112"/>
  <c r="I78" i="112"/>
  <c r="J77" i="112"/>
  <c r="I77" i="112"/>
  <c r="J76" i="112"/>
  <c r="I76" i="112"/>
  <c r="J75" i="112"/>
  <c r="I75" i="112"/>
  <c r="J74" i="112"/>
  <c r="I74" i="112"/>
  <c r="J73" i="112"/>
  <c r="I73" i="112"/>
  <c r="J72" i="112"/>
  <c r="I72" i="112"/>
  <c r="J71" i="112"/>
  <c r="I71" i="112"/>
  <c r="J70" i="112"/>
  <c r="I70" i="112"/>
  <c r="J69" i="112"/>
  <c r="I69" i="112"/>
  <c r="J68" i="112"/>
  <c r="I68" i="112"/>
  <c r="J67" i="112"/>
  <c r="I67" i="112"/>
  <c r="J66" i="112"/>
  <c r="I66" i="112"/>
  <c r="J65" i="112"/>
  <c r="I65" i="112"/>
  <c r="J64" i="112"/>
  <c r="I64" i="112"/>
  <c r="J63" i="112"/>
  <c r="I63" i="112"/>
  <c r="J62" i="112"/>
  <c r="I62" i="112"/>
  <c r="J61" i="112"/>
  <c r="I61" i="112"/>
  <c r="J60" i="112"/>
  <c r="I60" i="112"/>
  <c r="J59" i="112"/>
  <c r="I59" i="112"/>
  <c r="J58" i="112"/>
  <c r="I58" i="112"/>
  <c r="J57" i="112"/>
  <c r="I57" i="112"/>
  <c r="J56" i="112"/>
  <c r="I56" i="112"/>
  <c r="J55" i="112"/>
  <c r="I55" i="112"/>
  <c r="J54" i="112"/>
  <c r="I54" i="112"/>
  <c r="J53" i="112"/>
  <c r="I53" i="112"/>
  <c r="J52" i="112"/>
  <c r="I52" i="112"/>
  <c r="J51" i="112"/>
  <c r="I51" i="112"/>
  <c r="J50" i="112"/>
  <c r="I50" i="112"/>
  <c r="J49" i="112"/>
  <c r="I49" i="112"/>
  <c r="J48" i="112"/>
  <c r="I48" i="112"/>
  <c r="J47" i="112"/>
  <c r="I47" i="112"/>
  <c r="J46" i="112"/>
  <c r="I46" i="112"/>
  <c r="J45" i="112"/>
  <c r="I45" i="112"/>
  <c r="J44" i="112"/>
  <c r="I44" i="112"/>
  <c r="J43" i="112"/>
  <c r="I43" i="112"/>
  <c r="J42" i="112"/>
  <c r="I42" i="112"/>
  <c r="J41" i="112"/>
  <c r="I41" i="112"/>
  <c r="J40" i="112"/>
  <c r="I40" i="112"/>
  <c r="J39" i="112"/>
  <c r="I39" i="112"/>
  <c r="J38" i="112"/>
  <c r="I38" i="112"/>
  <c r="J37" i="112"/>
  <c r="I37" i="112"/>
  <c r="J36" i="112"/>
  <c r="I36" i="112"/>
  <c r="J35" i="112"/>
  <c r="I35" i="112"/>
  <c r="J34" i="112"/>
  <c r="I34" i="112"/>
  <c r="J33" i="112"/>
  <c r="I33" i="112"/>
  <c r="J32" i="112"/>
  <c r="I32" i="112"/>
  <c r="J31" i="112"/>
  <c r="I31" i="112"/>
  <c r="J30" i="112"/>
  <c r="I30" i="112"/>
  <c r="J29" i="112"/>
  <c r="I29" i="112"/>
  <c r="J28" i="112"/>
  <c r="I28" i="112"/>
  <c r="J27" i="112"/>
  <c r="I27" i="112"/>
  <c r="J26" i="112"/>
  <c r="I26" i="112"/>
  <c r="J25" i="112"/>
  <c r="I25" i="112"/>
  <c r="J24" i="112"/>
  <c r="I24" i="112"/>
  <c r="J23" i="112"/>
  <c r="I23" i="112"/>
  <c r="J22" i="112"/>
  <c r="I22" i="112"/>
  <c r="J21" i="112"/>
  <c r="I21" i="112"/>
  <c r="J20" i="112"/>
  <c r="I20" i="112"/>
  <c r="J19" i="112"/>
  <c r="I19" i="112"/>
  <c r="J18" i="112"/>
  <c r="I18" i="112"/>
  <c r="J17" i="112"/>
  <c r="I17" i="112"/>
  <c r="J16" i="112"/>
  <c r="I16" i="112"/>
  <c r="J15" i="112"/>
  <c r="I15" i="112"/>
  <c r="J14" i="112"/>
  <c r="I14" i="112"/>
  <c r="J13" i="112"/>
  <c r="I13" i="112"/>
  <c r="J12" i="112"/>
  <c r="I12" i="112"/>
  <c r="J11" i="112"/>
  <c r="I11" i="112"/>
  <c r="J10" i="112"/>
  <c r="I10" i="112"/>
  <c r="J9" i="112"/>
  <c r="I9" i="112"/>
  <c r="J8" i="112"/>
  <c r="I8" i="112"/>
  <c r="J7" i="112"/>
  <c r="I7" i="112"/>
  <c r="J6" i="112"/>
  <c r="I6" i="112"/>
  <c r="J5" i="112"/>
  <c r="I5" i="112"/>
  <c r="J4" i="112"/>
  <c r="I4" i="112"/>
  <c r="J3" i="112"/>
  <c r="I3" i="112"/>
  <c r="I2" i="112"/>
  <c r="J390" i="111"/>
  <c r="I390" i="111"/>
  <c r="J389" i="111"/>
  <c r="I389" i="111"/>
  <c r="J388" i="111"/>
  <c r="I388" i="111"/>
  <c r="J387" i="111"/>
  <c r="I387" i="111"/>
  <c r="J386" i="111"/>
  <c r="I386" i="111"/>
  <c r="J385" i="111"/>
  <c r="I385" i="111"/>
  <c r="J384" i="111"/>
  <c r="I384" i="111"/>
  <c r="J383" i="111"/>
  <c r="I383" i="111"/>
  <c r="J382" i="111"/>
  <c r="I382" i="111"/>
  <c r="J381" i="111"/>
  <c r="I381" i="111"/>
  <c r="J380" i="111"/>
  <c r="I380" i="111"/>
  <c r="J379" i="111"/>
  <c r="I379" i="111"/>
  <c r="J378" i="111"/>
  <c r="I378" i="111"/>
  <c r="J377" i="111"/>
  <c r="I377" i="111"/>
  <c r="J376" i="111"/>
  <c r="I376" i="111"/>
  <c r="J375" i="111"/>
  <c r="I375" i="111"/>
  <c r="J374" i="111"/>
  <c r="I374" i="111"/>
  <c r="J373" i="111"/>
  <c r="I373" i="111"/>
  <c r="J372" i="111"/>
  <c r="I372" i="111"/>
  <c r="J371" i="111"/>
  <c r="I371" i="111"/>
  <c r="J370" i="111"/>
  <c r="I370" i="111"/>
  <c r="J369" i="111"/>
  <c r="I369" i="111"/>
  <c r="J368" i="111"/>
  <c r="I368" i="111"/>
  <c r="J367" i="111"/>
  <c r="I367" i="111"/>
  <c r="J366" i="111"/>
  <c r="I366" i="111"/>
  <c r="J365" i="111"/>
  <c r="I365" i="111"/>
  <c r="J364" i="111"/>
  <c r="I364" i="111"/>
  <c r="J363" i="111"/>
  <c r="I363" i="111"/>
  <c r="J362" i="111"/>
  <c r="I362" i="111"/>
  <c r="J361" i="111"/>
  <c r="I361" i="111"/>
  <c r="J360" i="111"/>
  <c r="I360" i="111"/>
  <c r="J359" i="111"/>
  <c r="I359" i="111"/>
  <c r="J358" i="111"/>
  <c r="I358" i="111"/>
  <c r="J357" i="111"/>
  <c r="I357" i="111"/>
  <c r="J356" i="111"/>
  <c r="I356" i="111"/>
  <c r="J355" i="111"/>
  <c r="I355" i="111"/>
  <c r="J354" i="111"/>
  <c r="I354" i="111"/>
  <c r="J353" i="111"/>
  <c r="I353" i="111"/>
  <c r="J352" i="111"/>
  <c r="I352" i="111"/>
  <c r="J351" i="111"/>
  <c r="I351" i="111"/>
  <c r="J350" i="111"/>
  <c r="I350" i="111"/>
  <c r="J349" i="111"/>
  <c r="I349" i="111"/>
  <c r="J348" i="111"/>
  <c r="I348" i="111"/>
  <c r="J347" i="111"/>
  <c r="I347" i="111"/>
  <c r="J346" i="111"/>
  <c r="I346" i="111"/>
  <c r="J345" i="111"/>
  <c r="I345" i="111"/>
  <c r="J344" i="111"/>
  <c r="I344" i="111"/>
  <c r="J343" i="111"/>
  <c r="I343" i="111"/>
  <c r="J342" i="111"/>
  <c r="I342" i="111"/>
  <c r="J341" i="111"/>
  <c r="I341" i="111"/>
  <c r="J340" i="111"/>
  <c r="I340" i="111"/>
  <c r="J339" i="111"/>
  <c r="I339" i="111"/>
  <c r="J338" i="111"/>
  <c r="I338" i="111"/>
  <c r="J337" i="111"/>
  <c r="I337" i="111"/>
  <c r="J336" i="111"/>
  <c r="I336" i="111"/>
  <c r="J335" i="111"/>
  <c r="I335" i="111"/>
  <c r="J334" i="111"/>
  <c r="I334" i="111"/>
  <c r="J333" i="111"/>
  <c r="I333" i="111"/>
  <c r="J332" i="111"/>
  <c r="I332" i="111"/>
  <c r="J331" i="111"/>
  <c r="I331" i="111"/>
  <c r="J330" i="111"/>
  <c r="I330" i="111"/>
  <c r="J329" i="111"/>
  <c r="I329" i="111"/>
  <c r="J328" i="111"/>
  <c r="I328" i="111"/>
  <c r="J327" i="111"/>
  <c r="I327" i="111"/>
  <c r="J326" i="111"/>
  <c r="I326" i="111"/>
  <c r="J325" i="111"/>
  <c r="I325" i="111"/>
  <c r="J324" i="111"/>
  <c r="I324" i="111"/>
  <c r="J323" i="111"/>
  <c r="I323" i="111"/>
  <c r="J322" i="111"/>
  <c r="I322" i="111"/>
  <c r="J321" i="111"/>
  <c r="I321" i="111"/>
  <c r="J320" i="111"/>
  <c r="I320" i="111"/>
  <c r="J319" i="111"/>
  <c r="I319" i="111"/>
  <c r="J318" i="111"/>
  <c r="I318" i="111"/>
  <c r="J317" i="111"/>
  <c r="I317" i="111"/>
  <c r="J316" i="111"/>
  <c r="I316" i="111"/>
  <c r="J315" i="111"/>
  <c r="I315" i="111"/>
  <c r="J314" i="111"/>
  <c r="I314" i="111"/>
  <c r="J313" i="111"/>
  <c r="I313" i="111"/>
  <c r="J312" i="111"/>
  <c r="I312" i="111"/>
  <c r="J311" i="111"/>
  <c r="I311" i="111"/>
  <c r="J310" i="111"/>
  <c r="I310" i="111"/>
  <c r="J309" i="111"/>
  <c r="I309" i="111"/>
  <c r="J308" i="111"/>
  <c r="I308" i="111"/>
  <c r="J307" i="111"/>
  <c r="I307" i="111"/>
  <c r="J306" i="111"/>
  <c r="I306" i="111"/>
  <c r="J305" i="111"/>
  <c r="I305" i="111"/>
  <c r="J304" i="111"/>
  <c r="I304" i="111"/>
  <c r="J303" i="111"/>
  <c r="I303" i="111"/>
  <c r="J302" i="111"/>
  <c r="I302" i="111"/>
  <c r="J301" i="111"/>
  <c r="I301" i="111"/>
  <c r="J300" i="111"/>
  <c r="I300" i="111"/>
  <c r="J299" i="111"/>
  <c r="I299" i="111"/>
  <c r="J298" i="111"/>
  <c r="I298" i="111"/>
  <c r="J297" i="111"/>
  <c r="I297" i="111"/>
  <c r="J296" i="111"/>
  <c r="I296" i="111"/>
  <c r="J295" i="111"/>
  <c r="I295" i="111"/>
  <c r="J294" i="111"/>
  <c r="I294" i="111"/>
  <c r="J293" i="111"/>
  <c r="I293" i="111"/>
  <c r="J292" i="111"/>
  <c r="I292" i="111"/>
  <c r="J291" i="111"/>
  <c r="I291" i="111"/>
  <c r="J290" i="111"/>
  <c r="I290" i="111"/>
  <c r="J289" i="111"/>
  <c r="I289" i="111"/>
  <c r="J288" i="111"/>
  <c r="I288" i="111"/>
  <c r="J287" i="111"/>
  <c r="I287" i="111"/>
  <c r="J286" i="111"/>
  <c r="I286" i="111"/>
  <c r="J285" i="111"/>
  <c r="I285" i="111"/>
  <c r="J284" i="111"/>
  <c r="I284" i="111"/>
  <c r="J283" i="111"/>
  <c r="I283" i="111"/>
  <c r="J282" i="111"/>
  <c r="I282" i="111"/>
  <c r="J281" i="111"/>
  <c r="I281" i="111"/>
  <c r="J280" i="111"/>
  <c r="I280" i="111"/>
  <c r="J279" i="111"/>
  <c r="I279" i="111"/>
  <c r="J278" i="111"/>
  <c r="I278" i="111"/>
  <c r="J277" i="111"/>
  <c r="I277" i="111"/>
  <c r="J276" i="111"/>
  <c r="I276" i="111"/>
  <c r="J275" i="111"/>
  <c r="I275" i="111"/>
  <c r="J274" i="111"/>
  <c r="I274" i="111"/>
  <c r="J273" i="111"/>
  <c r="I273" i="111"/>
  <c r="J272" i="111"/>
  <c r="I272" i="111"/>
  <c r="J271" i="111"/>
  <c r="I271" i="111"/>
  <c r="J270" i="111"/>
  <c r="I270" i="111"/>
  <c r="J269" i="111"/>
  <c r="I269" i="111"/>
  <c r="J268" i="111"/>
  <c r="I268" i="111"/>
  <c r="J267" i="111"/>
  <c r="I267" i="111"/>
  <c r="J266" i="111"/>
  <c r="I266" i="111"/>
  <c r="J265" i="111"/>
  <c r="I265" i="111"/>
  <c r="J264" i="111"/>
  <c r="I264" i="111"/>
  <c r="J263" i="111"/>
  <c r="I263" i="111"/>
  <c r="J262" i="111"/>
  <c r="I262" i="111"/>
  <c r="J261" i="111"/>
  <c r="I261" i="111"/>
  <c r="J260" i="111"/>
  <c r="I260" i="111"/>
  <c r="J259" i="111"/>
  <c r="I259" i="111"/>
  <c r="J258" i="111"/>
  <c r="I258" i="111"/>
  <c r="J257" i="111"/>
  <c r="I257" i="111"/>
  <c r="J256" i="111"/>
  <c r="I256" i="111"/>
  <c r="J255" i="111"/>
  <c r="I255" i="111"/>
  <c r="J254" i="111"/>
  <c r="I254" i="111"/>
  <c r="J253" i="111"/>
  <c r="I253" i="111"/>
  <c r="J252" i="111"/>
  <c r="I252" i="111"/>
  <c r="J251" i="111"/>
  <c r="I251" i="111"/>
  <c r="J250" i="111"/>
  <c r="I250" i="111"/>
  <c r="J249" i="111"/>
  <c r="I249" i="111"/>
  <c r="J248" i="111"/>
  <c r="I248" i="111"/>
  <c r="J247" i="111"/>
  <c r="I247" i="111"/>
  <c r="J246" i="111"/>
  <c r="I246" i="111"/>
  <c r="J245" i="111"/>
  <c r="I245" i="111"/>
  <c r="J244" i="111"/>
  <c r="I244" i="111"/>
  <c r="J243" i="111"/>
  <c r="I243" i="111"/>
  <c r="J242" i="111"/>
  <c r="I242" i="111"/>
  <c r="J241" i="111"/>
  <c r="I241" i="111"/>
  <c r="J240" i="111"/>
  <c r="I240" i="111"/>
  <c r="J239" i="111"/>
  <c r="I239" i="111"/>
  <c r="J238" i="111"/>
  <c r="I238" i="111"/>
  <c r="J237" i="111"/>
  <c r="I237" i="111"/>
  <c r="J236" i="111"/>
  <c r="I236" i="111"/>
  <c r="J235" i="111"/>
  <c r="I235" i="111"/>
  <c r="J234" i="111"/>
  <c r="I234" i="111"/>
  <c r="J233" i="111"/>
  <c r="I233" i="111"/>
  <c r="J232" i="111"/>
  <c r="I232" i="111"/>
  <c r="J231" i="111"/>
  <c r="I231" i="111"/>
  <c r="J230" i="111"/>
  <c r="I230" i="111"/>
  <c r="J229" i="111"/>
  <c r="I229" i="111"/>
  <c r="J228" i="111"/>
  <c r="I228" i="111"/>
  <c r="J227" i="111"/>
  <c r="I227" i="111"/>
  <c r="J226" i="111"/>
  <c r="I226" i="111"/>
  <c r="J225" i="111"/>
  <c r="I225" i="111"/>
  <c r="J224" i="111"/>
  <c r="I224" i="111"/>
  <c r="J223" i="111"/>
  <c r="I223" i="111"/>
  <c r="J222" i="111"/>
  <c r="I222" i="111"/>
  <c r="J221" i="111"/>
  <c r="I221" i="111"/>
  <c r="J220" i="111"/>
  <c r="I220" i="111"/>
  <c r="J219" i="111"/>
  <c r="I219" i="111"/>
  <c r="J218" i="111"/>
  <c r="I218" i="111"/>
  <c r="J217" i="111"/>
  <c r="I217" i="111"/>
  <c r="J216" i="111"/>
  <c r="I216" i="111"/>
  <c r="J215" i="111"/>
  <c r="I215" i="111"/>
  <c r="J214" i="111"/>
  <c r="I214" i="111"/>
  <c r="J213" i="111"/>
  <c r="I213" i="111"/>
  <c r="J212" i="111"/>
  <c r="I212" i="111"/>
  <c r="J211" i="111"/>
  <c r="I211" i="111"/>
  <c r="J210" i="111"/>
  <c r="I210" i="111"/>
  <c r="J209" i="111"/>
  <c r="I209" i="111"/>
  <c r="J208" i="111"/>
  <c r="I208" i="111"/>
  <c r="J207" i="111"/>
  <c r="I207" i="111"/>
  <c r="J206" i="111"/>
  <c r="I206" i="111"/>
  <c r="J205" i="111"/>
  <c r="I205" i="111"/>
  <c r="J204" i="111"/>
  <c r="I204" i="111"/>
  <c r="J203" i="111"/>
  <c r="I203" i="111"/>
  <c r="J202" i="111"/>
  <c r="I202" i="111"/>
  <c r="J201" i="111"/>
  <c r="I201" i="111"/>
  <c r="J200" i="111"/>
  <c r="I200" i="111"/>
  <c r="J199" i="111"/>
  <c r="I199" i="111"/>
  <c r="J198" i="111"/>
  <c r="I198" i="111"/>
  <c r="J197" i="111"/>
  <c r="I197" i="111"/>
  <c r="J196" i="111"/>
  <c r="I196" i="111"/>
  <c r="J195" i="111"/>
  <c r="I195" i="111"/>
  <c r="J194" i="111"/>
  <c r="I194" i="111"/>
  <c r="J193" i="111"/>
  <c r="I193" i="111"/>
  <c r="J192" i="111"/>
  <c r="I192" i="111"/>
  <c r="J191" i="111"/>
  <c r="I191" i="111"/>
  <c r="J190" i="111"/>
  <c r="I190" i="111"/>
  <c r="J189" i="111"/>
  <c r="I189" i="111"/>
  <c r="J188" i="111"/>
  <c r="I188" i="111"/>
  <c r="J187" i="111"/>
  <c r="I187" i="111"/>
  <c r="J186" i="111"/>
  <c r="I186" i="111"/>
  <c r="J185" i="111"/>
  <c r="I185" i="111"/>
  <c r="J184" i="111"/>
  <c r="I184" i="111"/>
  <c r="J183" i="111"/>
  <c r="I183" i="111"/>
  <c r="J182" i="111"/>
  <c r="I182" i="111"/>
  <c r="J181" i="111"/>
  <c r="I181" i="111"/>
  <c r="J180" i="111"/>
  <c r="I180" i="111"/>
  <c r="J179" i="111"/>
  <c r="I179" i="111"/>
  <c r="J178" i="111"/>
  <c r="I178" i="111"/>
  <c r="J177" i="111"/>
  <c r="I177" i="111"/>
  <c r="J176" i="111"/>
  <c r="I176" i="111"/>
  <c r="J175" i="111"/>
  <c r="I175" i="111"/>
  <c r="J174" i="111"/>
  <c r="I174" i="111"/>
  <c r="J173" i="111"/>
  <c r="I173" i="111"/>
  <c r="J172" i="111"/>
  <c r="I172" i="111"/>
  <c r="J171" i="111"/>
  <c r="I171" i="111"/>
  <c r="J170" i="111"/>
  <c r="I170" i="111"/>
  <c r="J169" i="111"/>
  <c r="I169" i="111"/>
  <c r="J168" i="111"/>
  <c r="I168" i="111"/>
  <c r="J167" i="111"/>
  <c r="I167" i="111"/>
  <c r="J166" i="111"/>
  <c r="I166" i="111"/>
  <c r="J165" i="111"/>
  <c r="I165" i="111"/>
  <c r="J164" i="111"/>
  <c r="I164" i="111"/>
  <c r="J163" i="111"/>
  <c r="I163" i="111"/>
  <c r="J162" i="111"/>
  <c r="I162" i="111"/>
  <c r="J161" i="111"/>
  <c r="I161" i="111"/>
  <c r="J160" i="111"/>
  <c r="I160" i="111"/>
  <c r="J159" i="111"/>
  <c r="I159" i="111"/>
  <c r="J158" i="111"/>
  <c r="I158" i="111"/>
  <c r="J157" i="111"/>
  <c r="I157" i="111"/>
  <c r="J156" i="111"/>
  <c r="I156" i="111"/>
  <c r="J155" i="111"/>
  <c r="I155" i="111"/>
  <c r="J154" i="111"/>
  <c r="I154" i="111"/>
  <c r="J153" i="111"/>
  <c r="I153" i="111"/>
  <c r="J152" i="111"/>
  <c r="I152" i="111"/>
  <c r="J151" i="111"/>
  <c r="I151" i="111"/>
  <c r="J150" i="111"/>
  <c r="I150" i="111"/>
  <c r="J149" i="111"/>
  <c r="I149" i="111"/>
  <c r="J148" i="111"/>
  <c r="I148" i="111"/>
  <c r="J147" i="111"/>
  <c r="I147" i="111"/>
  <c r="J146" i="111"/>
  <c r="I146" i="111"/>
  <c r="J145" i="111"/>
  <c r="I145" i="111"/>
  <c r="J144" i="111"/>
  <c r="I144" i="111"/>
  <c r="J143" i="111"/>
  <c r="I143" i="111"/>
  <c r="J142" i="111"/>
  <c r="I142" i="111"/>
  <c r="J141" i="111"/>
  <c r="I141" i="111"/>
  <c r="J140" i="111"/>
  <c r="I140" i="111"/>
  <c r="J139" i="111"/>
  <c r="I139" i="111"/>
  <c r="J138" i="111"/>
  <c r="I138" i="111"/>
  <c r="J137" i="111"/>
  <c r="I137" i="111"/>
  <c r="J136" i="111"/>
  <c r="I136" i="111"/>
  <c r="J135" i="111"/>
  <c r="I135" i="111"/>
  <c r="J134" i="111"/>
  <c r="I134" i="111"/>
  <c r="J133" i="111"/>
  <c r="I133" i="111"/>
  <c r="J132" i="111"/>
  <c r="I132" i="111"/>
  <c r="J131" i="111"/>
  <c r="I131" i="111"/>
  <c r="J130" i="111"/>
  <c r="I130" i="111"/>
  <c r="J129" i="111"/>
  <c r="I129" i="111"/>
  <c r="J128" i="111"/>
  <c r="I128" i="111"/>
  <c r="J127" i="111"/>
  <c r="I127" i="111"/>
  <c r="J126" i="111"/>
  <c r="I126" i="111"/>
  <c r="J125" i="111"/>
  <c r="I125" i="111"/>
  <c r="J124" i="111"/>
  <c r="I124" i="111"/>
  <c r="J123" i="111"/>
  <c r="I123" i="111"/>
  <c r="J122" i="111"/>
  <c r="I122" i="111"/>
  <c r="J121" i="111"/>
  <c r="I121" i="111"/>
  <c r="J120" i="111"/>
  <c r="I120" i="111"/>
  <c r="J119" i="111"/>
  <c r="I119" i="111"/>
  <c r="J118" i="111"/>
  <c r="I118" i="111"/>
  <c r="J117" i="111"/>
  <c r="I117" i="111"/>
  <c r="J116" i="111"/>
  <c r="I116" i="111"/>
  <c r="J115" i="111"/>
  <c r="I115" i="111"/>
  <c r="J114" i="111"/>
  <c r="I114" i="111"/>
  <c r="J113" i="111"/>
  <c r="I113" i="111"/>
  <c r="J112" i="111"/>
  <c r="I112" i="111"/>
  <c r="J111" i="111"/>
  <c r="I111" i="111"/>
  <c r="J110" i="111"/>
  <c r="I110" i="111"/>
  <c r="J109" i="111"/>
  <c r="I109" i="111"/>
  <c r="J108" i="111"/>
  <c r="I108" i="111"/>
  <c r="J107" i="111"/>
  <c r="I107" i="111"/>
  <c r="J106" i="111"/>
  <c r="I106" i="111"/>
  <c r="J105" i="111"/>
  <c r="I105" i="111"/>
  <c r="J104" i="111"/>
  <c r="I104" i="111"/>
  <c r="J103" i="111"/>
  <c r="I103" i="111"/>
  <c r="J102" i="111"/>
  <c r="I102" i="111"/>
  <c r="J101" i="111"/>
  <c r="I101" i="111"/>
  <c r="J100" i="111"/>
  <c r="I100" i="111"/>
  <c r="J99" i="111"/>
  <c r="I99" i="111"/>
  <c r="J98" i="111"/>
  <c r="I98" i="111"/>
  <c r="J97" i="111"/>
  <c r="I97" i="111"/>
  <c r="J96" i="111"/>
  <c r="I96" i="111"/>
  <c r="J95" i="111"/>
  <c r="I95" i="111"/>
  <c r="J94" i="111"/>
  <c r="I94" i="111"/>
  <c r="J93" i="111"/>
  <c r="I93" i="111"/>
  <c r="J92" i="111"/>
  <c r="I92" i="111"/>
  <c r="J91" i="111"/>
  <c r="I91" i="111"/>
  <c r="J90" i="111"/>
  <c r="I90" i="111"/>
  <c r="J89" i="111"/>
  <c r="I89" i="111"/>
  <c r="J88" i="111"/>
  <c r="I88" i="111"/>
  <c r="J87" i="111"/>
  <c r="I87" i="111"/>
  <c r="J86" i="111"/>
  <c r="I86" i="111"/>
  <c r="J85" i="111"/>
  <c r="I85" i="111"/>
  <c r="J84" i="111"/>
  <c r="I84" i="111"/>
  <c r="J83" i="111"/>
  <c r="I83" i="111"/>
  <c r="J82" i="111"/>
  <c r="I82" i="111"/>
  <c r="J81" i="111"/>
  <c r="I81" i="111"/>
  <c r="J80" i="111"/>
  <c r="I80" i="111"/>
  <c r="J79" i="111"/>
  <c r="I79" i="111"/>
  <c r="J78" i="111"/>
  <c r="I78" i="111"/>
  <c r="J77" i="111"/>
  <c r="I77" i="111"/>
  <c r="J76" i="111"/>
  <c r="I76" i="111"/>
  <c r="J75" i="111"/>
  <c r="I75" i="111"/>
  <c r="J74" i="111"/>
  <c r="I74" i="111"/>
  <c r="J73" i="111"/>
  <c r="I73" i="111"/>
  <c r="J72" i="111"/>
  <c r="I72" i="111"/>
  <c r="J71" i="111"/>
  <c r="I71" i="111"/>
  <c r="J70" i="111"/>
  <c r="I70" i="111"/>
  <c r="J69" i="111"/>
  <c r="I69" i="111"/>
  <c r="J68" i="111"/>
  <c r="I68" i="111"/>
  <c r="J67" i="111"/>
  <c r="I67" i="111"/>
  <c r="J66" i="111"/>
  <c r="I66" i="111"/>
  <c r="J65" i="111"/>
  <c r="I65" i="111"/>
  <c r="J64" i="111"/>
  <c r="I64" i="111"/>
  <c r="J63" i="111"/>
  <c r="I63" i="111"/>
  <c r="J62" i="111"/>
  <c r="I62" i="111"/>
  <c r="J61" i="111"/>
  <c r="I61" i="111"/>
  <c r="J60" i="111"/>
  <c r="I60" i="111"/>
  <c r="J59" i="111"/>
  <c r="I59" i="111"/>
  <c r="J58" i="111"/>
  <c r="I58" i="111"/>
  <c r="J57" i="111"/>
  <c r="I57" i="111"/>
  <c r="J56" i="111"/>
  <c r="I56" i="111"/>
  <c r="J55" i="111"/>
  <c r="I55" i="111"/>
  <c r="J54" i="111"/>
  <c r="I54" i="111"/>
  <c r="J53" i="111"/>
  <c r="I53" i="111"/>
  <c r="J52" i="111"/>
  <c r="I52" i="111"/>
  <c r="J51" i="111"/>
  <c r="I51" i="111"/>
  <c r="J50" i="111"/>
  <c r="I50" i="111"/>
  <c r="J49" i="111"/>
  <c r="I49" i="111"/>
  <c r="J48" i="111"/>
  <c r="I48" i="111"/>
  <c r="J47" i="111"/>
  <c r="I47" i="111"/>
  <c r="J46" i="111"/>
  <c r="I46" i="111"/>
  <c r="J45" i="111"/>
  <c r="I45" i="111"/>
  <c r="J44" i="111"/>
  <c r="I44" i="111"/>
  <c r="J43" i="111"/>
  <c r="I43" i="111"/>
  <c r="J42" i="111"/>
  <c r="I42" i="111"/>
  <c r="J41" i="111"/>
  <c r="I41" i="111"/>
  <c r="J40" i="111"/>
  <c r="I40" i="111"/>
  <c r="J39" i="111"/>
  <c r="I39" i="111"/>
  <c r="J38" i="111"/>
  <c r="I38" i="111"/>
  <c r="J37" i="111"/>
  <c r="I37" i="111"/>
  <c r="J36" i="111"/>
  <c r="I36" i="111"/>
  <c r="J35" i="111"/>
  <c r="I35" i="111"/>
  <c r="J34" i="111"/>
  <c r="I34" i="111"/>
  <c r="J33" i="111"/>
  <c r="I33" i="111"/>
  <c r="J32" i="111"/>
  <c r="I32" i="111"/>
  <c r="J31" i="111"/>
  <c r="I31" i="111"/>
  <c r="J30" i="111"/>
  <c r="I30" i="111"/>
  <c r="J29" i="111"/>
  <c r="I29" i="111"/>
  <c r="J28" i="111"/>
  <c r="I28" i="111"/>
  <c r="J27" i="111"/>
  <c r="I27" i="111"/>
  <c r="J26" i="111"/>
  <c r="I26" i="111"/>
  <c r="J25" i="111"/>
  <c r="I25" i="111"/>
  <c r="J24" i="111"/>
  <c r="I24" i="111"/>
  <c r="J23" i="111"/>
  <c r="I23" i="111"/>
  <c r="J22" i="111"/>
  <c r="I22" i="111"/>
  <c r="J21" i="111"/>
  <c r="I21" i="111"/>
  <c r="J20" i="111"/>
  <c r="I20" i="111"/>
  <c r="J19" i="111"/>
  <c r="I19" i="111"/>
  <c r="J18" i="111"/>
  <c r="I18" i="111"/>
  <c r="J17" i="111"/>
  <c r="I17" i="111"/>
  <c r="J16" i="111"/>
  <c r="I16" i="111"/>
  <c r="J15" i="111"/>
  <c r="I15" i="111"/>
  <c r="J14" i="111"/>
  <c r="I14" i="111"/>
  <c r="J13" i="111"/>
  <c r="I13" i="111"/>
  <c r="J12" i="111"/>
  <c r="I12" i="111"/>
  <c r="J11" i="111"/>
  <c r="I11" i="111"/>
  <c r="J10" i="111"/>
  <c r="I10" i="111"/>
  <c r="J9" i="111"/>
  <c r="I9" i="111"/>
  <c r="J8" i="111"/>
  <c r="I8" i="111"/>
  <c r="J7" i="111"/>
  <c r="I7" i="111"/>
  <c r="J6" i="111"/>
  <c r="I6" i="111"/>
  <c r="J5" i="111"/>
  <c r="I5" i="111"/>
  <c r="J4" i="111"/>
  <c r="I4" i="111"/>
  <c r="J3" i="111"/>
  <c r="I3" i="111"/>
  <c r="I2" i="111"/>
  <c r="J390" i="110"/>
  <c r="I390" i="110"/>
  <c r="J389" i="110"/>
  <c r="I389" i="110"/>
  <c r="J388" i="110"/>
  <c r="I388" i="110"/>
  <c r="J387" i="110"/>
  <c r="I387" i="110"/>
  <c r="J386" i="110"/>
  <c r="I386" i="110"/>
  <c r="J385" i="110"/>
  <c r="I385" i="110"/>
  <c r="J384" i="110"/>
  <c r="I384" i="110"/>
  <c r="J383" i="110"/>
  <c r="I383" i="110"/>
  <c r="J382" i="110"/>
  <c r="I382" i="110"/>
  <c r="J381" i="110"/>
  <c r="I381" i="110"/>
  <c r="J380" i="110"/>
  <c r="I380" i="110"/>
  <c r="J379" i="110"/>
  <c r="I379" i="110"/>
  <c r="J378" i="110"/>
  <c r="I378" i="110"/>
  <c r="J377" i="110"/>
  <c r="I377" i="110"/>
  <c r="J376" i="110"/>
  <c r="I376" i="110"/>
  <c r="J375" i="110"/>
  <c r="I375" i="110"/>
  <c r="J374" i="110"/>
  <c r="I374" i="110"/>
  <c r="J373" i="110"/>
  <c r="I373" i="110"/>
  <c r="J372" i="110"/>
  <c r="I372" i="110"/>
  <c r="J371" i="110"/>
  <c r="I371" i="110"/>
  <c r="J370" i="110"/>
  <c r="I370" i="110"/>
  <c r="J369" i="110"/>
  <c r="I369" i="110"/>
  <c r="J368" i="110"/>
  <c r="I368" i="110"/>
  <c r="J367" i="110"/>
  <c r="I367" i="110"/>
  <c r="J366" i="110"/>
  <c r="I366" i="110"/>
  <c r="J365" i="110"/>
  <c r="I365" i="110"/>
  <c r="J364" i="110"/>
  <c r="I364" i="110"/>
  <c r="J363" i="110"/>
  <c r="I363" i="110"/>
  <c r="J362" i="110"/>
  <c r="I362" i="110"/>
  <c r="J361" i="110"/>
  <c r="I361" i="110"/>
  <c r="J360" i="110"/>
  <c r="I360" i="110"/>
  <c r="J359" i="110"/>
  <c r="I359" i="110"/>
  <c r="J358" i="110"/>
  <c r="I358" i="110"/>
  <c r="J357" i="110"/>
  <c r="I357" i="110"/>
  <c r="J356" i="110"/>
  <c r="I356" i="110"/>
  <c r="J355" i="110"/>
  <c r="I355" i="110"/>
  <c r="J354" i="110"/>
  <c r="I354" i="110"/>
  <c r="J353" i="110"/>
  <c r="I353" i="110"/>
  <c r="J352" i="110"/>
  <c r="I352" i="110"/>
  <c r="J351" i="110"/>
  <c r="I351" i="110"/>
  <c r="J350" i="110"/>
  <c r="I350" i="110"/>
  <c r="J349" i="110"/>
  <c r="I349" i="110"/>
  <c r="J348" i="110"/>
  <c r="I348" i="110"/>
  <c r="J347" i="110"/>
  <c r="I347" i="110"/>
  <c r="J346" i="110"/>
  <c r="I346" i="110"/>
  <c r="J345" i="110"/>
  <c r="I345" i="110"/>
  <c r="J344" i="110"/>
  <c r="I344" i="110"/>
  <c r="J343" i="110"/>
  <c r="I343" i="110"/>
  <c r="J342" i="110"/>
  <c r="I342" i="110"/>
  <c r="J341" i="110"/>
  <c r="I341" i="110"/>
  <c r="J340" i="110"/>
  <c r="I340" i="110"/>
  <c r="J339" i="110"/>
  <c r="I339" i="110"/>
  <c r="J338" i="110"/>
  <c r="I338" i="110"/>
  <c r="J337" i="110"/>
  <c r="I337" i="110"/>
  <c r="J336" i="110"/>
  <c r="I336" i="110"/>
  <c r="J335" i="110"/>
  <c r="I335" i="110"/>
  <c r="J334" i="110"/>
  <c r="I334" i="110"/>
  <c r="J333" i="110"/>
  <c r="I333" i="110"/>
  <c r="J332" i="110"/>
  <c r="I332" i="110"/>
  <c r="J331" i="110"/>
  <c r="I331" i="110"/>
  <c r="J330" i="110"/>
  <c r="I330" i="110"/>
  <c r="J329" i="110"/>
  <c r="I329" i="110"/>
  <c r="J328" i="110"/>
  <c r="I328" i="110"/>
  <c r="J327" i="110"/>
  <c r="I327" i="110"/>
  <c r="J326" i="110"/>
  <c r="I326" i="110"/>
  <c r="J325" i="110"/>
  <c r="I325" i="110"/>
  <c r="J324" i="110"/>
  <c r="I324" i="110"/>
  <c r="J323" i="110"/>
  <c r="I323" i="110"/>
  <c r="J322" i="110"/>
  <c r="I322" i="110"/>
  <c r="J321" i="110"/>
  <c r="I321" i="110"/>
  <c r="J320" i="110"/>
  <c r="I320" i="110"/>
  <c r="J319" i="110"/>
  <c r="I319" i="110"/>
  <c r="J318" i="110"/>
  <c r="I318" i="110"/>
  <c r="J317" i="110"/>
  <c r="I317" i="110"/>
  <c r="J316" i="110"/>
  <c r="I316" i="110"/>
  <c r="J315" i="110"/>
  <c r="I315" i="110"/>
  <c r="J314" i="110"/>
  <c r="I314" i="110"/>
  <c r="J313" i="110"/>
  <c r="I313" i="110"/>
  <c r="J312" i="110"/>
  <c r="I312" i="110"/>
  <c r="J311" i="110"/>
  <c r="I311" i="110"/>
  <c r="J310" i="110"/>
  <c r="I310" i="110"/>
  <c r="J309" i="110"/>
  <c r="I309" i="110"/>
  <c r="J308" i="110"/>
  <c r="I308" i="110"/>
  <c r="J307" i="110"/>
  <c r="I307" i="110"/>
  <c r="J306" i="110"/>
  <c r="I306" i="110"/>
  <c r="J305" i="110"/>
  <c r="I305" i="110"/>
  <c r="J304" i="110"/>
  <c r="I304" i="110"/>
  <c r="J303" i="110"/>
  <c r="I303" i="110"/>
  <c r="J302" i="110"/>
  <c r="I302" i="110"/>
  <c r="J301" i="110"/>
  <c r="I301" i="110"/>
  <c r="J300" i="110"/>
  <c r="I300" i="110"/>
  <c r="J299" i="110"/>
  <c r="I299" i="110"/>
  <c r="J298" i="110"/>
  <c r="I298" i="110"/>
  <c r="J297" i="110"/>
  <c r="I297" i="110"/>
  <c r="J296" i="110"/>
  <c r="I296" i="110"/>
  <c r="J295" i="110"/>
  <c r="I295" i="110"/>
  <c r="J294" i="110"/>
  <c r="I294" i="110"/>
  <c r="J293" i="110"/>
  <c r="I293" i="110"/>
  <c r="J292" i="110"/>
  <c r="I292" i="110"/>
  <c r="J291" i="110"/>
  <c r="I291" i="110"/>
  <c r="J290" i="110"/>
  <c r="I290" i="110"/>
  <c r="J289" i="110"/>
  <c r="I289" i="110"/>
  <c r="J288" i="110"/>
  <c r="I288" i="110"/>
  <c r="J287" i="110"/>
  <c r="I287" i="110"/>
  <c r="J286" i="110"/>
  <c r="I286" i="110"/>
  <c r="J285" i="110"/>
  <c r="I285" i="110"/>
  <c r="J284" i="110"/>
  <c r="I284" i="110"/>
  <c r="J283" i="110"/>
  <c r="I283" i="110"/>
  <c r="J282" i="110"/>
  <c r="I282" i="110"/>
  <c r="J281" i="110"/>
  <c r="I281" i="110"/>
  <c r="J280" i="110"/>
  <c r="I280" i="110"/>
  <c r="J279" i="110"/>
  <c r="I279" i="110"/>
  <c r="J278" i="110"/>
  <c r="I278" i="110"/>
  <c r="J277" i="110"/>
  <c r="I277" i="110"/>
  <c r="J276" i="110"/>
  <c r="I276" i="110"/>
  <c r="J275" i="110"/>
  <c r="I275" i="110"/>
  <c r="J274" i="110"/>
  <c r="I274" i="110"/>
  <c r="J273" i="110"/>
  <c r="I273" i="110"/>
  <c r="J272" i="110"/>
  <c r="I272" i="110"/>
  <c r="J271" i="110"/>
  <c r="I271" i="110"/>
  <c r="J270" i="110"/>
  <c r="I270" i="110"/>
  <c r="J269" i="110"/>
  <c r="I269" i="110"/>
  <c r="J268" i="110"/>
  <c r="I268" i="110"/>
  <c r="J267" i="110"/>
  <c r="I267" i="110"/>
  <c r="J266" i="110"/>
  <c r="I266" i="110"/>
  <c r="J265" i="110"/>
  <c r="I265" i="110"/>
  <c r="J264" i="110"/>
  <c r="I264" i="110"/>
  <c r="J263" i="110"/>
  <c r="I263" i="110"/>
  <c r="J262" i="110"/>
  <c r="I262" i="110"/>
  <c r="J261" i="110"/>
  <c r="I261" i="110"/>
  <c r="J260" i="110"/>
  <c r="I260" i="110"/>
  <c r="J259" i="110"/>
  <c r="I259" i="110"/>
  <c r="J258" i="110"/>
  <c r="I258" i="110"/>
  <c r="J257" i="110"/>
  <c r="I257" i="110"/>
  <c r="J256" i="110"/>
  <c r="I256" i="110"/>
  <c r="J255" i="110"/>
  <c r="I255" i="110"/>
  <c r="J254" i="110"/>
  <c r="I254" i="110"/>
  <c r="J253" i="110"/>
  <c r="I253" i="110"/>
  <c r="J252" i="110"/>
  <c r="I252" i="110"/>
  <c r="J251" i="110"/>
  <c r="I251" i="110"/>
  <c r="J250" i="110"/>
  <c r="I250" i="110"/>
  <c r="J249" i="110"/>
  <c r="I249" i="110"/>
  <c r="J248" i="110"/>
  <c r="I248" i="110"/>
  <c r="J247" i="110"/>
  <c r="I247" i="110"/>
  <c r="J246" i="110"/>
  <c r="I246" i="110"/>
  <c r="J245" i="110"/>
  <c r="I245" i="110"/>
  <c r="J244" i="110"/>
  <c r="I244" i="110"/>
  <c r="J243" i="110"/>
  <c r="I243" i="110"/>
  <c r="J242" i="110"/>
  <c r="I242" i="110"/>
  <c r="J241" i="110"/>
  <c r="I241" i="110"/>
  <c r="J240" i="110"/>
  <c r="I240" i="110"/>
  <c r="J239" i="110"/>
  <c r="I239" i="110"/>
  <c r="J238" i="110"/>
  <c r="I238" i="110"/>
  <c r="J237" i="110"/>
  <c r="I237" i="110"/>
  <c r="J236" i="110"/>
  <c r="I236" i="110"/>
  <c r="J235" i="110"/>
  <c r="I235" i="110"/>
  <c r="J234" i="110"/>
  <c r="I234" i="110"/>
  <c r="J233" i="110"/>
  <c r="I233" i="110"/>
  <c r="J232" i="110"/>
  <c r="I232" i="110"/>
  <c r="J231" i="110"/>
  <c r="I231" i="110"/>
  <c r="J230" i="110"/>
  <c r="I230" i="110"/>
  <c r="J229" i="110"/>
  <c r="I229" i="110"/>
  <c r="J228" i="110"/>
  <c r="I228" i="110"/>
  <c r="J227" i="110"/>
  <c r="I227" i="110"/>
  <c r="J226" i="110"/>
  <c r="I226" i="110"/>
  <c r="J225" i="110"/>
  <c r="I225" i="110"/>
  <c r="J224" i="110"/>
  <c r="I224" i="110"/>
  <c r="J223" i="110"/>
  <c r="I223" i="110"/>
  <c r="J222" i="110"/>
  <c r="I222" i="110"/>
  <c r="J221" i="110"/>
  <c r="I221" i="110"/>
  <c r="J220" i="110"/>
  <c r="I220" i="110"/>
  <c r="J219" i="110"/>
  <c r="I219" i="110"/>
  <c r="J218" i="110"/>
  <c r="I218" i="110"/>
  <c r="J217" i="110"/>
  <c r="I217" i="110"/>
  <c r="J216" i="110"/>
  <c r="I216" i="110"/>
  <c r="J215" i="110"/>
  <c r="I215" i="110"/>
  <c r="J214" i="110"/>
  <c r="I214" i="110"/>
  <c r="J213" i="110"/>
  <c r="I213" i="110"/>
  <c r="J212" i="110"/>
  <c r="I212" i="110"/>
  <c r="J211" i="110"/>
  <c r="I211" i="110"/>
  <c r="J210" i="110"/>
  <c r="I210" i="110"/>
  <c r="J209" i="110"/>
  <c r="I209" i="110"/>
  <c r="J208" i="110"/>
  <c r="I208" i="110"/>
  <c r="J207" i="110"/>
  <c r="I207" i="110"/>
  <c r="J206" i="110"/>
  <c r="I206" i="110"/>
  <c r="J205" i="110"/>
  <c r="I205" i="110"/>
  <c r="J204" i="110"/>
  <c r="I204" i="110"/>
  <c r="J203" i="110"/>
  <c r="I203" i="110"/>
  <c r="J202" i="110"/>
  <c r="I202" i="110"/>
  <c r="J201" i="110"/>
  <c r="I201" i="110"/>
  <c r="J200" i="110"/>
  <c r="I200" i="110"/>
  <c r="J199" i="110"/>
  <c r="I199" i="110"/>
  <c r="J198" i="110"/>
  <c r="I198" i="110"/>
  <c r="J197" i="110"/>
  <c r="I197" i="110"/>
  <c r="J196" i="110"/>
  <c r="I196" i="110"/>
  <c r="J195" i="110"/>
  <c r="I195" i="110"/>
  <c r="J194" i="110"/>
  <c r="I194" i="110"/>
  <c r="J193" i="110"/>
  <c r="I193" i="110"/>
  <c r="J192" i="110"/>
  <c r="I192" i="110"/>
  <c r="J191" i="110"/>
  <c r="I191" i="110"/>
  <c r="J190" i="110"/>
  <c r="I190" i="110"/>
  <c r="J189" i="110"/>
  <c r="I189" i="110"/>
  <c r="J188" i="110"/>
  <c r="I188" i="110"/>
  <c r="J187" i="110"/>
  <c r="I187" i="110"/>
  <c r="J186" i="110"/>
  <c r="I186" i="110"/>
  <c r="J185" i="110"/>
  <c r="I185" i="110"/>
  <c r="J184" i="110"/>
  <c r="I184" i="110"/>
  <c r="J183" i="110"/>
  <c r="I183" i="110"/>
  <c r="J182" i="110"/>
  <c r="I182" i="110"/>
  <c r="J181" i="110"/>
  <c r="I181" i="110"/>
  <c r="J180" i="110"/>
  <c r="I180" i="110"/>
  <c r="J179" i="110"/>
  <c r="I179" i="110"/>
  <c r="J178" i="110"/>
  <c r="I178" i="110"/>
  <c r="J177" i="110"/>
  <c r="I177" i="110"/>
  <c r="J176" i="110"/>
  <c r="I176" i="110"/>
  <c r="J175" i="110"/>
  <c r="I175" i="110"/>
  <c r="J174" i="110"/>
  <c r="I174" i="110"/>
  <c r="J173" i="110"/>
  <c r="I173" i="110"/>
  <c r="J172" i="110"/>
  <c r="I172" i="110"/>
  <c r="J171" i="110"/>
  <c r="I171" i="110"/>
  <c r="J170" i="110"/>
  <c r="I170" i="110"/>
  <c r="J169" i="110"/>
  <c r="I169" i="110"/>
  <c r="J168" i="110"/>
  <c r="I168" i="110"/>
  <c r="J167" i="110"/>
  <c r="I167" i="110"/>
  <c r="J166" i="110"/>
  <c r="I166" i="110"/>
  <c r="J165" i="110"/>
  <c r="I165" i="110"/>
  <c r="J164" i="110"/>
  <c r="I164" i="110"/>
  <c r="J163" i="110"/>
  <c r="I163" i="110"/>
  <c r="J162" i="110"/>
  <c r="I162" i="110"/>
  <c r="J161" i="110"/>
  <c r="I161" i="110"/>
  <c r="J160" i="110"/>
  <c r="I160" i="110"/>
  <c r="J159" i="110"/>
  <c r="I159" i="110"/>
  <c r="J158" i="110"/>
  <c r="I158" i="110"/>
  <c r="J157" i="110"/>
  <c r="I157" i="110"/>
  <c r="J156" i="110"/>
  <c r="I156" i="110"/>
  <c r="J155" i="110"/>
  <c r="I155" i="110"/>
  <c r="J154" i="110"/>
  <c r="I154" i="110"/>
  <c r="J153" i="110"/>
  <c r="I153" i="110"/>
  <c r="J152" i="110"/>
  <c r="I152" i="110"/>
  <c r="J151" i="110"/>
  <c r="I151" i="110"/>
  <c r="J150" i="110"/>
  <c r="I150" i="110"/>
  <c r="J149" i="110"/>
  <c r="I149" i="110"/>
  <c r="J148" i="110"/>
  <c r="I148" i="110"/>
  <c r="J147" i="110"/>
  <c r="I147" i="110"/>
  <c r="J146" i="110"/>
  <c r="I146" i="110"/>
  <c r="J145" i="110"/>
  <c r="I145" i="110"/>
  <c r="J144" i="110"/>
  <c r="I144" i="110"/>
  <c r="J143" i="110"/>
  <c r="I143" i="110"/>
  <c r="J142" i="110"/>
  <c r="I142" i="110"/>
  <c r="J141" i="110"/>
  <c r="I141" i="110"/>
  <c r="J140" i="110"/>
  <c r="I140" i="110"/>
  <c r="J139" i="110"/>
  <c r="I139" i="110"/>
  <c r="J138" i="110"/>
  <c r="I138" i="110"/>
  <c r="J137" i="110"/>
  <c r="I137" i="110"/>
  <c r="J136" i="110"/>
  <c r="I136" i="110"/>
  <c r="J135" i="110"/>
  <c r="I135" i="110"/>
  <c r="J134" i="110"/>
  <c r="I134" i="110"/>
  <c r="J133" i="110"/>
  <c r="I133" i="110"/>
  <c r="J132" i="110"/>
  <c r="I132" i="110"/>
  <c r="J131" i="110"/>
  <c r="I131" i="110"/>
  <c r="J130" i="110"/>
  <c r="I130" i="110"/>
  <c r="J129" i="110"/>
  <c r="I129" i="110"/>
  <c r="J128" i="110"/>
  <c r="I128" i="110"/>
  <c r="J127" i="110"/>
  <c r="I127" i="110"/>
  <c r="J126" i="110"/>
  <c r="I126" i="110"/>
  <c r="J125" i="110"/>
  <c r="I125" i="110"/>
  <c r="J124" i="110"/>
  <c r="I124" i="110"/>
  <c r="J123" i="110"/>
  <c r="I123" i="110"/>
  <c r="J122" i="110"/>
  <c r="I122" i="110"/>
  <c r="J121" i="110"/>
  <c r="I121" i="110"/>
  <c r="J120" i="110"/>
  <c r="I120" i="110"/>
  <c r="J119" i="110"/>
  <c r="I119" i="110"/>
  <c r="J118" i="110"/>
  <c r="I118" i="110"/>
  <c r="J117" i="110"/>
  <c r="I117" i="110"/>
  <c r="J116" i="110"/>
  <c r="I116" i="110"/>
  <c r="J115" i="110"/>
  <c r="I115" i="110"/>
  <c r="J114" i="110"/>
  <c r="I114" i="110"/>
  <c r="J113" i="110"/>
  <c r="I113" i="110"/>
  <c r="J112" i="110"/>
  <c r="I112" i="110"/>
  <c r="J111" i="110"/>
  <c r="I111" i="110"/>
  <c r="J110" i="110"/>
  <c r="I110" i="110"/>
  <c r="J109" i="110"/>
  <c r="I109" i="110"/>
  <c r="J108" i="110"/>
  <c r="I108" i="110"/>
  <c r="J107" i="110"/>
  <c r="I107" i="110"/>
  <c r="J106" i="110"/>
  <c r="I106" i="110"/>
  <c r="J105" i="110"/>
  <c r="I105" i="110"/>
  <c r="J104" i="110"/>
  <c r="I104" i="110"/>
  <c r="J103" i="110"/>
  <c r="I103" i="110"/>
  <c r="J102" i="110"/>
  <c r="I102" i="110"/>
  <c r="J101" i="110"/>
  <c r="I101" i="110"/>
  <c r="J100" i="110"/>
  <c r="I100" i="110"/>
  <c r="J99" i="110"/>
  <c r="I99" i="110"/>
  <c r="J98" i="110"/>
  <c r="I98" i="110"/>
  <c r="J97" i="110"/>
  <c r="I97" i="110"/>
  <c r="J96" i="110"/>
  <c r="I96" i="110"/>
  <c r="J95" i="110"/>
  <c r="I95" i="110"/>
  <c r="J94" i="110"/>
  <c r="I94" i="110"/>
  <c r="J93" i="110"/>
  <c r="I93" i="110"/>
  <c r="J92" i="110"/>
  <c r="I92" i="110"/>
  <c r="J91" i="110"/>
  <c r="I91" i="110"/>
  <c r="J90" i="110"/>
  <c r="I90" i="110"/>
  <c r="J89" i="110"/>
  <c r="I89" i="110"/>
  <c r="J88" i="110"/>
  <c r="I88" i="110"/>
  <c r="J87" i="110"/>
  <c r="I87" i="110"/>
  <c r="J86" i="110"/>
  <c r="I86" i="110"/>
  <c r="J85" i="110"/>
  <c r="I85" i="110"/>
  <c r="J84" i="110"/>
  <c r="I84" i="110"/>
  <c r="J83" i="110"/>
  <c r="I83" i="110"/>
  <c r="J82" i="110"/>
  <c r="I82" i="110"/>
  <c r="J81" i="110"/>
  <c r="I81" i="110"/>
  <c r="J80" i="110"/>
  <c r="I80" i="110"/>
  <c r="J79" i="110"/>
  <c r="I79" i="110"/>
  <c r="J78" i="110"/>
  <c r="I78" i="110"/>
  <c r="J77" i="110"/>
  <c r="I77" i="110"/>
  <c r="J76" i="110"/>
  <c r="I76" i="110"/>
  <c r="J75" i="110"/>
  <c r="I75" i="110"/>
  <c r="J74" i="110"/>
  <c r="I74" i="110"/>
  <c r="J73" i="110"/>
  <c r="I73" i="110"/>
  <c r="J72" i="110"/>
  <c r="I72" i="110"/>
  <c r="J71" i="110"/>
  <c r="I71" i="110"/>
  <c r="J70" i="110"/>
  <c r="I70" i="110"/>
  <c r="J69" i="110"/>
  <c r="I69" i="110"/>
  <c r="J68" i="110"/>
  <c r="I68" i="110"/>
  <c r="J67" i="110"/>
  <c r="I67" i="110"/>
  <c r="J66" i="110"/>
  <c r="I66" i="110"/>
  <c r="J65" i="110"/>
  <c r="I65" i="110"/>
  <c r="J64" i="110"/>
  <c r="I64" i="110"/>
  <c r="J63" i="110"/>
  <c r="I63" i="110"/>
  <c r="J62" i="110"/>
  <c r="I62" i="110"/>
  <c r="J61" i="110"/>
  <c r="I61" i="110"/>
  <c r="J60" i="110"/>
  <c r="I60" i="110"/>
  <c r="J59" i="110"/>
  <c r="I59" i="110"/>
  <c r="J58" i="110"/>
  <c r="I58" i="110"/>
  <c r="J57" i="110"/>
  <c r="I57" i="110"/>
  <c r="J56" i="110"/>
  <c r="I56" i="110"/>
  <c r="J55" i="110"/>
  <c r="I55" i="110"/>
  <c r="J54" i="110"/>
  <c r="I54" i="110"/>
  <c r="J53" i="110"/>
  <c r="I53" i="110"/>
  <c r="J52" i="110"/>
  <c r="I52" i="110"/>
  <c r="J51" i="110"/>
  <c r="I51" i="110"/>
  <c r="J50" i="110"/>
  <c r="I50" i="110"/>
  <c r="J49" i="110"/>
  <c r="I49" i="110"/>
  <c r="J48" i="110"/>
  <c r="I48" i="110"/>
  <c r="J47" i="110"/>
  <c r="I47" i="110"/>
  <c r="J46" i="110"/>
  <c r="I46" i="110"/>
  <c r="J45" i="110"/>
  <c r="I45" i="110"/>
  <c r="J44" i="110"/>
  <c r="I44" i="110"/>
  <c r="J43" i="110"/>
  <c r="I43" i="110"/>
  <c r="J42" i="110"/>
  <c r="I42" i="110"/>
  <c r="J41" i="110"/>
  <c r="I41" i="110"/>
  <c r="J40" i="110"/>
  <c r="I40" i="110"/>
  <c r="J39" i="110"/>
  <c r="I39" i="110"/>
  <c r="J38" i="110"/>
  <c r="I38" i="110"/>
  <c r="J37" i="110"/>
  <c r="I37" i="110"/>
  <c r="J36" i="110"/>
  <c r="I36" i="110"/>
  <c r="J35" i="110"/>
  <c r="I35" i="110"/>
  <c r="J34" i="110"/>
  <c r="I34" i="110"/>
  <c r="J33" i="110"/>
  <c r="I33" i="110"/>
  <c r="J32" i="110"/>
  <c r="I32" i="110"/>
  <c r="J31" i="110"/>
  <c r="I31" i="110"/>
  <c r="J30" i="110"/>
  <c r="I30" i="110"/>
  <c r="J29" i="110"/>
  <c r="I29" i="110"/>
  <c r="J28" i="110"/>
  <c r="I28" i="110"/>
  <c r="J27" i="110"/>
  <c r="I27" i="110"/>
  <c r="J26" i="110"/>
  <c r="I26" i="110"/>
  <c r="J25" i="110"/>
  <c r="I25" i="110"/>
  <c r="J24" i="110"/>
  <c r="I24" i="110"/>
  <c r="J23" i="110"/>
  <c r="I23" i="110"/>
  <c r="J22" i="110"/>
  <c r="I22" i="110"/>
  <c r="J21" i="110"/>
  <c r="I21" i="110"/>
  <c r="J20" i="110"/>
  <c r="I20" i="110"/>
  <c r="J19" i="110"/>
  <c r="I19" i="110"/>
  <c r="J18" i="110"/>
  <c r="I18" i="110"/>
  <c r="J17" i="110"/>
  <c r="I17" i="110"/>
  <c r="J16" i="110"/>
  <c r="I16" i="110"/>
  <c r="J15" i="110"/>
  <c r="I15" i="110"/>
  <c r="J14" i="110"/>
  <c r="I14" i="110"/>
  <c r="J13" i="110"/>
  <c r="I13" i="110"/>
  <c r="J12" i="110"/>
  <c r="I12" i="110"/>
  <c r="J11" i="110"/>
  <c r="I11" i="110"/>
  <c r="J10" i="110"/>
  <c r="I10" i="110"/>
  <c r="J9" i="110"/>
  <c r="I9" i="110"/>
  <c r="J8" i="110"/>
  <c r="I8" i="110"/>
  <c r="J7" i="110"/>
  <c r="I7" i="110"/>
  <c r="J6" i="110"/>
  <c r="I6" i="110"/>
  <c r="J5" i="110"/>
  <c r="I5" i="110"/>
  <c r="J4" i="110"/>
  <c r="I4" i="110"/>
  <c r="J3" i="110"/>
  <c r="I3" i="110"/>
  <c r="I2" i="110"/>
  <c r="J390" i="109"/>
  <c r="I390" i="109"/>
  <c r="J389" i="109"/>
  <c r="I389" i="109"/>
  <c r="J388" i="109"/>
  <c r="I388" i="109"/>
  <c r="J387" i="109"/>
  <c r="I387" i="109"/>
  <c r="J386" i="109"/>
  <c r="I386" i="109"/>
  <c r="J385" i="109"/>
  <c r="I385" i="109"/>
  <c r="J384" i="109"/>
  <c r="I384" i="109"/>
  <c r="J383" i="109"/>
  <c r="I383" i="109"/>
  <c r="J382" i="109"/>
  <c r="I382" i="109"/>
  <c r="J381" i="109"/>
  <c r="I381" i="109"/>
  <c r="J380" i="109"/>
  <c r="I380" i="109"/>
  <c r="J379" i="109"/>
  <c r="I379" i="109"/>
  <c r="J378" i="109"/>
  <c r="I378" i="109"/>
  <c r="J377" i="109"/>
  <c r="I377" i="109"/>
  <c r="J376" i="109"/>
  <c r="I376" i="109"/>
  <c r="J375" i="109"/>
  <c r="I375" i="109"/>
  <c r="J374" i="109"/>
  <c r="I374" i="109"/>
  <c r="J373" i="109"/>
  <c r="I373" i="109"/>
  <c r="J372" i="109"/>
  <c r="I372" i="109"/>
  <c r="J371" i="109"/>
  <c r="I371" i="109"/>
  <c r="J370" i="109"/>
  <c r="I370" i="109"/>
  <c r="J369" i="109"/>
  <c r="I369" i="109"/>
  <c r="J368" i="109"/>
  <c r="I368" i="109"/>
  <c r="J367" i="109"/>
  <c r="I367" i="109"/>
  <c r="J366" i="109"/>
  <c r="I366" i="109"/>
  <c r="J365" i="109"/>
  <c r="I365" i="109"/>
  <c r="J364" i="109"/>
  <c r="I364" i="109"/>
  <c r="J363" i="109"/>
  <c r="I363" i="109"/>
  <c r="J362" i="109"/>
  <c r="I362" i="109"/>
  <c r="J361" i="109"/>
  <c r="I361" i="109"/>
  <c r="J360" i="109"/>
  <c r="I360" i="109"/>
  <c r="J359" i="109"/>
  <c r="I359" i="109"/>
  <c r="J358" i="109"/>
  <c r="I358" i="109"/>
  <c r="J357" i="109"/>
  <c r="I357" i="109"/>
  <c r="J356" i="109"/>
  <c r="I356" i="109"/>
  <c r="J355" i="109"/>
  <c r="I355" i="109"/>
  <c r="J354" i="109"/>
  <c r="I354" i="109"/>
  <c r="J353" i="109"/>
  <c r="I353" i="109"/>
  <c r="J352" i="109"/>
  <c r="I352" i="109"/>
  <c r="J351" i="109"/>
  <c r="I351" i="109"/>
  <c r="J350" i="109"/>
  <c r="I350" i="109"/>
  <c r="J349" i="109"/>
  <c r="I349" i="109"/>
  <c r="J348" i="109"/>
  <c r="I348" i="109"/>
  <c r="J347" i="109"/>
  <c r="I347" i="109"/>
  <c r="J346" i="109"/>
  <c r="I346" i="109"/>
  <c r="J345" i="109"/>
  <c r="I345" i="109"/>
  <c r="J344" i="109"/>
  <c r="I344" i="109"/>
  <c r="J343" i="109"/>
  <c r="I343" i="109"/>
  <c r="J342" i="109"/>
  <c r="I342" i="109"/>
  <c r="J341" i="109"/>
  <c r="I341" i="109"/>
  <c r="J340" i="109"/>
  <c r="I340" i="109"/>
  <c r="J339" i="109"/>
  <c r="I339" i="109"/>
  <c r="J338" i="109"/>
  <c r="I338" i="109"/>
  <c r="J337" i="109"/>
  <c r="I337" i="109"/>
  <c r="J336" i="109"/>
  <c r="I336" i="109"/>
  <c r="J335" i="109"/>
  <c r="I335" i="109"/>
  <c r="J334" i="109"/>
  <c r="I334" i="109"/>
  <c r="J333" i="109"/>
  <c r="I333" i="109"/>
  <c r="J332" i="109"/>
  <c r="I332" i="109"/>
  <c r="J331" i="109"/>
  <c r="I331" i="109"/>
  <c r="J330" i="109"/>
  <c r="I330" i="109"/>
  <c r="J329" i="109"/>
  <c r="I329" i="109"/>
  <c r="J328" i="109"/>
  <c r="I328" i="109"/>
  <c r="J327" i="109"/>
  <c r="I327" i="109"/>
  <c r="J326" i="109"/>
  <c r="I326" i="109"/>
  <c r="J325" i="109"/>
  <c r="I325" i="109"/>
  <c r="J324" i="109"/>
  <c r="I324" i="109"/>
  <c r="J323" i="109"/>
  <c r="I323" i="109"/>
  <c r="J322" i="109"/>
  <c r="I322" i="109"/>
  <c r="J321" i="109"/>
  <c r="I321" i="109"/>
  <c r="J320" i="109"/>
  <c r="I320" i="109"/>
  <c r="J319" i="109"/>
  <c r="I319" i="109"/>
  <c r="J318" i="109"/>
  <c r="I318" i="109"/>
  <c r="J317" i="109"/>
  <c r="I317" i="109"/>
  <c r="J316" i="109"/>
  <c r="I316" i="109"/>
  <c r="J315" i="109"/>
  <c r="I315" i="109"/>
  <c r="J314" i="109"/>
  <c r="I314" i="109"/>
  <c r="J313" i="109"/>
  <c r="I313" i="109"/>
  <c r="J312" i="109"/>
  <c r="I312" i="109"/>
  <c r="J311" i="109"/>
  <c r="I311" i="109"/>
  <c r="J310" i="109"/>
  <c r="I310" i="109"/>
  <c r="J309" i="109"/>
  <c r="I309" i="109"/>
  <c r="J308" i="109"/>
  <c r="I308" i="109"/>
  <c r="J307" i="109"/>
  <c r="I307" i="109"/>
  <c r="J306" i="109"/>
  <c r="I306" i="109"/>
  <c r="J305" i="109"/>
  <c r="I305" i="109"/>
  <c r="J304" i="109"/>
  <c r="I304" i="109"/>
  <c r="J303" i="109"/>
  <c r="I303" i="109"/>
  <c r="J302" i="109"/>
  <c r="I302" i="109"/>
  <c r="J301" i="109"/>
  <c r="I301" i="109"/>
  <c r="J300" i="109"/>
  <c r="I300" i="109"/>
  <c r="J299" i="109"/>
  <c r="I299" i="109"/>
  <c r="J298" i="109"/>
  <c r="I298" i="109"/>
  <c r="J297" i="109"/>
  <c r="I297" i="109"/>
  <c r="J296" i="109"/>
  <c r="I296" i="109"/>
  <c r="J295" i="109"/>
  <c r="I295" i="109"/>
  <c r="J294" i="109"/>
  <c r="I294" i="109"/>
  <c r="J293" i="109"/>
  <c r="I293" i="109"/>
  <c r="J292" i="109"/>
  <c r="I292" i="109"/>
  <c r="J291" i="109"/>
  <c r="I291" i="109"/>
  <c r="J290" i="109"/>
  <c r="I290" i="109"/>
  <c r="J289" i="109"/>
  <c r="I289" i="109"/>
  <c r="J288" i="109"/>
  <c r="I288" i="109"/>
  <c r="J287" i="109"/>
  <c r="I287" i="109"/>
  <c r="J286" i="109"/>
  <c r="I286" i="109"/>
  <c r="J285" i="109"/>
  <c r="I285" i="109"/>
  <c r="J284" i="109"/>
  <c r="I284" i="109"/>
  <c r="J283" i="109"/>
  <c r="I283" i="109"/>
  <c r="J282" i="109"/>
  <c r="I282" i="109"/>
  <c r="J281" i="109"/>
  <c r="I281" i="109"/>
  <c r="J280" i="109"/>
  <c r="I280" i="109"/>
  <c r="J279" i="109"/>
  <c r="I279" i="109"/>
  <c r="J278" i="109"/>
  <c r="I278" i="109"/>
  <c r="J277" i="109"/>
  <c r="I277" i="109"/>
  <c r="J276" i="109"/>
  <c r="I276" i="109"/>
  <c r="J275" i="109"/>
  <c r="I275" i="109"/>
  <c r="J274" i="109"/>
  <c r="I274" i="109"/>
  <c r="J273" i="109"/>
  <c r="I273" i="109"/>
  <c r="J272" i="109"/>
  <c r="I272" i="109"/>
  <c r="J271" i="109"/>
  <c r="I271" i="109"/>
  <c r="J270" i="109"/>
  <c r="I270" i="109"/>
  <c r="J269" i="109"/>
  <c r="I269" i="109"/>
  <c r="J268" i="109"/>
  <c r="I268" i="109"/>
  <c r="J267" i="109"/>
  <c r="I267" i="109"/>
  <c r="J266" i="109"/>
  <c r="I266" i="109"/>
  <c r="J265" i="109"/>
  <c r="I265" i="109"/>
  <c r="J264" i="109"/>
  <c r="I264" i="109"/>
  <c r="J263" i="109"/>
  <c r="I263" i="109"/>
  <c r="J262" i="109"/>
  <c r="I262" i="109"/>
  <c r="J261" i="109"/>
  <c r="I261" i="109"/>
  <c r="J260" i="109"/>
  <c r="I260" i="109"/>
  <c r="J259" i="109"/>
  <c r="I259" i="109"/>
  <c r="J258" i="109"/>
  <c r="I258" i="109"/>
  <c r="J257" i="109"/>
  <c r="I257" i="109"/>
  <c r="J256" i="109"/>
  <c r="I256" i="109"/>
  <c r="J255" i="109"/>
  <c r="I255" i="109"/>
  <c r="J254" i="109"/>
  <c r="I254" i="109"/>
  <c r="J253" i="109"/>
  <c r="I253" i="109"/>
  <c r="J252" i="109"/>
  <c r="I252" i="109"/>
  <c r="J251" i="109"/>
  <c r="I251" i="109"/>
  <c r="J250" i="109"/>
  <c r="I250" i="109"/>
  <c r="J249" i="109"/>
  <c r="I249" i="109"/>
  <c r="J248" i="109"/>
  <c r="I248" i="109"/>
  <c r="J247" i="109"/>
  <c r="I247" i="109"/>
  <c r="J246" i="109"/>
  <c r="I246" i="109"/>
  <c r="J245" i="109"/>
  <c r="I245" i="109"/>
  <c r="J244" i="109"/>
  <c r="I244" i="109"/>
  <c r="J243" i="109"/>
  <c r="I243" i="109"/>
  <c r="J242" i="109"/>
  <c r="I242" i="109"/>
  <c r="J241" i="109"/>
  <c r="I241" i="109"/>
  <c r="J240" i="109"/>
  <c r="I240" i="109"/>
  <c r="J239" i="109"/>
  <c r="I239" i="109"/>
  <c r="J238" i="109"/>
  <c r="I238" i="109"/>
  <c r="J237" i="109"/>
  <c r="I237" i="109"/>
  <c r="J236" i="109"/>
  <c r="I236" i="109"/>
  <c r="J235" i="109"/>
  <c r="I235" i="109"/>
  <c r="J234" i="109"/>
  <c r="I234" i="109"/>
  <c r="J233" i="109"/>
  <c r="I233" i="109"/>
  <c r="J232" i="109"/>
  <c r="I232" i="109"/>
  <c r="J231" i="109"/>
  <c r="I231" i="109"/>
  <c r="J230" i="109"/>
  <c r="I230" i="109"/>
  <c r="J229" i="109"/>
  <c r="I229" i="109"/>
  <c r="J228" i="109"/>
  <c r="I228" i="109"/>
  <c r="J227" i="109"/>
  <c r="I227" i="109"/>
  <c r="J226" i="109"/>
  <c r="I226" i="109"/>
  <c r="J225" i="109"/>
  <c r="I225" i="109"/>
  <c r="J224" i="109"/>
  <c r="I224" i="109"/>
  <c r="J223" i="109"/>
  <c r="I223" i="109"/>
  <c r="J222" i="109"/>
  <c r="I222" i="109"/>
  <c r="J221" i="109"/>
  <c r="I221" i="109"/>
  <c r="J220" i="109"/>
  <c r="I220" i="109"/>
  <c r="J219" i="109"/>
  <c r="I219" i="109"/>
  <c r="J218" i="109"/>
  <c r="I218" i="109"/>
  <c r="J217" i="109"/>
  <c r="I217" i="109"/>
  <c r="J216" i="109"/>
  <c r="I216" i="109"/>
  <c r="J215" i="109"/>
  <c r="I215" i="109"/>
  <c r="J214" i="109"/>
  <c r="I214" i="109"/>
  <c r="J213" i="109"/>
  <c r="I213" i="109"/>
  <c r="J212" i="109"/>
  <c r="I212" i="109"/>
  <c r="J211" i="109"/>
  <c r="I211" i="109"/>
  <c r="J210" i="109"/>
  <c r="I210" i="109"/>
  <c r="J209" i="109"/>
  <c r="I209" i="109"/>
  <c r="J208" i="109"/>
  <c r="I208" i="109"/>
  <c r="J207" i="109"/>
  <c r="I207" i="109"/>
  <c r="J206" i="109"/>
  <c r="I206" i="109"/>
  <c r="J205" i="109"/>
  <c r="I205" i="109"/>
  <c r="J204" i="109"/>
  <c r="I204" i="109"/>
  <c r="J203" i="109"/>
  <c r="I203" i="109"/>
  <c r="J202" i="109"/>
  <c r="I202" i="109"/>
  <c r="J201" i="109"/>
  <c r="I201" i="109"/>
  <c r="J200" i="109"/>
  <c r="I200" i="109"/>
  <c r="J199" i="109"/>
  <c r="I199" i="109"/>
  <c r="J198" i="109"/>
  <c r="I198" i="109"/>
  <c r="J197" i="109"/>
  <c r="I197" i="109"/>
  <c r="J196" i="109"/>
  <c r="I196" i="109"/>
  <c r="J195" i="109"/>
  <c r="I195" i="109"/>
  <c r="J194" i="109"/>
  <c r="I194" i="109"/>
  <c r="J193" i="109"/>
  <c r="I193" i="109"/>
  <c r="J192" i="109"/>
  <c r="I192" i="109"/>
  <c r="J191" i="109"/>
  <c r="I191" i="109"/>
  <c r="J190" i="109"/>
  <c r="I190" i="109"/>
  <c r="J189" i="109"/>
  <c r="I189" i="109"/>
  <c r="J188" i="109"/>
  <c r="I188" i="109"/>
  <c r="J187" i="109"/>
  <c r="I187" i="109"/>
  <c r="J186" i="109"/>
  <c r="I186" i="109"/>
  <c r="J185" i="109"/>
  <c r="I185" i="109"/>
  <c r="J184" i="109"/>
  <c r="I184" i="109"/>
  <c r="J183" i="109"/>
  <c r="I183" i="109"/>
  <c r="J182" i="109"/>
  <c r="I182" i="109"/>
  <c r="J181" i="109"/>
  <c r="I181" i="109"/>
  <c r="J180" i="109"/>
  <c r="I180" i="109"/>
  <c r="J179" i="109"/>
  <c r="I179" i="109"/>
  <c r="J178" i="109"/>
  <c r="I178" i="109"/>
  <c r="J177" i="109"/>
  <c r="I177" i="109"/>
  <c r="J176" i="109"/>
  <c r="I176" i="109"/>
  <c r="J175" i="109"/>
  <c r="I175" i="109"/>
  <c r="J174" i="109"/>
  <c r="I174" i="109"/>
  <c r="J173" i="109"/>
  <c r="I173" i="109"/>
  <c r="J172" i="109"/>
  <c r="I172" i="109"/>
  <c r="J171" i="109"/>
  <c r="I171" i="109"/>
  <c r="J170" i="109"/>
  <c r="I170" i="109"/>
  <c r="J169" i="109"/>
  <c r="I169" i="109"/>
  <c r="J168" i="109"/>
  <c r="I168" i="109"/>
  <c r="J167" i="109"/>
  <c r="I167" i="109"/>
  <c r="J166" i="109"/>
  <c r="I166" i="109"/>
  <c r="J165" i="109"/>
  <c r="I165" i="109"/>
  <c r="J164" i="109"/>
  <c r="I164" i="109"/>
  <c r="J163" i="109"/>
  <c r="I163" i="109"/>
  <c r="J162" i="109"/>
  <c r="I162" i="109"/>
  <c r="J161" i="109"/>
  <c r="I161" i="109"/>
  <c r="J160" i="109"/>
  <c r="I160" i="109"/>
  <c r="J159" i="109"/>
  <c r="I159" i="109"/>
  <c r="J158" i="109"/>
  <c r="I158" i="109"/>
  <c r="J157" i="109"/>
  <c r="I157" i="109"/>
  <c r="J156" i="109"/>
  <c r="I156" i="109"/>
  <c r="J155" i="109"/>
  <c r="I155" i="109"/>
  <c r="J154" i="109"/>
  <c r="I154" i="109"/>
  <c r="J153" i="109"/>
  <c r="I153" i="109"/>
  <c r="J152" i="109"/>
  <c r="I152" i="109"/>
  <c r="J151" i="109"/>
  <c r="I151" i="109"/>
  <c r="J150" i="109"/>
  <c r="I150" i="109"/>
  <c r="J149" i="109"/>
  <c r="I149" i="109"/>
  <c r="J148" i="109"/>
  <c r="I148" i="109"/>
  <c r="J147" i="109"/>
  <c r="I147" i="109"/>
  <c r="J146" i="109"/>
  <c r="I146" i="109"/>
  <c r="J145" i="109"/>
  <c r="I145" i="109"/>
  <c r="J144" i="109"/>
  <c r="I144" i="109"/>
  <c r="J143" i="109"/>
  <c r="I143" i="109"/>
  <c r="J142" i="109"/>
  <c r="I142" i="109"/>
  <c r="J141" i="109"/>
  <c r="I141" i="109"/>
  <c r="J140" i="109"/>
  <c r="I140" i="109"/>
  <c r="J139" i="109"/>
  <c r="I139" i="109"/>
  <c r="J138" i="109"/>
  <c r="I138" i="109"/>
  <c r="J137" i="109"/>
  <c r="I137" i="109"/>
  <c r="J136" i="109"/>
  <c r="I136" i="109"/>
  <c r="J135" i="109"/>
  <c r="I135" i="109"/>
  <c r="J134" i="109"/>
  <c r="I134" i="109"/>
  <c r="J133" i="109"/>
  <c r="I133" i="109"/>
  <c r="J132" i="109"/>
  <c r="I132" i="109"/>
  <c r="J131" i="109"/>
  <c r="I131" i="109"/>
  <c r="J130" i="109"/>
  <c r="I130" i="109"/>
  <c r="J129" i="109"/>
  <c r="I129" i="109"/>
  <c r="J128" i="109"/>
  <c r="I128" i="109"/>
  <c r="J127" i="109"/>
  <c r="I127" i="109"/>
  <c r="J126" i="109"/>
  <c r="I126" i="109"/>
  <c r="J125" i="109"/>
  <c r="I125" i="109"/>
  <c r="J124" i="109"/>
  <c r="I124" i="109"/>
  <c r="J123" i="109"/>
  <c r="I123" i="109"/>
  <c r="J122" i="109"/>
  <c r="I122" i="109"/>
  <c r="J121" i="109"/>
  <c r="I121" i="109"/>
  <c r="J120" i="109"/>
  <c r="I120" i="109"/>
  <c r="J119" i="109"/>
  <c r="I119" i="109"/>
  <c r="J118" i="109"/>
  <c r="I118" i="109"/>
  <c r="J117" i="109"/>
  <c r="I117" i="109"/>
  <c r="J116" i="109"/>
  <c r="I116" i="109"/>
  <c r="J115" i="109"/>
  <c r="I115" i="109"/>
  <c r="J114" i="109"/>
  <c r="I114" i="109"/>
  <c r="J113" i="109"/>
  <c r="I113" i="109"/>
  <c r="J112" i="109"/>
  <c r="I112" i="109"/>
  <c r="J111" i="109"/>
  <c r="I111" i="109"/>
  <c r="J110" i="109"/>
  <c r="I110" i="109"/>
  <c r="J109" i="109"/>
  <c r="I109" i="109"/>
  <c r="J108" i="109"/>
  <c r="I108" i="109"/>
  <c r="J107" i="109"/>
  <c r="I107" i="109"/>
  <c r="J106" i="109"/>
  <c r="I106" i="109"/>
  <c r="J105" i="109"/>
  <c r="I105" i="109"/>
  <c r="J104" i="109"/>
  <c r="I104" i="109"/>
  <c r="J103" i="109"/>
  <c r="I103" i="109"/>
  <c r="J102" i="109"/>
  <c r="I102" i="109"/>
  <c r="J101" i="109"/>
  <c r="I101" i="109"/>
  <c r="J100" i="109"/>
  <c r="I100" i="109"/>
  <c r="J99" i="109"/>
  <c r="I99" i="109"/>
  <c r="J98" i="109"/>
  <c r="I98" i="109"/>
  <c r="J97" i="109"/>
  <c r="I97" i="109"/>
  <c r="J96" i="109"/>
  <c r="I96" i="109"/>
  <c r="J95" i="109"/>
  <c r="I95" i="109"/>
  <c r="J94" i="109"/>
  <c r="I94" i="109"/>
  <c r="J93" i="109"/>
  <c r="I93" i="109"/>
  <c r="J92" i="109"/>
  <c r="I92" i="109"/>
  <c r="J91" i="109"/>
  <c r="I91" i="109"/>
  <c r="J90" i="109"/>
  <c r="I90" i="109"/>
  <c r="J89" i="109"/>
  <c r="I89" i="109"/>
  <c r="J88" i="109"/>
  <c r="I88" i="109"/>
  <c r="J87" i="109"/>
  <c r="I87" i="109"/>
  <c r="J86" i="109"/>
  <c r="I86" i="109"/>
  <c r="J85" i="109"/>
  <c r="I85" i="109"/>
  <c r="J84" i="109"/>
  <c r="I84" i="109"/>
  <c r="J83" i="109"/>
  <c r="I83" i="109"/>
  <c r="J82" i="109"/>
  <c r="I82" i="109"/>
  <c r="J81" i="109"/>
  <c r="I81" i="109"/>
  <c r="J80" i="109"/>
  <c r="I80" i="109"/>
  <c r="J79" i="109"/>
  <c r="I79" i="109"/>
  <c r="J78" i="109"/>
  <c r="I78" i="109"/>
  <c r="J77" i="109"/>
  <c r="I77" i="109"/>
  <c r="J76" i="109"/>
  <c r="I76" i="109"/>
  <c r="J75" i="109"/>
  <c r="I75" i="109"/>
  <c r="J74" i="109"/>
  <c r="I74" i="109"/>
  <c r="J73" i="109"/>
  <c r="I73" i="109"/>
  <c r="J72" i="109"/>
  <c r="I72" i="109"/>
  <c r="J71" i="109"/>
  <c r="I71" i="109"/>
  <c r="J70" i="109"/>
  <c r="I70" i="109"/>
  <c r="J69" i="109"/>
  <c r="I69" i="109"/>
  <c r="J68" i="109"/>
  <c r="I68" i="109"/>
  <c r="J67" i="109"/>
  <c r="I67" i="109"/>
  <c r="J66" i="109"/>
  <c r="I66" i="109"/>
  <c r="J65" i="109"/>
  <c r="I65" i="109"/>
  <c r="J64" i="109"/>
  <c r="I64" i="109"/>
  <c r="J63" i="109"/>
  <c r="I63" i="109"/>
  <c r="J62" i="109"/>
  <c r="I62" i="109"/>
  <c r="J61" i="109"/>
  <c r="I61" i="109"/>
  <c r="J60" i="109"/>
  <c r="I60" i="109"/>
  <c r="J59" i="109"/>
  <c r="I59" i="109"/>
  <c r="J58" i="109"/>
  <c r="I58" i="109"/>
  <c r="J57" i="109"/>
  <c r="I57" i="109"/>
  <c r="J56" i="109"/>
  <c r="I56" i="109"/>
  <c r="J55" i="109"/>
  <c r="I55" i="109"/>
  <c r="J54" i="109"/>
  <c r="I54" i="109"/>
  <c r="J53" i="109"/>
  <c r="I53" i="109"/>
  <c r="J52" i="109"/>
  <c r="I52" i="109"/>
  <c r="J51" i="109"/>
  <c r="I51" i="109"/>
  <c r="J50" i="109"/>
  <c r="I50" i="109"/>
  <c r="J49" i="109"/>
  <c r="I49" i="109"/>
  <c r="J48" i="109"/>
  <c r="I48" i="109"/>
  <c r="J47" i="109"/>
  <c r="I47" i="109"/>
  <c r="J46" i="109"/>
  <c r="I46" i="109"/>
  <c r="J45" i="109"/>
  <c r="I45" i="109"/>
  <c r="J44" i="109"/>
  <c r="I44" i="109"/>
  <c r="J43" i="109"/>
  <c r="I43" i="109"/>
  <c r="J42" i="109"/>
  <c r="I42" i="109"/>
  <c r="J41" i="109"/>
  <c r="I41" i="109"/>
  <c r="J40" i="109"/>
  <c r="I40" i="109"/>
  <c r="J39" i="109"/>
  <c r="I39" i="109"/>
  <c r="J38" i="109"/>
  <c r="I38" i="109"/>
  <c r="J37" i="109"/>
  <c r="I37" i="109"/>
  <c r="J36" i="109"/>
  <c r="I36" i="109"/>
  <c r="J35" i="109"/>
  <c r="I35" i="109"/>
  <c r="J34" i="109"/>
  <c r="I34" i="109"/>
  <c r="J33" i="109"/>
  <c r="I33" i="109"/>
  <c r="J32" i="109"/>
  <c r="I32" i="109"/>
  <c r="J31" i="109"/>
  <c r="I31" i="109"/>
  <c r="J30" i="109"/>
  <c r="I30" i="109"/>
  <c r="J29" i="109"/>
  <c r="I29" i="109"/>
  <c r="J28" i="109"/>
  <c r="I28" i="109"/>
  <c r="J27" i="109"/>
  <c r="I27" i="109"/>
  <c r="J26" i="109"/>
  <c r="I26" i="109"/>
  <c r="J25" i="109"/>
  <c r="I25" i="109"/>
  <c r="J24" i="109"/>
  <c r="I24" i="109"/>
  <c r="J23" i="109"/>
  <c r="I23" i="109"/>
  <c r="J22" i="109"/>
  <c r="I22" i="109"/>
  <c r="J21" i="109"/>
  <c r="I21" i="109"/>
  <c r="J20" i="109"/>
  <c r="I20" i="109"/>
  <c r="J19" i="109"/>
  <c r="I19" i="109"/>
  <c r="J18" i="109"/>
  <c r="I18" i="109"/>
  <c r="J17" i="109"/>
  <c r="I17" i="109"/>
  <c r="J16" i="109"/>
  <c r="I16" i="109"/>
  <c r="J15" i="109"/>
  <c r="I15" i="109"/>
  <c r="J14" i="109"/>
  <c r="I14" i="109"/>
  <c r="J13" i="109"/>
  <c r="I13" i="109"/>
  <c r="J12" i="109"/>
  <c r="I12" i="109"/>
  <c r="J11" i="109"/>
  <c r="I11" i="109"/>
  <c r="J10" i="109"/>
  <c r="I10" i="109"/>
  <c r="J9" i="109"/>
  <c r="I9" i="109"/>
  <c r="J8" i="109"/>
  <c r="I8" i="109"/>
  <c r="J7" i="109"/>
  <c r="I7" i="109"/>
  <c r="J6" i="109"/>
  <c r="I6" i="109"/>
  <c r="J5" i="109"/>
  <c r="I5" i="109"/>
  <c r="J4" i="109"/>
  <c r="I4" i="109"/>
  <c r="J3" i="109"/>
  <c r="I3" i="109"/>
  <c r="I2" i="109"/>
  <c r="J390" i="108"/>
  <c r="I390" i="108"/>
  <c r="J389" i="108"/>
  <c r="I389" i="108"/>
  <c r="J388" i="108"/>
  <c r="I388" i="108"/>
  <c r="J387" i="108"/>
  <c r="I387" i="108"/>
  <c r="J386" i="108"/>
  <c r="I386" i="108"/>
  <c r="J385" i="108"/>
  <c r="I385" i="108"/>
  <c r="J384" i="108"/>
  <c r="I384" i="108"/>
  <c r="J383" i="108"/>
  <c r="I383" i="108"/>
  <c r="J382" i="108"/>
  <c r="I382" i="108"/>
  <c r="J381" i="108"/>
  <c r="I381" i="108"/>
  <c r="J380" i="108"/>
  <c r="I380" i="108"/>
  <c r="J379" i="108"/>
  <c r="I379" i="108"/>
  <c r="J378" i="108"/>
  <c r="I378" i="108"/>
  <c r="J377" i="108"/>
  <c r="I377" i="108"/>
  <c r="J376" i="108"/>
  <c r="I376" i="108"/>
  <c r="J375" i="108"/>
  <c r="I375" i="108"/>
  <c r="J374" i="108"/>
  <c r="I374" i="108"/>
  <c r="J373" i="108"/>
  <c r="I373" i="108"/>
  <c r="J372" i="108"/>
  <c r="I372" i="108"/>
  <c r="J371" i="108"/>
  <c r="I371" i="108"/>
  <c r="J370" i="108"/>
  <c r="I370" i="108"/>
  <c r="J369" i="108"/>
  <c r="I369" i="108"/>
  <c r="J368" i="108"/>
  <c r="I368" i="108"/>
  <c r="J367" i="108"/>
  <c r="I367" i="108"/>
  <c r="J366" i="108"/>
  <c r="I366" i="108"/>
  <c r="J365" i="108"/>
  <c r="I365" i="108"/>
  <c r="J364" i="108"/>
  <c r="I364" i="108"/>
  <c r="J363" i="108"/>
  <c r="I363" i="108"/>
  <c r="J362" i="108"/>
  <c r="I362" i="108"/>
  <c r="J361" i="108"/>
  <c r="I361" i="108"/>
  <c r="J360" i="108"/>
  <c r="I360" i="108"/>
  <c r="J359" i="108"/>
  <c r="I359" i="108"/>
  <c r="J358" i="108"/>
  <c r="I358" i="108"/>
  <c r="J357" i="108"/>
  <c r="I357" i="108"/>
  <c r="J356" i="108"/>
  <c r="I356" i="108"/>
  <c r="J355" i="108"/>
  <c r="I355" i="108"/>
  <c r="J354" i="108"/>
  <c r="I354" i="108"/>
  <c r="J353" i="108"/>
  <c r="I353" i="108"/>
  <c r="J352" i="108"/>
  <c r="I352" i="108"/>
  <c r="J351" i="108"/>
  <c r="I351" i="108"/>
  <c r="J350" i="108"/>
  <c r="I350" i="108"/>
  <c r="J349" i="108"/>
  <c r="I349" i="108"/>
  <c r="J348" i="108"/>
  <c r="I348" i="108"/>
  <c r="J347" i="108"/>
  <c r="I347" i="108"/>
  <c r="J346" i="108"/>
  <c r="I346" i="108"/>
  <c r="J345" i="108"/>
  <c r="I345" i="108"/>
  <c r="J344" i="108"/>
  <c r="I344" i="108"/>
  <c r="J343" i="108"/>
  <c r="I343" i="108"/>
  <c r="J342" i="108"/>
  <c r="I342" i="108"/>
  <c r="J341" i="108"/>
  <c r="I341" i="108"/>
  <c r="J340" i="108"/>
  <c r="I340" i="108"/>
  <c r="J339" i="108"/>
  <c r="I339" i="108"/>
  <c r="J338" i="108"/>
  <c r="I338" i="108"/>
  <c r="J337" i="108"/>
  <c r="I337" i="108"/>
  <c r="J336" i="108"/>
  <c r="I336" i="108"/>
  <c r="J335" i="108"/>
  <c r="I335" i="108"/>
  <c r="J334" i="108"/>
  <c r="I334" i="108"/>
  <c r="J333" i="108"/>
  <c r="I333" i="108"/>
  <c r="J332" i="108"/>
  <c r="I332" i="108"/>
  <c r="J331" i="108"/>
  <c r="I331" i="108"/>
  <c r="J330" i="108"/>
  <c r="I330" i="108"/>
  <c r="J329" i="108"/>
  <c r="I329" i="108"/>
  <c r="J328" i="108"/>
  <c r="I328" i="108"/>
  <c r="J327" i="108"/>
  <c r="I327" i="108"/>
  <c r="J326" i="108"/>
  <c r="I326" i="108"/>
  <c r="J325" i="108"/>
  <c r="I325" i="108"/>
  <c r="J324" i="108"/>
  <c r="I324" i="108"/>
  <c r="J323" i="108"/>
  <c r="I323" i="108"/>
  <c r="J322" i="108"/>
  <c r="I322" i="108"/>
  <c r="J321" i="108"/>
  <c r="I321" i="108"/>
  <c r="J320" i="108"/>
  <c r="I320" i="108"/>
  <c r="J319" i="108"/>
  <c r="I319" i="108"/>
  <c r="J318" i="108"/>
  <c r="I318" i="108"/>
  <c r="J317" i="108"/>
  <c r="I317" i="108"/>
  <c r="J316" i="108"/>
  <c r="I316" i="108"/>
  <c r="J315" i="108"/>
  <c r="I315" i="108"/>
  <c r="J314" i="108"/>
  <c r="I314" i="108"/>
  <c r="J313" i="108"/>
  <c r="I313" i="108"/>
  <c r="J312" i="108"/>
  <c r="I312" i="108"/>
  <c r="J311" i="108"/>
  <c r="I311" i="108"/>
  <c r="J310" i="108"/>
  <c r="I310" i="108"/>
  <c r="J309" i="108"/>
  <c r="I309" i="108"/>
  <c r="J308" i="108"/>
  <c r="I308" i="108"/>
  <c r="J307" i="108"/>
  <c r="I307" i="108"/>
  <c r="J306" i="108"/>
  <c r="I306" i="108"/>
  <c r="J305" i="108"/>
  <c r="I305" i="108"/>
  <c r="J304" i="108"/>
  <c r="I304" i="108"/>
  <c r="J303" i="108"/>
  <c r="I303" i="108"/>
  <c r="J302" i="108"/>
  <c r="I302" i="108"/>
  <c r="J301" i="108"/>
  <c r="I301" i="108"/>
  <c r="J300" i="108"/>
  <c r="I300" i="108"/>
  <c r="J299" i="108"/>
  <c r="I299" i="108"/>
  <c r="J298" i="108"/>
  <c r="I298" i="108"/>
  <c r="J297" i="108"/>
  <c r="I297" i="108"/>
  <c r="J296" i="108"/>
  <c r="I296" i="108"/>
  <c r="J295" i="108"/>
  <c r="I295" i="108"/>
  <c r="J294" i="108"/>
  <c r="I294" i="108"/>
  <c r="J293" i="108"/>
  <c r="I293" i="108"/>
  <c r="J292" i="108"/>
  <c r="I292" i="108"/>
  <c r="J291" i="108"/>
  <c r="I291" i="108"/>
  <c r="J290" i="108"/>
  <c r="I290" i="108"/>
  <c r="J289" i="108"/>
  <c r="I289" i="108"/>
  <c r="J288" i="108"/>
  <c r="I288" i="108"/>
  <c r="J287" i="108"/>
  <c r="I287" i="108"/>
  <c r="J286" i="108"/>
  <c r="I286" i="108"/>
  <c r="J285" i="108"/>
  <c r="I285" i="108"/>
  <c r="J284" i="108"/>
  <c r="I284" i="108"/>
  <c r="J283" i="108"/>
  <c r="I283" i="108"/>
  <c r="J282" i="108"/>
  <c r="I282" i="108"/>
  <c r="J281" i="108"/>
  <c r="I281" i="108"/>
  <c r="J280" i="108"/>
  <c r="I280" i="108"/>
  <c r="J279" i="108"/>
  <c r="I279" i="108"/>
  <c r="J278" i="108"/>
  <c r="I278" i="108"/>
  <c r="J277" i="108"/>
  <c r="I277" i="108"/>
  <c r="J276" i="108"/>
  <c r="I276" i="108"/>
  <c r="J275" i="108"/>
  <c r="I275" i="108"/>
  <c r="J274" i="108"/>
  <c r="I274" i="108"/>
  <c r="J273" i="108"/>
  <c r="I273" i="108"/>
  <c r="J272" i="108"/>
  <c r="I272" i="108"/>
  <c r="J271" i="108"/>
  <c r="I271" i="108"/>
  <c r="J270" i="108"/>
  <c r="I270" i="108"/>
  <c r="J269" i="108"/>
  <c r="I269" i="108"/>
  <c r="J268" i="108"/>
  <c r="I268" i="108"/>
  <c r="J267" i="108"/>
  <c r="I267" i="108"/>
  <c r="J266" i="108"/>
  <c r="I266" i="108"/>
  <c r="J265" i="108"/>
  <c r="I265" i="108"/>
  <c r="J264" i="108"/>
  <c r="I264" i="108"/>
  <c r="J263" i="108"/>
  <c r="I263" i="108"/>
  <c r="J262" i="108"/>
  <c r="I262" i="108"/>
  <c r="J261" i="108"/>
  <c r="I261" i="108"/>
  <c r="J260" i="108"/>
  <c r="I260" i="108"/>
  <c r="J259" i="108"/>
  <c r="I259" i="108"/>
  <c r="J258" i="108"/>
  <c r="I258" i="108"/>
  <c r="J257" i="108"/>
  <c r="I257" i="108"/>
  <c r="J256" i="108"/>
  <c r="I256" i="108"/>
  <c r="J255" i="108"/>
  <c r="I255" i="108"/>
  <c r="J254" i="108"/>
  <c r="I254" i="108"/>
  <c r="J253" i="108"/>
  <c r="I253" i="108"/>
  <c r="J252" i="108"/>
  <c r="I252" i="108"/>
  <c r="J251" i="108"/>
  <c r="I251" i="108"/>
  <c r="J250" i="108"/>
  <c r="I250" i="108"/>
  <c r="J249" i="108"/>
  <c r="I249" i="108"/>
  <c r="J248" i="108"/>
  <c r="I248" i="108"/>
  <c r="J247" i="108"/>
  <c r="I247" i="108"/>
  <c r="J246" i="108"/>
  <c r="I246" i="108"/>
  <c r="J245" i="108"/>
  <c r="I245" i="108"/>
  <c r="J244" i="108"/>
  <c r="I244" i="108"/>
  <c r="J243" i="108"/>
  <c r="I243" i="108"/>
  <c r="J242" i="108"/>
  <c r="I242" i="108"/>
  <c r="J241" i="108"/>
  <c r="I241" i="108"/>
  <c r="J240" i="108"/>
  <c r="I240" i="108"/>
  <c r="J239" i="108"/>
  <c r="I239" i="108"/>
  <c r="J238" i="108"/>
  <c r="I238" i="108"/>
  <c r="J237" i="108"/>
  <c r="I237" i="108"/>
  <c r="J236" i="108"/>
  <c r="I236" i="108"/>
  <c r="J235" i="108"/>
  <c r="I235" i="108"/>
  <c r="J234" i="108"/>
  <c r="I234" i="108"/>
  <c r="J233" i="108"/>
  <c r="I233" i="108"/>
  <c r="J232" i="108"/>
  <c r="I232" i="108"/>
  <c r="J231" i="108"/>
  <c r="I231" i="108"/>
  <c r="J230" i="108"/>
  <c r="I230" i="108"/>
  <c r="J229" i="108"/>
  <c r="I229" i="108"/>
  <c r="J228" i="108"/>
  <c r="I228" i="108"/>
  <c r="J227" i="108"/>
  <c r="I227" i="108"/>
  <c r="J226" i="108"/>
  <c r="I226" i="108"/>
  <c r="J225" i="108"/>
  <c r="I225" i="108"/>
  <c r="J224" i="108"/>
  <c r="I224" i="108"/>
  <c r="J223" i="108"/>
  <c r="I223" i="108"/>
  <c r="J222" i="108"/>
  <c r="I222" i="108"/>
  <c r="J221" i="108"/>
  <c r="I221" i="108"/>
  <c r="J220" i="108"/>
  <c r="I220" i="108"/>
  <c r="J219" i="108"/>
  <c r="I219" i="108"/>
  <c r="J218" i="108"/>
  <c r="I218" i="108"/>
  <c r="J217" i="108"/>
  <c r="I217" i="108"/>
  <c r="J216" i="108"/>
  <c r="I216" i="108"/>
  <c r="J215" i="108"/>
  <c r="I215" i="108"/>
  <c r="J214" i="108"/>
  <c r="I214" i="108"/>
  <c r="J213" i="108"/>
  <c r="I213" i="108"/>
  <c r="J212" i="108"/>
  <c r="I212" i="108"/>
  <c r="J211" i="108"/>
  <c r="I211" i="108"/>
  <c r="J210" i="108"/>
  <c r="I210" i="108"/>
  <c r="J209" i="108"/>
  <c r="I209" i="108"/>
  <c r="J208" i="108"/>
  <c r="I208" i="108"/>
  <c r="J207" i="108"/>
  <c r="I207" i="108"/>
  <c r="J206" i="108"/>
  <c r="I206" i="108"/>
  <c r="J205" i="108"/>
  <c r="I205" i="108"/>
  <c r="J204" i="108"/>
  <c r="I204" i="108"/>
  <c r="J203" i="108"/>
  <c r="I203" i="108"/>
  <c r="J202" i="108"/>
  <c r="I202" i="108"/>
  <c r="J201" i="108"/>
  <c r="I201" i="108"/>
  <c r="J200" i="108"/>
  <c r="I200" i="108"/>
  <c r="J199" i="108"/>
  <c r="I199" i="108"/>
  <c r="J198" i="108"/>
  <c r="I198" i="108"/>
  <c r="J197" i="108"/>
  <c r="I197" i="108"/>
  <c r="J196" i="108"/>
  <c r="I196" i="108"/>
  <c r="J195" i="108"/>
  <c r="I195" i="108"/>
  <c r="J194" i="108"/>
  <c r="I194" i="108"/>
  <c r="J193" i="108"/>
  <c r="I193" i="108"/>
  <c r="J192" i="108"/>
  <c r="I192" i="108"/>
  <c r="J191" i="108"/>
  <c r="I191" i="108"/>
  <c r="J190" i="108"/>
  <c r="I190" i="108"/>
  <c r="J189" i="108"/>
  <c r="I189" i="108"/>
  <c r="J188" i="108"/>
  <c r="I188" i="108"/>
  <c r="J187" i="108"/>
  <c r="I187" i="108"/>
  <c r="J186" i="108"/>
  <c r="I186" i="108"/>
  <c r="J185" i="108"/>
  <c r="I185" i="108"/>
  <c r="J184" i="108"/>
  <c r="I184" i="108"/>
  <c r="J183" i="108"/>
  <c r="I183" i="108"/>
  <c r="J182" i="108"/>
  <c r="I182" i="108"/>
  <c r="J181" i="108"/>
  <c r="I181" i="108"/>
  <c r="J180" i="108"/>
  <c r="I180" i="108"/>
  <c r="J179" i="108"/>
  <c r="I179" i="108"/>
  <c r="J178" i="108"/>
  <c r="I178" i="108"/>
  <c r="J177" i="108"/>
  <c r="I177" i="108"/>
  <c r="J176" i="108"/>
  <c r="I176" i="108"/>
  <c r="J175" i="108"/>
  <c r="I175" i="108"/>
  <c r="J174" i="108"/>
  <c r="I174" i="108"/>
  <c r="J173" i="108"/>
  <c r="I173" i="108"/>
  <c r="J172" i="108"/>
  <c r="I172" i="108"/>
  <c r="J171" i="108"/>
  <c r="I171" i="108"/>
  <c r="J170" i="108"/>
  <c r="I170" i="108"/>
  <c r="J169" i="108"/>
  <c r="I169" i="108"/>
  <c r="J168" i="108"/>
  <c r="I168" i="108"/>
  <c r="J167" i="108"/>
  <c r="I167" i="108"/>
  <c r="J166" i="108"/>
  <c r="I166" i="108"/>
  <c r="J165" i="108"/>
  <c r="I165" i="108"/>
  <c r="J164" i="108"/>
  <c r="I164" i="108"/>
  <c r="J163" i="108"/>
  <c r="I163" i="108"/>
  <c r="J162" i="108"/>
  <c r="I162" i="108"/>
  <c r="J161" i="108"/>
  <c r="I161" i="108"/>
  <c r="J160" i="108"/>
  <c r="I160" i="108"/>
  <c r="J159" i="108"/>
  <c r="I159" i="108"/>
  <c r="J158" i="108"/>
  <c r="I158" i="108"/>
  <c r="J157" i="108"/>
  <c r="I157" i="108"/>
  <c r="J156" i="108"/>
  <c r="I156" i="108"/>
  <c r="J155" i="108"/>
  <c r="I155" i="108"/>
  <c r="J154" i="108"/>
  <c r="I154" i="108"/>
  <c r="J153" i="108"/>
  <c r="I153" i="108"/>
  <c r="J152" i="108"/>
  <c r="I152" i="108"/>
  <c r="J151" i="108"/>
  <c r="I151" i="108"/>
  <c r="J150" i="108"/>
  <c r="I150" i="108"/>
  <c r="J149" i="108"/>
  <c r="I149" i="108"/>
  <c r="J148" i="108"/>
  <c r="I148" i="108"/>
  <c r="J147" i="108"/>
  <c r="I147" i="108"/>
  <c r="J146" i="108"/>
  <c r="I146" i="108"/>
  <c r="J145" i="108"/>
  <c r="I145" i="108"/>
  <c r="J144" i="108"/>
  <c r="I144" i="108"/>
  <c r="J143" i="108"/>
  <c r="I143" i="108"/>
  <c r="J142" i="108"/>
  <c r="I142" i="108"/>
  <c r="J141" i="108"/>
  <c r="I141" i="108"/>
  <c r="J140" i="108"/>
  <c r="I140" i="108"/>
  <c r="J139" i="108"/>
  <c r="I139" i="108"/>
  <c r="J138" i="108"/>
  <c r="I138" i="108"/>
  <c r="J137" i="108"/>
  <c r="I137" i="108"/>
  <c r="J136" i="108"/>
  <c r="I136" i="108"/>
  <c r="J135" i="108"/>
  <c r="I135" i="108"/>
  <c r="J134" i="108"/>
  <c r="I134" i="108"/>
  <c r="J133" i="108"/>
  <c r="I133" i="108"/>
  <c r="J132" i="108"/>
  <c r="I132" i="108"/>
  <c r="J131" i="108"/>
  <c r="I131" i="108"/>
  <c r="J130" i="108"/>
  <c r="I130" i="108"/>
  <c r="J129" i="108"/>
  <c r="I129" i="108"/>
  <c r="J128" i="108"/>
  <c r="I128" i="108"/>
  <c r="J127" i="108"/>
  <c r="I127" i="108"/>
  <c r="J126" i="108"/>
  <c r="I126" i="108"/>
  <c r="J125" i="108"/>
  <c r="I125" i="108"/>
  <c r="J124" i="108"/>
  <c r="I124" i="108"/>
  <c r="J123" i="108"/>
  <c r="I123" i="108"/>
  <c r="J122" i="108"/>
  <c r="I122" i="108"/>
  <c r="J121" i="108"/>
  <c r="I121" i="108"/>
  <c r="J120" i="108"/>
  <c r="I120" i="108"/>
  <c r="J119" i="108"/>
  <c r="I119" i="108"/>
  <c r="J118" i="108"/>
  <c r="I118" i="108"/>
  <c r="J117" i="108"/>
  <c r="I117" i="108"/>
  <c r="J116" i="108"/>
  <c r="I116" i="108"/>
  <c r="J115" i="108"/>
  <c r="I115" i="108"/>
  <c r="J114" i="108"/>
  <c r="I114" i="108"/>
  <c r="J113" i="108"/>
  <c r="I113" i="108"/>
  <c r="J112" i="108"/>
  <c r="I112" i="108"/>
  <c r="J111" i="108"/>
  <c r="I111" i="108"/>
  <c r="J110" i="108"/>
  <c r="I110" i="108"/>
  <c r="J109" i="108"/>
  <c r="I109" i="108"/>
  <c r="J108" i="108"/>
  <c r="I108" i="108"/>
  <c r="J107" i="108"/>
  <c r="I107" i="108"/>
  <c r="J106" i="108"/>
  <c r="I106" i="108"/>
  <c r="J105" i="108"/>
  <c r="I105" i="108"/>
  <c r="J104" i="108"/>
  <c r="I104" i="108"/>
  <c r="J103" i="108"/>
  <c r="I103" i="108"/>
  <c r="J102" i="108"/>
  <c r="I102" i="108"/>
  <c r="J101" i="108"/>
  <c r="I101" i="108"/>
  <c r="J100" i="108"/>
  <c r="I100" i="108"/>
  <c r="J99" i="108"/>
  <c r="I99" i="108"/>
  <c r="J98" i="108"/>
  <c r="I98" i="108"/>
  <c r="J97" i="108"/>
  <c r="I97" i="108"/>
  <c r="J96" i="108"/>
  <c r="I96" i="108"/>
  <c r="J95" i="108"/>
  <c r="I95" i="108"/>
  <c r="J94" i="108"/>
  <c r="I94" i="108"/>
  <c r="J93" i="108"/>
  <c r="I93" i="108"/>
  <c r="J92" i="108"/>
  <c r="I92" i="108"/>
  <c r="J91" i="108"/>
  <c r="I91" i="108"/>
  <c r="J90" i="108"/>
  <c r="I90" i="108"/>
  <c r="J89" i="108"/>
  <c r="I89" i="108"/>
  <c r="J88" i="108"/>
  <c r="I88" i="108"/>
  <c r="J87" i="108"/>
  <c r="I87" i="108"/>
  <c r="J86" i="108"/>
  <c r="I86" i="108"/>
  <c r="J85" i="108"/>
  <c r="I85" i="108"/>
  <c r="J84" i="108"/>
  <c r="I84" i="108"/>
  <c r="J83" i="108"/>
  <c r="I83" i="108"/>
  <c r="J82" i="108"/>
  <c r="I82" i="108"/>
  <c r="J81" i="108"/>
  <c r="I81" i="108"/>
  <c r="J80" i="108"/>
  <c r="I80" i="108"/>
  <c r="J79" i="108"/>
  <c r="I79" i="108"/>
  <c r="J78" i="108"/>
  <c r="I78" i="108"/>
  <c r="J77" i="108"/>
  <c r="I77" i="108"/>
  <c r="J76" i="108"/>
  <c r="I76" i="108"/>
  <c r="J75" i="108"/>
  <c r="I75" i="108"/>
  <c r="J74" i="108"/>
  <c r="I74" i="108"/>
  <c r="J73" i="108"/>
  <c r="I73" i="108"/>
  <c r="J72" i="108"/>
  <c r="I72" i="108"/>
  <c r="J71" i="108"/>
  <c r="I71" i="108"/>
  <c r="J70" i="108"/>
  <c r="I70" i="108"/>
  <c r="J69" i="108"/>
  <c r="I69" i="108"/>
  <c r="J68" i="108"/>
  <c r="I68" i="108"/>
  <c r="J67" i="108"/>
  <c r="I67" i="108"/>
  <c r="J66" i="108"/>
  <c r="I66" i="108"/>
  <c r="J65" i="108"/>
  <c r="I65" i="108"/>
  <c r="J64" i="108"/>
  <c r="I64" i="108"/>
  <c r="J63" i="108"/>
  <c r="I63" i="108"/>
  <c r="J62" i="108"/>
  <c r="I62" i="108"/>
  <c r="J61" i="108"/>
  <c r="I61" i="108"/>
  <c r="J60" i="108"/>
  <c r="I60" i="108"/>
  <c r="J59" i="108"/>
  <c r="I59" i="108"/>
  <c r="J58" i="108"/>
  <c r="I58" i="108"/>
  <c r="J57" i="108"/>
  <c r="I57" i="108"/>
  <c r="J56" i="108"/>
  <c r="I56" i="108"/>
  <c r="J55" i="108"/>
  <c r="I55" i="108"/>
  <c r="J54" i="108"/>
  <c r="I54" i="108"/>
  <c r="J53" i="108"/>
  <c r="I53" i="108"/>
  <c r="J52" i="108"/>
  <c r="I52" i="108"/>
  <c r="J51" i="108"/>
  <c r="I51" i="108"/>
  <c r="J50" i="108"/>
  <c r="I50" i="108"/>
  <c r="J49" i="108"/>
  <c r="I49" i="108"/>
  <c r="J48" i="108"/>
  <c r="I48" i="108"/>
  <c r="J47" i="108"/>
  <c r="I47" i="108"/>
  <c r="J46" i="108"/>
  <c r="I46" i="108"/>
  <c r="J45" i="108"/>
  <c r="I45" i="108"/>
  <c r="J44" i="108"/>
  <c r="I44" i="108"/>
  <c r="J43" i="108"/>
  <c r="I43" i="108"/>
  <c r="J42" i="108"/>
  <c r="I42" i="108"/>
  <c r="J41" i="108"/>
  <c r="I41" i="108"/>
  <c r="J40" i="108"/>
  <c r="I40" i="108"/>
  <c r="J39" i="108"/>
  <c r="I39" i="108"/>
  <c r="J38" i="108"/>
  <c r="I38" i="108"/>
  <c r="J37" i="108"/>
  <c r="I37" i="108"/>
  <c r="J36" i="108"/>
  <c r="I36" i="108"/>
  <c r="J35" i="108"/>
  <c r="I35" i="108"/>
  <c r="J34" i="108"/>
  <c r="I34" i="108"/>
  <c r="J33" i="108"/>
  <c r="I33" i="108"/>
  <c r="J32" i="108"/>
  <c r="I32" i="108"/>
  <c r="J31" i="108"/>
  <c r="I31" i="108"/>
  <c r="J30" i="108"/>
  <c r="I30" i="108"/>
  <c r="J29" i="108"/>
  <c r="I29" i="108"/>
  <c r="J28" i="108"/>
  <c r="I28" i="108"/>
  <c r="J27" i="108"/>
  <c r="I27" i="108"/>
  <c r="J26" i="108"/>
  <c r="I26" i="108"/>
  <c r="J25" i="108"/>
  <c r="I25" i="108"/>
  <c r="J24" i="108"/>
  <c r="I24" i="108"/>
  <c r="J23" i="108"/>
  <c r="I23" i="108"/>
  <c r="J22" i="108"/>
  <c r="I22" i="108"/>
  <c r="J21" i="108"/>
  <c r="I21" i="108"/>
  <c r="J20" i="108"/>
  <c r="I20" i="108"/>
  <c r="J19" i="108"/>
  <c r="I19" i="108"/>
  <c r="J18" i="108"/>
  <c r="I18" i="108"/>
  <c r="J17" i="108"/>
  <c r="I17" i="108"/>
  <c r="J16" i="108"/>
  <c r="I16" i="108"/>
  <c r="J15" i="108"/>
  <c r="I15" i="108"/>
  <c r="J14" i="108"/>
  <c r="I14" i="108"/>
  <c r="J13" i="108"/>
  <c r="I13" i="108"/>
  <c r="J12" i="108"/>
  <c r="I12" i="108"/>
  <c r="J11" i="108"/>
  <c r="I11" i="108"/>
  <c r="J10" i="108"/>
  <c r="I10" i="108"/>
  <c r="J9" i="108"/>
  <c r="I9" i="108"/>
  <c r="J8" i="108"/>
  <c r="I8" i="108"/>
  <c r="J7" i="108"/>
  <c r="I7" i="108"/>
  <c r="J6" i="108"/>
  <c r="I6" i="108"/>
  <c r="J5" i="108"/>
  <c r="I5" i="108"/>
  <c r="J4" i="108"/>
  <c r="I4" i="108"/>
  <c r="J3" i="108"/>
  <c r="I3" i="108"/>
  <c r="I2" i="108"/>
  <c r="J390" i="107"/>
  <c r="I390" i="107"/>
  <c r="J389" i="107"/>
  <c r="I389" i="107"/>
  <c r="J388" i="107"/>
  <c r="I388" i="107"/>
  <c r="J387" i="107"/>
  <c r="I387" i="107"/>
  <c r="J386" i="107"/>
  <c r="I386" i="107"/>
  <c r="J385" i="107"/>
  <c r="I385" i="107"/>
  <c r="J384" i="107"/>
  <c r="I384" i="107"/>
  <c r="J383" i="107"/>
  <c r="I383" i="107"/>
  <c r="J382" i="107"/>
  <c r="I382" i="107"/>
  <c r="J381" i="107"/>
  <c r="I381" i="107"/>
  <c r="J380" i="107"/>
  <c r="I380" i="107"/>
  <c r="J379" i="107"/>
  <c r="I379" i="107"/>
  <c r="J378" i="107"/>
  <c r="I378" i="107"/>
  <c r="J377" i="107"/>
  <c r="I377" i="107"/>
  <c r="J376" i="107"/>
  <c r="I376" i="107"/>
  <c r="J375" i="107"/>
  <c r="I375" i="107"/>
  <c r="J374" i="107"/>
  <c r="I374" i="107"/>
  <c r="J373" i="107"/>
  <c r="I373" i="107"/>
  <c r="J372" i="107"/>
  <c r="I372" i="107"/>
  <c r="J371" i="107"/>
  <c r="I371" i="107"/>
  <c r="J370" i="107"/>
  <c r="I370" i="107"/>
  <c r="J369" i="107"/>
  <c r="I369" i="107"/>
  <c r="J368" i="107"/>
  <c r="I368" i="107"/>
  <c r="J367" i="107"/>
  <c r="I367" i="107"/>
  <c r="J366" i="107"/>
  <c r="I366" i="107"/>
  <c r="J365" i="107"/>
  <c r="I365" i="107"/>
  <c r="J364" i="107"/>
  <c r="I364" i="107"/>
  <c r="J363" i="107"/>
  <c r="I363" i="107"/>
  <c r="J362" i="107"/>
  <c r="I362" i="107"/>
  <c r="J361" i="107"/>
  <c r="I361" i="107"/>
  <c r="J360" i="107"/>
  <c r="I360" i="107"/>
  <c r="J359" i="107"/>
  <c r="I359" i="107"/>
  <c r="J358" i="107"/>
  <c r="I358" i="107"/>
  <c r="J357" i="107"/>
  <c r="I357" i="107"/>
  <c r="J356" i="107"/>
  <c r="I356" i="107"/>
  <c r="J355" i="107"/>
  <c r="I355" i="107"/>
  <c r="J354" i="107"/>
  <c r="I354" i="107"/>
  <c r="J353" i="107"/>
  <c r="I353" i="107"/>
  <c r="J352" i="107"/>
  <c r="I352" i="107"/>
  <c r="J351" i="107"/>
  <c r="I351" i="107"/>
  <c r="J350" i="107"/>
  <c r="I350" i="107"/>
  <c r="J349" i="107"/>
  <c r="I349" i="107"/>
  <c r="J348" i="107"/>
  <c r="I348" i="107"/>
  <c r="J347" i="107"/>
  <c r="I347" i="107"/>
  <c r="J346" i="107"/>
  <c r="I346" i="107"/>
  <c r="J345" i="107"/>
  <c r="I345" i="107"/>
  <c r="J344" i="107"/>
  <c r="I344" i="107"/>
  <c r="J343" i="107"/>
  <c r="I343" i="107"/>
  <c r="J342" i="107"/>
  <c r="I342" i="107"/>
  <c r="J341" i="107"/>
  <c r="I341" i="107"/>
  <c r="J340" i="107"/>
  <c r="I340" i="107"/>
  <c r="J339" i="107"/>
  <c r="I339" i="107"/>
  <c r="J338" i="107"/>
  <c r="I338" i="107"/>
  <c r="J337" i="107"/>
  <c r="I337" i="107"/>
  <c r="J336" i="107"/>
  <c r="I336" i="107"/>
  <c r="J335" i="107"/>
  <c r="I335" i="107"/>
  <c r="J334" i="107"/>
  <c r="I334" i="107"/>
  <c r="J333" i="107"/>
  <c r="I333" i="107"/>
  <c r="J332" i="107"/>
  <c r="I332" i="107"/>
  <c r="J331" i="107"/>
  <c r="I331" i="107"/>
  <c r="J330" i="107"/>
  <c r="I330" i="107"/>
  <c r="J329" i="107"/>
  <c r="I329" i="107"/>
  <c r="J328" i="107"/>
  <c r="I328" i="107"/>
  <c r="J327" i="107"/>
  <c r="I327" i="107"/>
  <c r="J326" i="107"/>
  <c r="I326" i="107"/>
  <c r="J325" i="107"/>
  <c r="I325" i="107"/>
  <c r="J324" i="107"/>
  <c r="I324" i="107"/>
  <c r="J323" i="107"/>
  <c r="I323" i="107"/>
  <c r="J322" i="107"/>
  <c r="I322" i="107"/>
  <c r="J321" i="107"/>
  <c r="I321" i="107"/>
  <c r="J320" i="107"/>
  <c r="I320" i="107"/>
  <c r="J319" i="107"/>
  <c r="I319" i="107"/>
  <c r="J318" i="107"/>
  <c r="I318" i="107"/>
  <c r="J317" i="107"/>
  <c r="I317" i="107"/>
  <c r="J316" i="107"/>
  <c r="I316" i="107"/>
  <c r="J315" i="107"/>
  <c r="I315" i="107"/>
  <c r="J314" i="107"/>
  <c r="I314" i="107"/>
  <c r="J313" i="107"/>
  <c r="I313" i="107"/>
  <c r="J312" i="107"/>
  <c r="I312" i="107"/>
  <c r="J311" i="107"/>
  <c r="I311" i="107"/>
  <c r="J310" i="107"/>
  <c r="I310" i="107"/>
  <c r="J309" i="107"/>
  <c r="I309" i="107"/>
  <c r="J308" i="107"/>
  <c r="I308" i="107"/>
  <c r="J307" i="107"/>
  <c r="I307" i="107"/>
  <c r="J306" i="107"/>
  <c r="I306" i="107"/>
  <c r="J305" i="107"/>
  <c r="I305" i="107"/>
  <c r="J304" i="107"/>
  <c r="I304" i="107"/>
  <c r="J303" i="107"/>
  <c r="I303" i="107"/>
  <c r="J302" i="107"/>
  <c r="I302" i="107"/>
  <c r="J301" i="107"/>
  <c r="I301" i="107"/>
  <c r="J300" i="107"/>
  <c r="I300" i="107"/>
  <c r="J299" i="107"/>
  <c r="I299" i="107"/>
  <c r="J298" i="107"/>
  <c r="I298" i="107"/>
  <c r="J297" i="107"/>
  <c r="I297" i="107"/>
  <c r="J296" i="107"/>
  <c r="I296" i="107"/>
  <c r="J295" i="107"/>
  <c r="I295" i="107"/>
  <c r="J294" i="107"/>
  <c r="I294" i="107"/>
  <c r="J293" i="107"/>
  <c r="I293" i="107"/>
  <c r="J292" i="107"/>
  <c r="I292" i="107"/>
  <c r="J291" i="107"/>
  <c r="I291" i="107"/>
  <c r="J290" i="107"/>
  <c r="I290" i="107"/>
  <c r="J289" i="107"/>
  <c r="I289" i="107"/>
  <c r="J288" i="107"/>
  <c r="I288" i="107"/>
  <c r="J287" i="107"/>
  <c r="I287" i="107"/>
  <c r="J286" i="107"/>
  <c r="I286" i="107"/>
  <c r="J285" i="107"/>
  <c r="I285" i="107"/>
  <c r="J284" i="107"/>
  <c r="I284" i="107"/>
  <c r="J283" i="107"/>
  <c r="I283" i="107"/>
  <c r="J282" i="107"/>
  <c r="I282" i="107"/>
  <c r="J281" i="107"/>
  <c r="I281" i="107"/>
  <c r="J280" i="107"/>
  <c r="I280" i="107"/>
  <c r="J279" i="107"/>
  <c r="I279" i="107"/>
  <c r="J278" i="107"/>
  <c r="I278" i="107"/>
  <c r="J277" i="107"/>
  <c r="I277" i="107"/>
  <c r="J276" i="107"/>
  <c r="I276" i="107"/>
  <c r="J275" i="107"/>
  <c r="I275" i="107"/>
  <c r="J274" i="107"/>
  <c r="I274" i="107"/>
  <c r="J273" i="107"/>
  <c r="I273" i="107"/>
  <c r="J272" i="107"/>
  <c r="I272" i="107"/>
  <c r="J271" i="107"/>
  <c r="I271" i="107"/>
  <c r="J270" i="107"/>
  <c r="I270" i="107"/>
  <c r="J269" i="107"/>
  <c r="I269" i="107"/>
  <c r="J268" i="107"/>
  <c r="I268" i="107"/>
  <c r="J267" i="107"/>
  <c r="I267" i="107"/>
  <c r="J266" i="107"/>
  <c r="I266" i="107"/>
  <c r="J265" i="107"/>
  <c r="I265" i="107"/>
  <c r="J264" i="107"/>
  <c r="I264" i="107"/>
  <c r="J263" i="107"/>
  <c r="I263" i="107"/>
  <c r="J262" i="107"/>
  <c r="I262" i="107"/>
  <c r="J261" i="107"/>
  <c r="I261" i="107"/>
  <c r="J260" i="107"/>
  <c r="I260" i="107"/>
  <c r="J259" i="107"/>
  <c r="I259" i="107"/>
  <c r="J258" i="107"/>
  <c r="I258" i="107"/>
  <c r="J257" i="107"/>
  <c r="I257" i="107"/>
  <c r="J256" i="107"/>
  <c r="I256" i="107"/>
  <c r="J255" i="107"/>
  <c r="I255" i="107"/>
  <c r="J254" i="107"/>
  <c r="I254" i="107"/>
  <c r="J253" i="107"/>
  <c r="I253" i="107"/>
  <c r="J252" i="107"/>
  <c r="I252" i="107"/>
  <c r="J251" i="107"/>
  <c r="I251" i="107"/>
  <c r="J250" i="107"/>
  <c r="I250" i="107"/>
  <c r="J249" i="107"/>
  <c r="I249" i="107"/>
  <c r="J248" i="107"/>
  <c r="I248" i="107"/>
  <c r="J247" i="107"/>
  <c r="I247" i="107"/>
  <c r="J246" i="107"/>
  <c r="I246" i="107"/>
  <c r="J245" i="107"/>
  <c r="I245" i="107"/>
  <c r="J244" i="107"/>
  <c r="I244" i="107"/>
  <c r="J243" i="107"/>
  <c r="I243" i="107"/>
  <c r="J242" i="107"/>
  <c r="I242" i="107"/>
  <c r="J241" i="107"/>
  <c r="I241" i="107"/>
  <c r="J240" i="107"/>
  <c r="I240" i="107"/>
  <c r="J239" i="107"/>
  <c r="I239" i="107"/>
  <c r="J238" i="107"/>
  <c r="I238" i="107"/>
  <c r="J237" i="107"/>
  <c r="I237" i="107"/>
  <c r="J236" i="107"/>
  <c r="I236" i="107"/>
  <c r="J235" i="107"/>
  <c r="I235" i="107"/>
  <c r="J234" i="107"/>
  <c r="I234" i="107"/>
  <c r="J233" i="107"/>
  <c r="I233" i="107"/>
  <c r="J232" i="107"/>
  <c r="I232" i="107"/>
  <c r="J231" i="107"/>
  <c r="I231" i="107"/>
  <c r="J230" i="107"/>
  <c r="I230" i="107"/>
  <c r="J229" i="107"/>
  <c r="I229" i="107"/>
  <c r="J228" i="107"/>
  <c r="I228" i="107"/>
  <c r="J227" i="107"/>
  <c r="I227" i="107"/>
  <c r="J226" i="107"/>
  <c r="I226" i="107"/>
  <c r="J225" i="107"/>
  <c r="I225" i="107"/>
  <c r="J224" i="107"/>
  <c r="I224" i="107"/>
  <c r="J223" i="107"/>
  <c r="I223" i="107"/>
  <c r="J222" i="107"/>
  <c r="I222" i="107"/>
  <c r="J221" i="107"/>
  <c r="I221" i="107"/>
  <c r="J220" i="107"/>
  <c r="I220" i="107"/>
  <c r="J219" i="107"/>
  <c r="I219" i="107"/>
  <c r="J218" i="107"/>
  <c r="I218" i="107"/>
  <c r="J217" i="107"/>
  <c r="I217" i="107"/>
  <c r="J216" i="107"/>
  <c r="I216" i="107"/>
  <c r="J215" i="107"/>
  <c r="I215" i="107"/>
  <c r="J214" i="107"/>
  <c r="I214" i="107"/>
  <c r="J213" i="107"/>
  <c r="I213" i="107"/>
  <c r="J212" i="107"/>
  <c r="I212" i="107"/>
  <c r="J211" i="107"/>
  <c r="I211" i="107"/>
  <c r="J210" i="107"/>
  <c r="I210" i="107"/>
  <c r="J209" i="107"/>
  <c r="I209" i="107"/>
  <c r="J208" i="107"/>
  <c r="I208" i="107"/>
  <c r="J207" i="107"/>
  <c r="I207" i="107"/>
  <c r="J206" i="107"/>
  <c r="I206" i="107"/>
  <c r="J205" i="107"/>
  <c r="I205" i="107"/>
  <c r="J204" i="107"/>
  <c r="I204" i="107"/>
  <c r="J203" i="107"/>
  <c r="I203" i="107"/>
  <c r="J202" i="107"/>
  <c r="I202" i="107"/>
  <c r="J201" i="107"/>
  <c r="I201" i="107"/>
  <c r="J200" i="107"/>
  <c r="I200" i="107"/>
  <c r="J199" i="107"/>
  <c r="I199" i="107"/>
  <c r="J198" i="107"/>
  <c r="I198" i="107"/>
  <c r="J197" i="107"/>
  <c r="I197" i="107"/>
  <c r="J196" i="107"/>
  <c r="I196" i="107"/>
  <c r="J195" i="107"/>
  <c r="I195" i="107"/>
  <c r="J194" i="107"/>
  <c r="I194" i="107"/>
  <c r="J193" i="107"/>
  <c r="I193" i="107"/>
  <c r="J192" i="107"/>
  <c r="I192" i="107"/>
  <c r="J191" i="107"/>
  <c r="I191" i="107"/>
  <c r="J190" i="107"/>
  <c r="I190" i="107"/>
  <c r="J189" i="107"/>
  <c r="I189" i="107"/>
  <c r="J188" i="107"/>
  <c r="I188" i="107"/>
  <c r="J187" i="107"/>
  <c r="I187" i="107"/>
  <c r="J186" i="107"/>
  <c r="I186" i="107"/>
  <c r="J185" i="107"/>
  <c r="I185" i="107"/>
  <c r="J184" i="107"/>
  <c r="I184" i="107"/>
  <c r="J183" i="107"/>
  <c r="I183" i="107"/>
  <c r="J182" i="107"/>
  <c r="I182" i="107"/>
  <c r="J181" i="107"/>
  <c r="I181" i="107"/>
  <c r="J180" i="107"/>
  <c r="I180" i="107"/>
  <c r="J179" i="107"/>
  <c r="I179" i="107"/>
  <c r="J178" i="107"/>
  <c r="I178" i="107"/>
  <c r="J177" i="107"/>
  <c r="I177" i="107"/>
  <c r="J176" i="107"/>
  <c r="I176" i="107"/>
  <c r="J175" i="107"/>
  <c r="I175" i="107"/>
  <c r="J174" i="107"/>
  <c r="I174" i="107"/>
  <c r="J173" i="107"/>
  <c r="I173" i="107"/>
  <c r="J172" i="107"/>
  <c r="I172" i="107"/>
  <c r="J171" i="107"/>
  <c r="I171" i="107"/>
  <c r="J170" i="107"/>
  <c r="I170" i="107"/>
  <c r="J169" i="107"/>
  <c r="I169" i="107"/>
  <c r="J168" i="107"/>
  <c r="I168" i="107"/>
  <c r="J167" i="107"/>
  <c r="I167" i="107"/>
  <c r="J166" i="107"/>
  <c r="I166" i="107"/>
  <c r="J165" i="107"/>
  <c r="I165" i="107"/>
  <c r="J164" i="107"/>
  <c r="I164" i="107"/>
  <c r="J163" i="107"/>
  <c r="I163" i="107"/>
  <c r="J162" i="107"/>
  <c r="I162" i="107"/>
  <c r="J161" i="107"/>
  <c r="I161" i="107"/>
  <c r="J160" i="107"/>
  <c r="I160" i="107"/>
  <c r="J159" i="107"/>
  <c r="I159" i="107"/>
  <c r="J158" i="107"/>
  <c r="I158" i="107"/>
  <c r="J157" i="107"/>
  <c r="I157" i="107"/>
  <c r="J156" i="107"/>
  <c r="I156" i="107"/>
  <c r="J155" i="107"/>
  <c r="I155" i="107"/>
  <c r="J154" i="107"/>
  <c r="I154" i="107"/>
  <c r="J153" i="107"/>
  <c r="I153" i="107"/>
  <c r="J152" i="107"/>
  <c r="I152" i="107"/>
  <c r="J151" i="107"/>
  <c r="I151" i="107"/>
  <c r="J150" i="107"/>
  <c r="I150" i="107"/>
  <c r="J149" i="107"/>
  <c r="I149" i="107"/>
  <c r="J148" i="107"/>
  <c r="I148" i="107"/>
  <c r="J147" i="107"/>
  <c r="I147" i="107"/>
  <c r="J146" i="107"/>
  <c r="I146" i="107"/>
  <c r="J145" i="107"/>
  <c r="I145" i="107"/>
  <c r="J144" i="107"/>
  <c r="I144" i="107"/>
  <c r="J143" i="107"/>
  <c r="I143" i="107"/>
  <c r="J142" i="107"/>
  <c r="I142" i="107"/>
  <c r="J141" i="107"/>
  <c r="I141" i="107"/>
  <c r="J140" i="107"/>
  <c r="I140" i="107"/>
  <c r="J139" i="107"/>
  <c r="I139" i="107"/>
  <c r="J138" i="107"/>
  <c r="I138" i="107"/>
  <c r="J137" i="107"/>
  <c r="I137" i="107"/>
  <c r="J136" i="107"/>
  <c r="I136" i="107"/>
  <c r="J135" i="107"/>
  <c r="I135" i="107"/>
  <c r="J134" i="107"/>
  <c r="I134" i="107"/>
  <c r="J133" i="107"/>
  <c r="I133" i="107"/>
  <c r="J132" i="107"/>
  <c r="I132" i="107"/>
  <c r="J131" i="107"/>
  <c r="I131" i="107"/>
  <c r="J130" i="107"/>
  <c r="I130" i="107"/>
  <c r="J129" i="107"/>
  <c r="I129" i="107"/>
  <c r="J128" i="107"/>
  <c r="I128" i="107"/>
  <c r="J127" i="107"/>
  <c r="I127" i="107"/>
  <c r="J126" i="107"/>
  <c r="I126" i="107"/>
  <c r="J125" i="107"/>
  <c r="I125" i="107"/>
  <c r="J124" i="107"/>
  <c r="I124" i="107"/>
  <c r="J123" i="107"/>
  <c r="I123" i="107"/>
  <c r="J122" i="107"/>
  <c r="I122" i="107"/>
  <c r="J121" i="107"/>
  <c r="I121" i="107"/>
  <c r="J120" i="107"/>
  <c r="I120" i="107"/>
  <c r="J119" i="107"/>
  <c r="I119" i="107"/>
  <c r="J118" i="107"/>
  <c r="I118" i="107"/>
  <c r="J117" i="107"/>
  <c r="I117" i="107"/>
  <c r="J116" i="107"/>
  <c r="I116" i="107"/>
  <c r="J115" i="107"/>
  <c r="I115" i="107"/>
  <c r="J114" i="107"/>
  <c r="I114" i="107"/>
  <c r="J113" i="107"/>
  <c r="I113" i="107"/>
  <c r="J112" i="107"/>
  <c r="I112" i="107"/>
  <c r="J111" i="107"/>
  <c r="I111" i="107"/>
  <c r="J110" i="107"/>
  <c r="I110" i="107"/>
  <c r="J109" i="107"/>
  <c r="I109" i="107"/>
  <c r="J108" i="107"/>
  <c r="I108" i="107"/>
  <c r="J107" i="107"/>
  <c r="I107" i="107"/>
  <c r="J106" i="107"/>
  <c r="I106" i="107"/>
  <c r="J105" i="107"/>
  <c r="I105" i="107"/>
  <c r="J104" i="107"/>
  <c r="I104" i="107"/>
  <c r="J103" i="107"/>
  <c r="I103" i="107"/>
  <c r="J102" i="107"/>
  <c r="I102" i="107"/>
  <c r="J101" i="107"/>
  <c r="I101" i="107"/>
  <c r="J100" i="107"/>
  <c r="I100" i="107"/>
  <c r="J99" i="107"/>
  <c r="I99" i="107"/>
  <c r="J98" i="107"/>
  <c r="I98" i="107"/>
  <c r="J97" i="107"/>
  <c r="I97" i="107"/>
  <c r="J96" i="107"/>
  <c r="I96" i="107"/>
  <c r="J95" i="107"/>
  <c r="I95" i="107"/>
  <c r="J94" i="107"/>
  <c r="I94" i="107"/>
  <c r="J93" i="107"/>
  <c r="I93" i="107"/>
  <c r="J92" i="107"/>
  <c r="I92" i="107"/>
  <c r="J91" i="107"/>
  <c r="I91" i="107"/>
  <c r="J90" i="107"/>
  <c r="I90" i="107"/>
  <c r="J89" i="107"/>
  <c r="I89" i="107"/>
  <c r="J88" i="107"/>
  <c r="I88" i="107"/>
  <c r="J87" i="107"/>
  <c r="I87" i="107"/>
  <c r="J86" i="107"/>
  <c r="I86" i="107"/>
  <c r="J85" i="107"/>
  <c r="I85" i="107"/>
  <c r="J84" i="107"/>
  <c r="I84" i="107"/>
  <c r="J83" i="107"/>
  <c r="I83" i="107"/>
  <c r="J82" i="107"/>
  <c r="I82" i="107"/>
  <c r="J81" i="107"/>
  <c r="I81" i="107"/>
  <c r="J80" i="107"/>
  <c r="I80" i="107"/>
  <c r="J79" i="107"/>
  <c r="I79" i="107"/>
  <c r="J78" i="107"/>
  <c r="I78" i="107"/>
  <c r="J77" i="107"/>
  <c r="I77" i="107"/>
  <c r="J76" i="107"/>
  <c r="I76" i="107"/>
  <c r="J75" i="107"/>
  <c r="I75" i="107"/>
  <c r="J74" i="107"/>
  <c r="I74" i="107"/>
  <c r="J73" i="107"/>
  <c r="I73" i="107"/>
  <c r="J72" i="107"/>
  <c r="I72" i="107"/>
  <c r="J71" i="107"/>
  <c r="I71" i="107"/>
  <c r="J70" i="107"/>
  <c r="I70" i="107"/>
  <c r="J69" i="107"/>
  <c r="I69" i="107"/>
  <c r="J68" i="107"/>
  <c r="I68" i="107"/>
  <c r="J67" i="107"/>
  <c r="I67" i="107"/>
  <c r="J66" i="107"/>
  <c r="I66" i="107"/>
  <c r="J65" i="107"/>
  <c r="I65" i="107"/>
  <c r="J64" i="107"/>
  <c r="I64" i="107"/>
  <c r="J63" i="107"/>
  <c r="I63" i="107"/>
  <c r="J62" i="107"/>
  <c r="I62" i="107"/>
  <c r="J61" i="107"/>
  <c r="I61" i="107"/>
  <c r="J60" i="107"/>
  <c r="I60" i="107"/>
  <c r="J59" i="107"/>
  <c r="I59" i="107"/>
  <c r="J58" i="107"/>
  <c r="I58" i="107"/>
  <c r="J57" i="107"/>
  <c r="I57" i="107"/>
  <c r="J56" i="107"/>
  <c r="I56" i="107"/>
  <c r="J55" i="107"/>
  <c r="I55" i="107"/>
  <c r="J54" i="107"/>
  <c r="I54" i="107"/>
  <c r="J53" i="107"/>
  <c r="I53" i="107"/>
  <c r="J52" i="107"/>
  <c r="I52" i="107"/>
  <c r="J51" i="107"/>
  <c r="I51" i="107"/>
  <c r="J50" i="107"/>
  <c r="I50" i="107"/>
  <c r="J49" i="107"/>
  <c r="I49" i="107"/>
  <c r="J48" i="107"/>
  <c r="I48" i="107"/>
  <c r="J47" i="107"/>
  <c r="I47" i="107"/>
  <c r="J46" i="107"/>
  <c r="I46" i="107"/>
  <c r="J45" i="107"/>
  <c r="I45" i="107"/>
  <c r="J44" i="107"/>
  <c r="I44" i="107"/>
  <c r="J43" i="107"/>
  <c r="I43" i="107"/>
  <c r="J42" i="107"/>
  <c r="I42" i="107"/>
  <c r="J41" i="107"/>
  <c r="I41" i="107"/>
  <c r="J40" i="107"/>
  <c r="I40" i="107"/>
  <c r="J39" i="107"/>
  <c r="I39" i="107"/>
  <c r="J38" i="107"/>
  <c r="I38" i="107"/>
  <c r="J37" i="107"/>
  <c r="I37" i="107"/>
  <c r="J36" i="107"/>
  <c r="I36" i="107"/>
  <c r="J35" i="107"/>
  <c r="I35" i="107"/>
  <c r="J34" i="107"/>
  <c r="I34" i="107"/>
  <c r="J33" i="107"/>
  <c r="I33" i="107"/>
  <c r="J32" i="107"/>
  <c r="I32" i="107"/>
  <c r="J31" i="107"/>
  <c r="I31" i="107"/>
  <c r="J30" i="107"/>
  <c r="I30" i="107"/>
  <c r="J29" i="107"/>
  <c r="I29" i="107"/>
  <c r="J28" i="107"/>
  <c r="I28" i="107"/>
  <c r="J27" i="107"/>
  <c r="I27" i="107"/>
  <c r="J26" i="107"/>
  <c r="I26" i="107"/>
  <c r="J25" i="107"/>
  <c r="I25" i="107"/>
  <c r="J24" i="107"/>
  <c r="I24" i="107"/>
  <c r="J23" i="107"/>
  <c r="I23" i="107"/>
  <c r="J22" i="107"/>
  <c r="I22" i="107"/>
  <c r="J21" i="107"/>
  <c r="I21" i="107"/>
  <c r="J20" i="107"/>
  <c r="I20" i="107"/>
  <c r="J19" i="107"/>
  <c r="I19" i="107"/>
  <c r="J18" i="107"/>
  <c r="I18" i="107"/>
  <c r="J17" i="107"/>
  <c r="I17" i="107"/>
  <c r="J16" i="107"/>
  <c r="I16" i="107"/>
  <c r="J15" i="107"/>
  <c r="I15" i="107"/>
  <c r="J14" i="107"/>
  <c r="I14" i="107"/>
  <c r="J13" i="107"/>
  <c r="I13" i="107"/>
  <c r="J12" i="107"/>
  <c r="I12" i="107"/>
  <c r="J11" i="107"/>
  <c r="I11" i="107"/>
  <c r="J10" i="107"/>
  <c r="I10" i="107"/>
  <c r="J9" i="107"/>
  <c r="I9" i="107"/>
  <c r="J8" i="107"/>
  <c r="I8" i="107"/>
  <c r="J7" i="107"/>
  <c r="I7" i="107"/>
  <c r="J6" i="107"/>
  <c r="I6" i="107"/>
  <c r="J5" i="107"/>
  <c r="I5" i="107"/>
  <c r="J4" i="107"/>
  <c r="I4" i="107"/>
  <c r="J3" i="107"/>
  <c r="I3" i="107"/>
  <c r="I2" i="107"/>
  <c r="J390" i="106"/>
  <c r="I390" i="106"/>
  <c r="J389" i="106"/>
  <c r="I389" i="106"/>
  <c r="J388" i="106"/>
  <c r="I388" i="106"/>
  <c r="J387" i="106"/>
  <c r="I387" i="106"/>
  <c r="J386" i="106"/>
  <c r="I386" i="106"/>
  <c r="J385" i="106"/>
  <c r="I385" i="106"/>
  <c r="J384" i="106"/>
  <c r="I384" i="106"/>
  <c r="J383" i="106"/>
  <c r="I383" i="106"/>
  <c r="J382" i="106"/>
  <c r="I382" i="106"/>
  <c r="J381" i="106"/>
  <c r="I381" i="106"/>
  <c r="J380" i="106"/>
  <c r="I380" i="106"/>
  <c r="J379" i="106"/>
  <c r="I379" i="106"/>
  <c r="J378" i="106"/>
  <c r="I378" i="106"/>
  <c r="J377" i="106"/>
  <c r="I377" i="106"/>
  <c r="J376" i="106"/>
  <c r="I376" i="106"/>
  <c r="J375" i="106"/>
  <c r="I375" i="106"/>
  <c r="J374" i="106"/>
  <c r="I374" i="106"/>
  <c r="J373" i="106"/>
  <c r="I373" i="106"/>
  <c r="J372" i="106"/>
  <c r="I372" i="106"/>
  <c r="J371" i="106"/>
  <c r="I371" i="106"/>
  <c r="J370" i="106"/>
  <c r="I370" i="106"/>
  <c r="J369" i="106"/>
  <c r="I369" i="106"/>
  <c r="J368" i="106"/>
  <c r="I368" i="106"/>
  <c r="J367" i="106"/>
  <c r="I367" i="106"/>
  <c r="J366" i="106"/>
  <c r="I366" i="106"/>
  <c r="J365" i="106"/>
  <c r="I365" i="106"/>
  <c r="J364" i="106"/>
  <c r="I364" i="106"/>
  <c r="J363" i="106"/>
  <c r="I363" i="106"/>
  <c r="J362" i="106"/>
  <c r="I362" i="106"/>
  <c r="J361" i="106"/>
  <c r="I361" i="106"/>
  <c r="J360" i="106"/>
  <c r="I360" i="106"/>
  <c r="J359" i="106"/>
  <c r="I359" i="106"/>
  <c r="J358" i="106"/>
  <c r="I358" i="106"/>
  <c r="J357" i="106"/>
  <c r="I357" i="106"/>
  <c r="J356" i="106"/>
  <c r="I356" i="106"/>
  <c r="J355" i="106"/>
  <c r="I355" i="106"/>
  <c r="J354" i="106"/>
  <c r="I354" i="106"/>
  <c r="J353" i="106"/>
  <c r="I353" i="106"/>
  <c r="J352" i="106"/>
  <c r="I352" i="106"/>
  <c r="J351" i="106"/>
  <c r="I351" i="106"/>
  <c r="J350" i="106"/>
  <c r="I350" i="106"/>
  <c r="J349" i="106"/>
  <c r="I349" i="106"/>
  <c r="J348" i="106"/>
  <c r="I348" i="106"/>
  <c r="J347" i="106"/>
  <c r="I347" i="106"/>
  <c r="J346" i="106"/>
  <c r="I346" i="106"/>
  <c r="J345" i="106"/>
  <c r="I345" i="106"/>
  <c r="J344" i="106"/>
  <c r="I344" i="106"/>
  <c r="J343" i="106"/>
  <c r="I343" i="106"/>
  <c r="J342" i="106"/>
  <c r="I342" i="106"/>
  <c r="J341" i="106"/>
  <c r="I341" i="106"/>
  <c r="J340" i="106"/>
  <c r="I340" i="106"/>
  <c r="J339" i="106"/>
  <c r="I339" i="106"/>
  <c r="J338" i="106"/>
  <c r="I338" i="106"/>
  <c r="J337" i="106"/>
  <c r="I337" i="106"/>
  <c r="J336" i="106"/>
  <c r="I336" i="106"/>
  <c r="J335" i="106"/>
  <c r="I335" i="106"/>
  <c r="J334" i="106"/>
  <c r="I334" i="106"/>
  <c r="J333" i="106"/>
  <c r="I333" i="106"/>
  <c r="J332" i="106"/>
  <c r="I332" i="106"/>
  <c r="J331" i="106"/>
  <c r="I331" i="106"/>
  <c r="J330" i="106"/>
  <c r="I330" i="106"/>
  <c r="J329" i="106"/>
  <c r="I329" i="106"/>
  <c r="J328" i="106"/>
  <c r="I328" i="106"/>
  <c r="J327" i="106"/>
  <c r="I327" i="106"/>
  <c r="J326" i="106"/>
  <c r="I326" i="106"/>
  <c r="J325" i="106"/>
  <c r="I325" i="106"/>
  <c r="J324" i="106"/>
  <c r="I324" i="106"/>
  <c r="J323" i="106"/>
  <c r="I323" i="106"/>
  <c r="J322" i="106"/>
  <c r="I322" i="106"/>
  <c r="J321" i="106"/>
  <c r="I321" i="106"/>
  <c r="J320" i="106"/>
  <c r="I320" i="106"/>
  <c r="J319" i="106"/>
  <c r="I319" i="106"/>
  <c r="J318" i="106"/>
  <c r="I318" i="106"/>
  <c r="J317" i="106"/>
  <c r="I317" i="106"/>
  <c r="J316" i="106"/>
  <c r="I316" i="106"/>
  <c r="J315" i="106"/>
  <c r="I315" i="106"/>
  <c r="J314" i="106"/>
  <c r="I314" i="106"/>
  <c r="J313" i="106"/>
  <c r="I313" i="106"/>
  <c r="J312" i="106"/>
  <c r="I312" i="106"/>
  <c r="J311" i="106"/>
  <c r="I311" i="106"/>
  <c r="J310" i="106"/>
  <c r="I310" i="106"/>
  <c r="J309" i="106"/>
  <c r="I309" i="106"/>
  <c r="J308" i="106"/>
  <c r="I308" i="106"/>
  <c r="J307" i="106"/>
  <c r="I307" i="106"/>
  <c r="J306" i="106"/>
  <c r="I306" i="106"/>
  <c r="J305" i="106"/>
  <c r="I305" i="106"/>
  <c r="J304" i="106"/>
  <c r="I304" i="106"/>
  <c r="J303" i="106"/>
  <c r="I303" i="106"/>
  <c r="J302" i="106"/>
  <c r="I302" i="106"/>
  <c r="J301" i="106"/>
  <c r="I301" i="106"/>
  <c r="J300" i="106"/>
  <c r="I300" i="106"/>
  <c r="J299" i="106"/>
  <c r="I299" i="106"/>
  <c r="J298" i="106"/>
  <c r="I298" i="106"/>
  <c r="J297" i="106"/>
  <c r="I297" i="106"/>
  <c r="J296" i="106"/>
  <c r="I296" i="106"/>
  <c r="J295" i="106"/>
  <c r="I295" i="106"/>
  <c r="J294" i="106"/>
  <c r="I294" i="106"/>
  <c r="J293" i="106"/>
  <c r="I293" i="106"/>
  <c r="J292" i="106"/>
  <c r="I292" i="106"/>
  <c r="J291" i="106"/>
  <c r="I291" i="106"/>
  <c r="J290" i="106"/>
  <c r="I290" i="106"/>
  <c r="J289" i="106"/>
  <c r="I289" i="106"/>
  <c r="J288" i="106"/>
  <c r="I288" i="106"/>
  <c r="J287" i="106"/>
  <c r="I287" i="106"/>
  <c r="J286" i="106"/>
  <c r="I286" i="106"/>
  <c r="J285" i="106"/>
  <c r="I285" i="106"/>
  <c r="J284" i="106"/>
  <c r="I284" i="106"/>
  <c r="J283" i="106"/>
  <c r="I283" i="106"/>
  <c r="J282" i="106"/>
  <c r="I282" i="106"/>
  <c r="J281" i="106"/>
  <c r="I281" i="106"/>
  <c r="J280" i="106"/>
  <c r="I280" i="106"/>
  <c r="J279" i="106"/>
  <c r="I279" i="106"/>
  <c r="J278" i="106"/>
  <c r="I278" i="106"/>
  <c r="J277" i="106"/>
  <c r="I277" i="106"/>
  <c r="J276" i="106"/>
  <c r="I276" i="106"/>
  <c r="J275" i="106"/>
  <c r="I275" i="106"/>
  <c r="J274" i="106"/>
  <c r="I274" i="106"/>
  <c r="J273" i="106"/>
  <c r="I273" i="106"/>
  <c r="J272" i="106"/>
  <c r="I272" i="106"/>
  <c r="J271" i="106"/>
  <c r="I271" i="106"/>
  <c r="J270" i="106"/>
  <c r="I270" i="106"/>
  <c r="J269" i="106"/>
  <c r="I269" i="106"/>
  <c r="J268" i="106"/>
  <c r="I268" i="106"/>
  <c r="J267" i="106"/>
  <c r="I267" i="106"/>
  <c r="J266" i="106"/>
  <c r="I266" i="106"/>
  <c r="J265" i="106"/>
  <c r="I265" i="106"/>
  <c r="J264" i="106"/>
  <c r="I264" i="106"/>
  <c r="J263" i="106"/>
  <c r="I263" i="106"/>
  <c r="J262" i="106"/>
  <c r="I262" i="106"/>
  <c r="J261" i="106"/>
  <c r="I261" i="106"/>
  <c r="J260" i="106"/>
  <c r="I260" i="106"/>
  <c r="J259" i="106"/>
  <c r="I259" i="106"/>
  <c r="J258" i="106"/>
  <c r="I258" i="106"/>
  <c r="J257" i="106"/>
  <c r="I257" i="106"/>
  <c r="J256" i="106"/>
  <c r="I256" i="106"/>
  <c r="J255" i="106"/>
  <c r="I255" i="106"/>
  <c r="J254" i="106"/>
  <c r="I254" i="106"/>
  <c r="J253" i="106"/>
  <c r="I253" i="106"/>
  <c r="J252" i="106"/>
  <c r="I252" i="106"/>
  <c r="J251" i="106"/>
  <c r="I251" i="106"/>
  <c r="J250" i="106"/>
  <c r="I250" i="106"/>
  <c r="J249" i="106"/>
  <c r="I249" i="106"/>
  <c r="J248" i="106"/>
  <c r="I248" i="106"/>
  <c r="J247" i="106"/>
  <c r="I247" i="106"/>
  <c r="J246" i="106"/>
  <c r="I246" i="106"/>
  <c r="J245" i="106"/>
  <c r="I245" i="106"/>
  <c r="J244" i="106"/>
  <c r="I244" i="106"/>
  <c r="J243" i="106"/>
  <c r="I243" i="106"/>
  <c r="J242" i="106"/>
  <c r="I242" i="106"/>
  <c r="J241" i="106"/>
  <c r="I241" i="106"/>
  <c r="J240" i="106"/>
  <c r="I240" i="106"/>
  <c r="J239" i="106"/>
  <c r="I239" i="106"/>
  <c r="J238" i="106"/>
  <c r="I238" i="106"/>
  <c r="J237" i="106"/>
  <c r="I237" i="106"/>
  <c r="J236" i="106"/>
  <c r="I236" i="106"/>
  <c r="J235" i="106"/>
  <c r="I235" i="106"/>
  <c r="J234" i="106"/>
  <c r="I234" i="106"/>
  <c r="J233" i="106"/>
  <c r="I233" i="106"/>
  <c r="J232" i="106"/>
  <c r="I232" i="106"/>
  <c r="J231" i="106"/>
  <c r="I231" i="106"/>
  <c r="J230" i="106"/>
  <c r="I230" i="106"/>
  <c r="J229" i="106"/>
  <c r="I229" i="106"/>
  <c r="J228" i="106"/>
  <c r="I228" i="106"/>
  <c r="J227" i="106"/>
  <c r="I227" i="106"/>
  <c r="J226" i="106"/>
  <c r="I226" i="106"/>
  <c r="J225" i="106"/>
  <c r="I225" i="106"/>
  <c r="J224" i="106"/>
  <c r="I224" i="106"/>
  <c r="J223" i="106"/>
  <c r="I223" i="106"/>
  <c r="J222" i="106"/>
  <c r="I222" i="106"/>
  <c r="J221" i="106"/>
  <c r="I221" i="106"/>
  <c r="J220" i="106"/>
  <c r="I220" i="106"/>
  <c r="J219" i="106"/>
  <c r="I219" i="106"/>
  <c r="J218" i="106"/>
  <c r="I218" i="106"/>
  <c r="J217" i="106"/>
  <c r="I217" i="106"/>
  <c r="J216" i="106"/>
  <c r="I216" i="106"/>
  <c r="J215" i="106"/>
  <c r="I215" i="106"/>
  <c r="J214" i="106"/>
  <c r="I214" i="106"/>
  <c r="J213" i="106"/>
  <c r="I213" i="106"/>
  <c r="J212" i="106"/>
  <c r="I212" i="106"/>
  <c r="J211" i="106"/>
  <c r="I211" i="106"/>
  <c r="J210" i="106"/>
  <c r="I210" i="106"/>
  <c r="J209" i="106"/>
  <c r="I209" i="106"/>
  <c r="J208" i="106"/>
  <c r="I208" i="106"/>
  <c r="J207" i="106"/>
  <c r="I207" i="106"/>
  <c r="J206" i="106"/>
  <c r="I206" i="106"/>
  <c r="J205" i="106"/>
  <c r="I205" i="106"/>
  <c r="J204" i="106"/>
  <c r="I204" i="106"/>
  <c r="J203" i="106"/>
  <c r="I203" i="106"/>
  <c r="J202" i="106"/>
  <c r="I202" i="106"/>
  <c r="J201" i="106"/>
  <c r="I201" i="106"/>
  <c r="J200" i="106"/>
  <c r="I200" i="106"/>
  <c r="J199" i="106"/>
  <c r="I199" i="106"/>
  <c r="J198" i="106"/>
  <c r="I198" i="106"/>
  <c r="J197" i="106"/>
  <c r="I197" i="106"/>
  <c r="J196" i="106"/>
  <c r="I196" i="106"/>
  <c r="J195" i="106"/>
  <c r="I195" i="106"/>
  <c r="J194" i="106"/>
  <c r="I194" i="106"/>
  <c r="J193" i="106"/>
  <c r="I193" i="106"/>
  <c r="J192" i="106"/>
  <c r="I192" i="106"/>
  <c r="J191" i="106"/>
  <c r="I191" i="106"/>
  <c r="J190" i="106"/>
  <c r="I190" i="106"/>
  <c r="J189" i="106"/>
  <c r="I189" i="106"/>
  <c r="J188" i="106"/>
  <c r="I188" i="106"/>
  <c r="J187" i="106"/>
  <c r="I187" i="106"/>
  <c r="J186" i="106"/>
  <c r="I186" i="106"/>
  <c r="J185" i="106"/>
  <c r="I185" i="106"/>
  <c r="J184" i="106"/>
  <c r="I184" i="106"/>
  <c r="J183" i="106"/>
  <c r="I183" i="106"/>
  <c r="J182" i="106"/>
  <c r="I182" i="106"/>
  <c r="J181" i="106"/>
  <c r="I181" i="106"/>
  <c r="J180" i="106"/>
  <c r="I180" i="106"/>
  <c r="J179" i="106"/>
  <c r="I179" i="106"/>
  <c r="J178" i="106"/>
  <c r="I178" i="106"/>
  <c r="J177" i="106"/>
  <c r="I177" i="106"/>
  <c r="J176" i="106"/>
  <c r="I176" i="106"/>
  <c r="J175" i="106"/>
  <c r="I175" i="106"/>
  <c r="J174" i="106"/>
  <c r="I174" i="106"/>
  <c r="J173" i="106"/>
  <c r="I173" i="106"/>
  <c r="J172" i="106"/>
  <c r="I172" i="106"/>
  <c r="J171" i="106"/>
  <c r="I171" i="106"/>
  <c r="J170" i="106"/>
  <c r="I170" i="106"/>
  <c r="J169" i="106"/>
  <c r="I169" i="106"/>
  <c r="J168" i="106"/>
  <c r="I168" i="106"/>
  <c r="J167" i="106"/>
  <c r="I167" i="106"/>
  <c r="J166" i="106"/>
  <c r="I166" i="106"/>
  <c r="J165" i="106"/>
  <c r="I165" i="106"/>
  <c r="J164" i="106"/>
  <c r="I164" i="106"/>
  <c r="J163" i="106"/>
  <c r="I163" i="106"/>
  <c r="J162" i="106"/>
  <c r="I162" i="106"/>
  <c r="J161" i="106"/>
  <c r="I161" i="106"/>
  <c r="J160" i="106"/>
  <c r="I160" i="106"/>
  <c r="J159" i="106"/>
  <c r="I159" i="106"/>
  <c r="J158" i="106"/>
  <c r="I158" i="106"/>
  <c r="J157" i="106"/>
  <c r="I157" i="106"/>
  <c r="J156" i="106"/>
  <c r="I156" i="106"/>
  <c r="J155" i="106"/>
  <c r="I155" i="106"/>
  <c r="J154" i="106"/>
  <c r="I154" i="106"/>
  <c r="J153" i="106"/>
  <c r="I153" i="106"/>
  <c r="J152" i="106"/>
  <c r="I152" i="106"/>
  <c r="J151" i="106"/>
  <c r="I151" i="106"/>
  <c r="J150" i="106"/>
  <c r="I150" i="106"/>
  <c r="J149" i="106"/>
  <c r="I149" i="106"/>
  <c r="J148" i="106"/>
  <c r="I148" i="106"/>
  <c r="J147" i="106"/>
  <c r="I147" i="106"/>
  <c r="J146" i="106"/>
  <c r="I146" i="106"/>
  <c r="J145" i="106"/>
  <c r="I145" i="106"/>
  <c r="J144" i="106"/>
  <c r="I144" i="106"/>
  <c r="J143" i="106"/>
  <c r="I143" i="106"/>
  <c r="J142" i="106"/>
  <c r="I142" i="106"/>
  <c r="J141" i="106"/>
  <c r="I141" i="106"/>
  <c r="J140" i="106"/>
  <c r="I140" i="106"/>
  <c r="J139" i="106"/>
  <c r="I139" i="106"/>
  <c r="J138" i="106"/>
  <c r="I138" i="106"/>
  <c r="J137" i="106"/>
  <c r="I137" i="106"/>
  <c r="J136" i="106"/>
  <c r="I136" i="106"/>
  <c r="J135" i="106"/>
  <c r="I135" i="106"/>
  <c r="J134" i="106"/>
  <c r="I134" i="106"/>
  <c r="J133" i="106"/>
  <c r="I133" i="106"/>
  <c r="J132" i="106"/>
  <c r="I132" i="106"/>
  <c r="J131" i="106"/>
  <c r="I131" i="106"/>
  <c r="J130" i="106"/>
  <c r="I130" i="106"/>
  <c r="J129" i="106"/>
  <c r="I129" i="106"/>
  <c r="J128" i="106"/>
  <c r="I128" i="106"/>
  <c r="J127" i="106"/>
  <c r="I127" i="106"/>
  <c r="J126" i="106"/>
  <c r="I126" i="106"/>
  <c r="J125" i="106"/>
  <c r="I125" i="106"/>
  <c r="J124" i="106"/>
  <c r="I124" i="106"/>
  <c r="J123" i="106"/>
  <c r="I123" i="106"/>
  <c r="J122" i="106"/>
  <c r="I122" i="106"/>
  <c r="J121" i="106"/>
  <c r="I121" i="106"/>
  <c r="J120" i="106"/>
  <c r="I120" i="106"/>
  <c r="J119" i="106"/>
  <c r="I119" i="106"/>
  <c r="J118" i="106"/>
  <c r="I118" i="106"/>
  <c r="J117" i="106"/>
  <c r="I117" i="106"/>
  <c r="J116" i="106"/>
  <c r="I116" i="106"/>
  <c r="J115" i="106"/>
  <c r="I115" i="106"/>
  <c r="J114" i="106"/>
  <c r="I114" i="106"/>
  <c r="J113" i="106"/>
  <c r="I113" i="106"/>
  <c r="J112" i="106"/>
  <c r="I112" i="106"/>
  <c r="J111" i="106"/>
  <c r="I111" i="106"/>
  <c r="J110" i="106"/>
  <c r="I110" i="106"/>
  <c r="J109" i="106"/>
  <c r="I109" i="106"/>
  <c r="J108" i="106"/>
  <c r="I108" i="106"/>
  <c r="J107" i="106"/>
  <c r="I107" i="106"/>
  <c r="J106" i="106"/>
  <c r="I106" i="106"/>
  <c r="J105" i="106"/>
  <c r="I105" i="106"/>
  <c r="J104" i="106"/>
  <c r="I104" i="106"/>
  <c r="J103" i="106"/>
  <c r="I103" i="106"/>
  <c r="J102" i="106"/>
  <c r="I102" i="106"/>
  <c r="J101" i="106"/>
  <c r="I101" i="106"/>
  <c r="J100" i="106"/>
  <c r="I100" i="106"/>
  <c r="J99" i="106"/>
  <c r="I99" i="106"/>
  <c r="J98" i="106"/>
  <c r="I98" i="106"/>
  <c r="J97" i="106"/>
  <c r="I97" i="106"/>
  <c r="J96" i="106"/>
  <c r="I96" i="106"/>
  <c r="J95" i="106"/>
  <c r="I95" i="106"/>
  <c r="J94" i="106"/>
  <c r="I94" i="106"/>
  <c r="J93" i="106"/>
  <c r="I93" i="106"/>
  <c r="J92" i="106"/>
  <c r="I92" i="106"/>
  <c r="J91" i="106"/>
  <c r="I91" i="106"/>
  <c r="J90" i="106"/>
  <c r="I90" i="106"/>
  <c r="J89" i="106"/>
  <c r="I89" i="106"/>
  <c r="J88" i="106"/>
  <c r="I88" i="106"/>
  <c r="J87" i="106"/>
  <c r="I87" i="106"/>
  <c r="J86" i="106"/>
  <c r="I86" i="106"/>
  <c r="J85" i="106"/>
  <c r="I85" i="106"/>
  <c r="J84" i="106"/>
  <c r="I84" i="106"/>
  <c r="J83" i="106"/>
  <c r="I83" i="106"/>
  <c r="J82" i="106"/>
  <c r="I82" i="106"/>
  <c r="J81" i="106"/>
  <c r="I81" i="106"/>
  <c r="J80" i="106"/>
  <c r="I80" i="106"/>
  <c r="J79" i="106"/>
  <c r="I79" i="106"/>
  <c r="J78" i="106"/>
  <c r="I78" i="106"/>
  <c r="J77" i="106"/>
  <c r="I77" i="106"/>
  <c r="J76" i="106"/>
  <c r="I76" i="106"/>
  <c r="J75" i="106"/>
  <c r="I75" i="106"/>
  <c r="J74" i="106"/>
  <c r="I74" i="106"/>
  <c r="J73" i="106"/>
  <c r="I73" i="106"/>
  <c r="J72" i="106"/>
  <c r="I72" i="106"/>
  <c r="J71" i="106"/>
  <c r="I71" i="106"/>
  <c r="J70" i="106"/>
  <c r="I70" i="106"/>
  <c r="J69" i="106"/>
  <c r="I69" i="106"/>
  <c r="J68" i="106"/>
  <c r="I68" i="106"/>
  <c r="J67" i="106"/>
  <c r="I67" i="106"/>
  <c r="J66" i="106"/>
  <c r="I66" i="106"/>
  <c r="J65" i="106"/>
  <c r="I65" i="106"/>
  <c r="J64" i="106"/>
  <c r="I64" i="106"/>
  <c r="J63" i="106"/>
  <c r="I63" i="106"/>
  <c r="J62" i="106"/>
  <c r="I62" i="106"/>
  <c r="J61" i="106"/>
  <c r="I61" i="106"/>
  <c r="J60" i="106"/>
  <c r="I60" i="106"/>
  <c r="J59" i="106"/>
  <c r="I59" i="106"/>
  <c r="J58" i="106"/>
  <c r="I58" i="106"/>
  <c r="J57" i="106"/>
  <c r="I57" i="106"/>
  <c r="J56" i="106"/>
  <c r="I56" i="106"/>
  <c r="J55" i="106"/>
  <c r="I55" i="106"/>
  <c r="J54" i="106"/>
  <c r="I54" i="106"/>
  <c r="J53" i="106"/>
  <c r="I53" i="106"/>
  <c r="J52" i="106"/>
  <c r="I52" i="106"/>
  <c r="J51" i="106"/>
  <c r="I51" i="106"/>
  <c r="J50" i="106"/>
  <c r="I50" i="106"/>
  <c r="J49" i="106"/>
  <c r="I49" i="106"/>
  <c r="J48" i="106"/>
  <c r="I48" i="106"/>
  <c r="J47" i="106"/>
  <c r="I47" i="106"/>
  <c r="J46" i="106"/>
  <c r="I46" i="106"/>
  <c r="J45" i="106"/>
  <c r="I45" i="106"/>
  <c r="J44" i="106"/>
  <c r="I44" i="106"/>
  <c r="J43" i="106"/>
  <c r="I43" i="106"/>
  <c r="J42" i="106"/>
  <c r="I42" i="106"/>
  <c r="J41" i="106"/>
  <c r="I41" i="106"/>
  <c r="J40" i="106"/>
  <c r="I40" i="106"/>
  <c r="J39" i="106"/>
  <c r="I39" i="106"/>
  <c r="J38" i="106"/>
  <c r="I38" i="106"/>
  <c r="J37" i="106"/>
  <c r="I37" i="106"/>
  <c r="J36" i="106"/>
  <c r="I36" i="106"/>
  <c r="J35" i="106"/>
  <c r="I35" i="106"/>
  <c r="J34" i="106"/>
  <c r="I34" i="106"/>
  <c r="J33" i="106"/>
  <c r="I33" i="106"/>
  <c r="J32" i="106"/>
  <c r="I32" i="106"/>
  <c r="J31" i="106"/>
  <c r="I31" i="106"/>
  <c r="J30" i="106"/>
  <c r="I30" i="106"/>
  <c r="J29" i="106"/>
  <c r="I29" i="106"/>
  <c r="J28" i="106"/>
  <c r="I28" i="106"/>
  <c r="J27" i="106"/>
  <c r="I27" i="106"/>
  <c r="J26" i="106"/>
  <c r="I26" i="106"/>
  <c r="J25" i="106"/>
  <c r="I25" i="106"/>
  <c r="J24" i="106"/>
  <c r="I24" i="106"/>
  <c r="J23" i="106"/>
  <c r="I23" i="106"/>
  <c r="J22" i="106"/>
  <c r="I22" i="106"/>
  <c r="J21" i="106"/>
  <c r="I21" i="106"/>
  <c r="J20" i="106"/>
  <c r="I20" i="106"/>
  <c r="J19" i="106"/>
  <c r="I19" i="106"/>
  <c r="J18" i="106"/>
  <c r="I18" i="106"/>
  <c r="J17" i="106"/>
  <c r="I17" i="106"/>
  <c r="J16" i="106"/>
  <c r="I16" i="106"/>
  <c r="J15" i="106"/>
  <c r="I15" i="106"/>
  <c r="J14" i="106"/>
  <c r="I14" i="106"/>
  <c r="J13" i="106"/>
  <c r="I13" i="106"/>
  <c r="J12" i="106"/>
  <c r="I12" i="106"/>
  <c r="J11" i="106"/>
  <c r="I11" i="106"/>
  <c r="J10" i="106"/>
  <c r="I10" i="106"/>
  <c r="J9" i="106"/>
  <c r="I9" i="106"/>
  <c r="J8" i="106"/>
  <c r="I8" i="106"/>
  <c r="J7" i="106"/>
  <c r="I7" i="106"/>
  <c r="J6" i="106"/>
  <c r="I6" i="106"/>
  <c r="J5" i="106"/>
  <c r="I5" i="106"/>
  <c r="J4" i="106"/>
  <c r="I4" i="106"/>
  <c r="J3" i="106"/>
  <c r="I3" i="106"/>
  <c r="I2" i="106"/>
  <c r="J390" i="105"/>
  <c r="I390" i="105"/>
  <c r="J389" i="105"/>
  <c r="I389" i="105"/>
  <c r="J388" i="105"/>
  <c r="I388" i="105"/>
  <c r="J387" i="105"/>
  <c r="I387" i="105"/>
  <c r="J386" i="105"/>
  <c r="I386" i="105"/>
  <c r="J385" i="105"/>
  <c r="I385" i="105"/>
  <c r="J384" i="105"/>
  <c r="I384" i="105"/>
  <c r="J383" i="105"/>
  <c r="I383" i="105"/>
  <c r="J382" i="105"/>
  <c r="I382" i="105"/>
  <c r="J381" i="105"/>
  <c r="I381" i="105"/>
  <c r="J380" i="105"/>
  <c r="I380" i="105"/>
  <c r="J379" i="105"/>
  <c r="I379" i="105"/>
  <c r="J378" i="105"/>
  <c r="I378" i="105"/>
  <c r="J377" i="105"/>
  <c r="I377" i="105"/>
  <c r="J376" i="105"/>
  <c r="I376" i="105"/>
  <c r="J375" i="105"/>
  <c r="I375" i="105"/>
  <c r="J374" i="105"/>
  <c r="I374" i="105"/>
  <c r="J373" i="105"/>
  <c r="I373" i="105"/>
  <c r="J372" i="105"/>
  <c r="I372" i="105"/>
  <c r="J371" i="105"/>
  <c r="I371" i="105"/>
  <c r="J370" i="105"/>
  <c r="I370" i="105"/>
  <c r="J369" i="105"/>
  <c r="I369" i="105"/>
  <c r="J368" i="105"/>
  <c r="I368" i="105"/>
  <c r="J367" i="105"/>
  <c r="I367" i="105"/>
  <c r="J366" i="105"/>
  <c r="I366" i="105"/>
  <c r="J365" i="105"/>
  <c r="I365" i="105"/>
  <c r="J364" i="105"/>
  <c r="I364" i="105"/>
  <c r="J363" i="105"/>
  <c r="I363" i="105"/>
  <c r="J362" i="105"/>
  <c r="I362" i="105"/>
  <c r="J361" i="105"/>
  <c r="I361" i="105"/>
  <c r="J360" i="105"/>
  <c r="I360" i="105"/>
  <c r="J359" i="105"/>
  <c r="I359" i="105"/>
  <c r="J358" i="105"/>
  <c r="I358" i="105"/>
  <c r="J357" i="105"/>
  <c r="I357" i="105"/>
  <c r="J356" i="105"/>
  <c r="I356" i="105"/>
  <c r="J355" i="105"/>
  <c r="I355" i="105"/>
  <c r="J354" i="105"/>
  <c r="I354" i="105"/>
  <c r="J353" i="105"/>
  <c r="I353" i="105"/>
  <c r="J352" i="105"/>
  <c r="I352" i="105"/>
  <c r="J351" i="105"/>
  <c r="I351" i="105"/>
  <c r="J350" i="105"/>
  <c r="I350" i="105"/>
  <c r="J349" i="105"/>
  <c r="I349" i="105"/>
  <c r="J348" i="105"/>
  <c r="I348" i="105"/>
  <c r="J347" i="105"/>
  <c r="I347" i="105"/>
  <c r="J346" i="105"/>
  <c r="I346" i="105"/>
  <c r="J345" i="105"/>
  <c r="I345" i="105"/>
  <c r="J344" i="105"/>
  <c r="I344" i="105"/>
  <c r="J343" i="105"/>
  <c r="I343" i="105"/>
  <c r="J342" i="105"/>
  <c r="I342" i="105"/>
  <c r="J341" i="105"/>
  <c r="I341" i="105"/>
  <c r="J340" i="105"/>
  <c r="I340" i="105"/>
  <c r="J339" i="105"/>
  <c r="I339" i="105"/>
  <c r="J338" i="105"/>
  <c r="I338" i="105"/>
  <c r="J337" i="105"/>
  <c r="I337" i="105"/>
  <c r="J336" i="105"/>
  <c r="I336" i="105"/>
  <c r="J335" i="105"/>
  <c r="I335" i="105"/>
  <c r="J334" i="105"/>
  <c r="I334" i="105"/>
  <c r="J333" i="105"/>
  <c r="I333" i="105"/>
  <c r="J332" i="105"/>
  <c r="I332" i="105"/>
  <c r="J331" i="105"/>
  <c r="I331" i="105"/>
  <c r="J330" i="105"/>
  <c r="I330" i="105"/>
  <c r="J329" i="105"/>
  <c r="I329" i="105"/>
  <c r="J328" i="105"/>
  <c r="I328" i="105"/>
  <c r="J327" i="105"/>
  <c r="I327" i="105"/>
  <c r="J326" i="105"/>
  <c r="I326" i="105"/>
  <c r="J325" i="105"/>
  <c r="I325" i="105"/>
  <c r="J324" i="105"/>
  <c r="I324" i="105"/>
  <c r="J323" i="105"/>
  <c r="I323" i="105"/>
  <c r="J322" i="105"/>
  <c r="I322" i="105"/>
  <c r="J321" i="105"/>
  <c r="I321" i="105"/>
  <c r="J320" i="105"/>
  <c r="I320" i="105"/>
  <c r="J319" i="105"/>
  <c r="I319" i="105"/>
  <c r="J318" i="105"/>
  <c r="I318" i="105"/>
  <c r="J317" i="105"/>
  <c r="I317" i="105"/>
  <c r="J316" i="105"/>
  <c r="I316" i="105"/>
  <c r="J315" i="105"/>
  <c r="I315" i="105"/>
  <c r="J314" i="105"/>
  <c r="I314" i="105"/>
  <c r="J313" i="105"/>
  <c r="I313" i="105"/>
  <c r="J312" i="105"/>
  <c r="I312" i="105"/>
  <c r="J311" i="105"/>
  <c r="I311" i="105"/>
  <c r="J310" i="105"/>
  <c r="I310" i="105"/>
  <c r="J309" i="105"/>
  <c r="I309" i="105"/>
  <c r="J308" i="105"/>
  <c r="I308" i="105"/>
  <c r="J307" i="105"/>
  <c r="I307" i="105"/>
  <c r="J306" i="105"/>
  <c r="I306" i="105"/>
  <c r="J305" i="105"/>
  <c r="I305" i="105"/>
  <c r="J304" i="105"/>
  <c r="I304" i="105"/>
  <c r="J303" i="105"/>
  <c r="I303" i="105"/>
  <c r="J302" i="105"/>
  <c r="I302" i="105"/>
  <c r="J301" i="105"/>
  <c r="I301" i="105"/>
  <c r="J300" i="105"/>
  <c r="I300" i="105"/>
  <c r="J299" i="105"/>
  <c r="I299" i="105"/>
  <c r="J298" i="105"/>
  <c r="I298" i="105"/>
  <c r="J297" i="105"/>
  <c r="I297" i="105"/>
  <c r="J296" i="105"/>
  <c r="I296" i="105"/>
  <c r="J295" i="105"/>
  <c r="I295" i="105"/>
  <c r="J294" i="105"/>
  <c r="I294" i="105"/>
  <c r="J293" i="105"/>
  <c r="I293" i="105"/>
  <c r="J292" i="105"/>
  <c r="I292" i="105"/>
  <c r="J291" i="105"/>
  <c r="I291" i="105"/>
  <c r="J290" i="105"/>
  <c r="I290" i="105"/>
  <c r="J289" i="105"/>
  <c r="I289" i="105"/>
  <c r="J288" i="105"/>
  <c r="I288" i="105"/>
  <c r="J287" i="105"/>
  <c r="I287" i="105"/>
  <c r="J286" i="105"/>
  <c r="I286" i="105"/>
  <c r="J285" i="105"/>
  <c r="I285" i="105"/>
  <c r="J284" i="105"/>
  <c r="I284" i="105"/>
  <c r="J283" i="105"/>
  <c r="I283" i="105"/>
  <c r="J282" i="105"/>
  <c r="I282" i="105"/>
  <c r="J281" i="105"/>
  <c r="I281" i="105"/>
  <c r="J280" i="105"/>
  <c r="I280" i="105"/>
  <c r="J279" i="105"/>
  <c r="I279" i="105"/>
  <c r="J278" i="105"/>
  <c r="I278" i="105"/>
  <c r="J277" i="105"/>
  <c r="I277" i="105"/>
  <c r="J276" i="105"/>
  <c r="I276" i="105"/>
  <c r="J275" i="105"/>
  <c r="I275" i="105"/>
  <c r="J274" i="105"/>
  <c r="I274" i="105"/>
  <c r="J273" i="105"/>
  <c r="I273" i="105"/>
  <c r="J272" i="105"/>
  <c r="I272" i="105"/>
  <c r="J271" i="105"/>
  <c r="I271" i="105"/>
  <c r="J270" i="105"/>
  <c r="I270" i="105"/>
  <c r="J269" i="105"/>
  <c r="I269" i="105"/>
  <c r="J268" i="105"/>
  <c r="I268" i="105"/>
  <c r="J267" i="105"/>
  <c r="I267" i="105"/>
  <c r="J266" i="105"/>
  <c r="I266" i="105"/>
  <c r="J265" i="105"/>
  <c r="I265" i="105"/>
  <c r="J264" i="105"/>
  <c r="I264" i="105"/>
  <c r="J263" i="105"/>
  <c r="I263" i="105"/>
  <c r="J262" i="105"/>
  <c r="I262" i="105"/>
  <c r="J261" i="105"/>
  <c r="I261" i="105"/>
  <c r="J260" i="105"/>
  <c r="I260" i="105"/>
  <c r="J259" i="105"/>
  <c r="I259" i="105"/>
  <c r="J258" i="105"/>
  <c r="I258" i="105"/>
  <c r="J257" i="105"/>
  <c r="I257" i="105"/>
  <c r="J256" i="105"/>
  <c r="I256" i="105"/>
  <c r="J255" i="105"/>
  <c r="I255" i="105"/>
  <c r="J254" i="105"/>
  <c r="I254" i="105"/>
  <c r="J253" i="105"/>
  <c r="I253" i="105"/>
  <c r="J252" i="105"/>
  <c r="I252" i="105"/>
  <c r="J251" i="105"/>
  <c r="I251" i="105"/>
  <c r="J250" i="105"/>
  <c r="I250" i="105"/>
  <c r="J249" i="105"/>
  <c r="I249" i="105"/>
  <c r="J248" i="105"/>
  <c r="I248" i="105"/>
  <c r="J247" i="105"/>
  <c r="I247" i="105"/>
  <c r="J246" i="105"/>
  <c r="I246" i="105"/>
  <c r="J245" i="105"/>
  <c r="I245" i="105"/>
  <c r="J244" i="105"/>
  <c r="I244" i="105"/>
  <c r="J243" i="105"/>
  <c r="I243" i="105"/>
  <c r="J242" i="105"/>
  <c r="I242" i="105"/>
  <c r="J241" i="105"/>
  <c r="I241" i="105"/>
  <c r="J240" i="105"/>
  <c r="I240" i="105"/>
  <c r="J239" i="105"/>
  <c r="I239" i="105"/>
  <c r="J238" i="105"/>
  <c r="I238" i="105"/>
  <c r="J237" i="105"/>
  <c r="I237" i="105"/>
  <c r="J236" i="105"/>
  <c r="I236" i="105"/>
  <c r="J235" i="105"/>
  <c r="I235" i="105"/>
  <c r="J234" i="105"/>
  <c r="I234" i="105"/>
  <c r="J233" i="105"/>
  <c r="I233" i="105"/>
  <c r="J232" i="105"/>
  <c r="I232" i="105"/>
  <c r="J231" i="105"/>
  <c r="I231" i="105"/>
  <c r="J230" i="105"/>
  <c r="I230" i="105"/>
  <c r="J229" i="105"/>
  <c r="I229" i="105"/>
  <c r="J228" i="105"/>
  <c r="I228" i="105"/>
  <c r="J227" i="105"/>
  <c r="I227" i="105"/>
  <c r="J226" i="105"/>
  <c r="I226" i="105"/>
  <c r="J225" i="105"/>
  <c r="I225" i="105"/>
  <c r="J224" i="105"/>
  <c r="I224" i="105"/>
  <c r="J223" i="105"/>
  <c r="I223" i="105"/>
  <c r="J222" i="105"/>
  <c r="I222" i="105"/>
  <c r="J221" i="105"/>
  <c r="I221" i="105"/>
  <c r="J220" i="105"/>
  <c r="I220" i="105"/>
  <c r="J219" i="105"/>
  <c r="I219" i="105"/>
  <c r="J218" i="105"/>
  <c r="I218" i="105"/>
  <c r="J217" i="105"/>
  <c r="I217" i="105"/>
  <c r="J216" i="105"/>
  <c r="I216" i="105"/>
  <c r="J215" i="105"/>
  <c r="I215" i="105"/>
  <c r="J214" i="105"/>
  <c r="I214" i="105"/>
  <c r="J213" i="105"/>
  <c r="I213" i="105"/>
  <c r="J212" i="105"/>
  <c r="I212" i="105"/>
  <c r="J211" i="105"/>
  <c r="I211" i="105"/>
  <c r="J210" i="105"/>
  <c r="I210" i="105"/>
  <c r="J209" i="105"/>
  <c r="I209" i="105"/>
  <c r="J208" i="105"/>
  <c r="I208" i="105"/>
  <c r="J207" i="105"/>
  <c r="I207" i="105"/>
  <c r="J206" i="105"/>
  <c r="I206" i="105"/>
  <c r="J205" i="105"/>
  <c r="I205" i="105"/>
  <c r="J204" i="105"/>
  <c r="I204" i="105"/>
  <c r="J203" i="105"/>
  <c r="I203" i="105"/>
  <c r="J202" i="105"/>
  <c r="I202" i="105"/>
  <c r="J201" i="105"/>
  <c r="I201" i="105"/>
  <c r="J200" i="105"/>
  <c r="I200" i="105"/>
  <c r="J199" i="105"/>
  <c r="I199" i="105"/>
  <c r="J198" i="105"/>
  <c r="I198" i="105"/>
  <c r="J197" i="105"/>
  <c r="I197" i="105"/>
  <c r="J196" i="105"/>
  <c r="I196" i="105"/>
  <c r="J195" i="105"/>
  <c r="I195" i="105"/>
  <c r="J194" i="105"/>
  <c r="I194" i="105"/>
  <c r="J193" i="105"/>
  <c r="I193" i="105"/>
  <c r="J192" i="105"/>
  <c r="I192" i="105"/>
  <c r="J191" i="105"/>
  <c r="I191" i="105"/>
  <c r="J190" i="105"/>
  <c r="I190" i="105"/>
  <c r="J189" i="105"/>
  <c r="I189" i="105"/>
  <c r="J188" i="105"/>
  <c r="I188" i="105"/>
  <c r="J187" i="105"/>
  <c r="I187" i="105"/>
  <c r="J186" i="105"/>
  <c r="I186" i="105"/>
  <c r="J185" i="105"/>
  <c r="I185" i="105"/>
  <c r="J184" i="105"/>
  <c r="I184" i="105"/>
  <c r="J183" i="105"/>
  <c r="I183" i="105"/>
  <c r="J182" i="105"/>
  <c r="I182" i="105"/>
  <c r="J181" i="105"/>
  <c r="I181" i="105"/>
  <c r="J180" i="105"/>
  <c r="I180" i="105"/>
  <c r="J179" i="105"/>
  <c r="I179" i="105"/>
  <c r="J178" i="105"/>
  <c r="I178" i="105"/>
  <c r="J177" i="105"/>
  <c r="I177" i="105"/>
  <c r="J176" i="105"/>
  <c r="I176" i="105"/>
  <c r="J175" i="105"/>
  <c r="I175" i="105"/>
  <c r="J174" i="105"/>
  <c r="I174" i="105"/>
  <c r="J173" i="105"/>
  <c r="I173" i="105"/>
  <c r="J172" i="105"/>
  <c r="I172" i="105"/>
  <c r="J171" i="105"/>
  <c r="I171" i="105"/>
  <c r="J170" i="105"/>
  <c r="I170" i="105"/>
  <c r="J169" i="105"/>
  <c r="I169" i="105"/>
  <c r="J168" i="105"/>
  <c r="I168" i="105"/>
  <c r="J167" i="105"/>
  <c r="I167" i="105"/>
  <c r="J166" i="105"/>
  <c r="I166" i="105"/>
  <c r="J165" i="105"/>
  <c r="I165" i="105"/>
  <c r="J164" i="105"/>
  <c r="I164" i="105"/>
  <c r="J163" i="105"/>
  <c r="I163" i="105"/>
  <c r="J162" i="105"/>
  <c r="I162" i="105"/>
  <c r="J161" i="105"/>
  <c r="I161" i="105"/>
  <c r="J160" i="105"/>
  <c r="I160" i="105"/>
  <c r="J159" i="105"/>
  <c r="I159" i="105"/>
  <c r="J158" i="105"/>
  <c r="I158" i="105"/>
  <c r="J157" i="105"/>
  <c r="I157" i="105"/>
  <c r="J156" i="105"/>
  <c r="I156" i="105"/>
  <c r="J155" i="105"/>
  <c r="I155" i="105"/>
  <c r="J154" i="105"/>
  <c r="I154" i="105"/>
  <c r="J153" i="105"/>
  <c r="I153" i="105"/>
  <c r="J152" i="105"/>
  <c r="I152" i="105"/>
  <c r="J151" i="105"/>
  <c r="I151" i="105"/>
  <c r="J150" i="105"/>
  <c r="I150" i="105"/>
  <c r="J149" i="105"/>
  <c r="I149" i="105"/>
  <c r="J148" i="105"/>
  <c r="I148" i="105"/>
  <c r="J147" i="105"/>
  <c r="I147" i="105"/>
  <c r="J146" i="105"/>
  <c r="I146" i="105"/>
  <c r="J145" i="105"/>
  <c r="I145" i="105"/>
  <c r="J144" i="105"/>
  <c r="I144" i="105"/>
  <c r="J143" i="105"/>
  <c r="I143" i="105"/>
  <c r="J142" i="105"/>
  <c r="I142" i="105"/>
  <c r="J141" i="105"/>
  <c r="I141" i="105"/>
  <c r="J140" i="105"/>
  <c r="I140" i="105"/>
  <c r="J139" i="105"/>
  <c r="I139" i="105"/>
  <c r="J138" i="105"/>
  <c r="I138" i="105"/>
  <c r="J137" i="105"/>
  <c r="I137" i="105"/>
  <c r="J136" i="105"/>
  <c r="I136" i="105"/>
  <c r="J135" i="105"/>
  <c r="I135" i="105"/>
  <c r="J134" i="105"/>
  <c r="I134" i="105"/>
  <c r="J133" i="105"/>
  <c r="I133" i="105"/>
  <c r="J132" i="105"/>
  <c r="I132" i="105"/>
  <c r="J131" i="105"/>
  <c r="I131" i="105"/>
  <c r="J130" i="105"/>
  <c r="I130" i="105"/>
  <c r="J129" i="105"/>
  <c r="I129" i="105"/>
  <c r="J128" i="105"/>
  <c r="I128" i="105"/>
  <c r="J127" i="105"/>
  <c r="I127" i="105"/>
  <c r="J126" i="105"/>
  <c r="I126" i="105"/>
  <c r="J125" i="105"/>
  <c r="I125" i="105"/>
  <c r="J124" i="105"/>
  <c r="I124" i="105"/>
  <c r="J123" i="105"/>
  <c r="I123" i="105"/>
  <c r="J122" i="105"/>
  <c r="I122" i="105"/>
  <c r="J121" i="105"/>
  <c r="I121" i="105"/>
  <c r="J120" i="105"/>
  <c r="I120" i="105"/>
  <c r="J119" i="105"/>
  <c r="I119" i="105"/>
  <c r="J118" i="105"/>
  <c r="I118" i="105"/>
  <c r="J117" i="105"/>
  <c r="I117" i="105"/>
  <c r="J116" i="105"/>
  <c r="I116" i="105"/>
  <c r="J115" i="105"/>
  <c r="I115" i="105"/>
  <c r="J114" i="105"/>
  <c r="I114" i="105"/>
  <c r="J113" i="105"/>
  <c r="I113" i="105"/>
  <c r="J112" i="105"/>
  <c r="I112" i="105"/>
  <c r="J111" i="105"/>
  <c r="I111" i="105"/>
  <c r="J110" i="105"/>
  <c r="I110" i="105"/>
  <c r="J109" i="105"/>
  <c r="I109" i="105"/>
  <c r="J108" i="105"/>
  <c r="I108" i="105"/>
  <c r="J107" i="105"/>
  <c r="I107" i="105"/>
  <c r="J106" i="105"/>
  <c r="I106" i="105"/>
  <c r="J105" i="105"/>
  <c r="I105" i="105"/>
  <c r="J104" i="105"/>
  <c r="I104" i="105"/>
  <c r="J103" i="105"/>
  <c r="I103" i="105"/>
  <c r="J102" i="105"/>
  <c r="I102" i="105"/>
  <c r="J101" i="105"/>
  <c r="I101" i="105"/>
  <c r="J100" i="105"/>
  <c r="I100" i="105"/>
  <c r="J99" i="105"/>
  <c r="I99" i="105"/>
  <c r="J98" i="105"/>
  <c r="I98" i="105"/>
  <c r="J97" i="105"/>
  <c r="I97" i="105"/>
  <c r="J96" i="105"/>
  <c r="I96" i="105"/>
  <c r="J95" i="105"/>
  <c r="I95" i="105"/>
  <c r="J94" i="105"/>
  <c r="I94" i="105"/>
  <c r="J93" i="105"/>
  <c r="I93" i="105"/>
  <c r="J92" i="105"/>
  <c r="I92" i="105"/>
  <c r="J91" i="105"/>
  <c r="I91" i="105"/>
  <c r="J90" i="105"/>
  <c r="I90" i="105"/>
  <c r="J89" i="105"/>
  <c r="I89" i="105"/>
  <c r="J88" i="105"/>
  <c r="I88" i="105"/>
  <c r="J87" i="105"/>
  <c r="I87" i="105"/>
  <c r="J86" i="105"/>
  <c r="I86" i="105"/>
  <c r="J85" i="105"/>
  <c r="I85" i="105"/>
  <c r="J84" i="105"/>
  <c r="I84" i="105"/>
  <c r="J83" i="105"/>
  <c r="I83" i="105"/>
  <c r="J82" i="105"/>
  <c r="I82" i="105"/>
  <c r="J81" i="105"/>
  <c r="I81" i="105"/>
  <c r="J80" i="105"/>
  <c r="I80" i="105"/>
  <c r="J79" i="105"/>
  <c r="I79" i="105"/>
  <c r="J78" i="105"/>
  <c r="I78" i="105"/>
  <c r="J77" i="105"/>
  <c r="I77" i="105"/>
  <c r="J76" i="105"/>
  <c r="I76" i="105"/>
  <c r="J75" i="105"/>
  <c r="I75" i="105"/>
  <c r="J74" i="105"/>
  <c r="I74" i="105"/>
  <c r="J73" i="105"/>
  <c r="I73" i="105"/>
  <c r="J72" i="105"/>
  <c r="I72" i="105"/>
  <c r="J71" i="105"/>
  <c r="I71" i="105"/>
  <c r="J70" i="105"/>
  <c r="I70" i="105"/>
  <c r="J69" i="105"/>
  <c r="I69" i="105"/>
  <c r="J68" i="105"/>
  <c r="I68" i="105"/>
  <c r="J67" i="105"/>
  <c r="I67" i="105"/>
  <c r="J66" i="105"/>
  <c r="I66" i="105"/>
  <c r="J65" i="105"/>
  <c r="I65" i="105"/>
  <c r="J64" i="105"/>
  <c r="I64" i="105"/>
  <c r="J63" i="105"/>
  <c r="I63" i="105"/>
  <c r="J62" i="105"/>
  <c r="I62" i="105"/>
  <c r="J61" i="105"/>
  <c r="I61" i="105"/>
  <c r="J60" i="105"/>
  <c r="I60" i="105"/>
  <c r="J59" i="105"/>
  <c r="I59" i="105"/>
  <c r="J58" i="105"/>
  <c r="I58" i="105"/>
  <c r="J57" i="105"/>
  <c r="I57" i="105"/>
  <c r="J56" i="105"/>
  <c r="I56" i="105"/>
  <c r="J55" i="105"/>
  <c r="I55" i="105"/>
  <c r="J54" i="105"/>
  <c r="I54" i="105"/>
  <c r="J53" i="105"/>
  <c r="I53" i="105"/>
  <c r="J52" i="105"/>
  <c r="I52" i="105"/>
  <c r="J51" i="105"/>
  <c r="I51" i="105"/>
  <c r="J50" i="105"/>
  <c r="I50" i="105"/>
  <c r="J49" i="105"/>
  <c r="I49" i="105"/>
  <c r="J48" i="105"/>
  <c r="I48" i="105"/>
  <c r="J47" i="105"/>
  <c r="I47" i="105"/>
  <c r="J46" i="105"/>
  <c r="I46" i="105"/>
  <c r="J45" i="105"/>
  <c r="I45" i="105"/>
  <c r="J44" i="105"/>
  <c r="I44" i="105"/>
  <c r="J43" i="105"/>
  <c r="I43" i="105"/>
  <c r="J42" i="105"/>
  <c r="I42" i="105"/>
  <c r="J41" i="105"/>
  <c r="I41" i="105"/>
  <c r="J40" i="105"/>
  <c r="I40" i="105"/>
  <c r="J39" i="105"/>
  <c r="I39" i="105"/>
  <c r="J38" i="105"/>
  <c r="I38" i="105"/>
  <c r="J37" i="105"/>
  <c r="I37" i="105"/>
  <c r="J36" i="105"/>
  <c r="I36" i="105"/>
  <c r="J35" i="105"/>
  <c r="I35" i="105"/>
  <c r="J34" i="105"/>
  <c r="I34" i="105"/>
  <c r="J33" i="105"/>
  <c r="I33" i="105"/>
  <c r="J32" i="105"/>
  <c r="I32" i="105"/>
  <c r="J31" i="105"/>
  <c r="I31" i="105"/>
  <c r="J30" i="105"/>
  <c r="I30" i="105"/>
  <c r="J29" i="105"/>
  <c r="I29" i="105"/>
  <c r="J28" i="105"/>
  <c r="I28" i="105"/>
  <c r="J27" i="105"/>
  <c r="I27" i="105"/>
  <c r="J26" i="105"/>
  <c r="I26" i="105"/>
  <c r="J25" i="105"/>
  <c r="I25" i="105"/>
  <c r="J24" i="105"/>
  <c r="I24" i="105"/>
  <c r="J23" i="105"/>
  <c r="I23" i="105"/>
  <c r="J22" i="105"/>
  <c r="I22" i="105"/>
  <c r="J21" i="105"/>
  <c r="I21" i="105"/>
  <c r="J20" i="105"/>
  <c r="I20" i="105"/>
  <c r="J19" i="105"/>
  <c r="I19" i="105"/>
  <c r="J18" i="105"/>
  <c r="I18" i="105"/>
  <c r="J17" i="105"/>
  <c r="I17" i="105"/>
  <c r="J16" i="105"/>
  <c r="I16" i="105"/>
  <c r="J15" i="105"/>
  <c r="I15" i="105"/>
  <c r="J14" i="105"/>
  <c r="I14" i="105"/>
  <c r="J13" i="105"/>
  <c r="I13" i="105"/>
  <c r="J12" i="105"/>
  <c r="I12" i="105"/>
  <c r="J11" i="105"/>
  <c r="I11" i="105"/>
  <c r="J10" i="105"/>
  <c r="I10" i="105"/>
  <c r="J9" i="105"/>
  <c r="I9" i="105"/>
  <c r="J8" i="105"/>
  <c r="I8" i="105"/>
  <c r="J7" i="105"/>
  <c r="I7" i="105"/>
  <c r="J6" i="105"/>
  <c r="I6" i="105"/>
  <c r="J5" i="105"/>
  <c r="I5" i="105"/>
  <c r="J4" i="105"/>
  <c r="I4" i="105"/>
  <c r="J3" i="105"/>
  <c r="I3" i="105"/>
  <c r="I2" i="105"/>
  <c r="J390" i="104"/>
  <c r="I390" i="104"/>
  <c r="J389" i="104"/>
  <c r="I389" i="104"/>
  <c r="J388" i="104"/>
  <c r="I388" i="104"/>
  <c r="J387" i="104"/>
  <c r="I387" i="104"/>
  <c r="J386" i="104"/>
  <c r="I386" i="104"/>
  <c r="J385" i="104"/>
  <c r="I385" i="104"/>
  <c r="J384" i="104"/>
  <c r="I384" i="104"/>
  <c r="J383" i="104"/>
  <c r="I383" i="104"/>
  <c r="J382" i="104"/>
  <c r="I382" i="104"/>
  <c r="J381" i="104"/>
  <c r="I381" i="104"/>
  <c r="J380" i="104"/>
  <c r="I380" i="104"/>
  <c r="J379" i="104"/>
  <c r="I379" i="104"/>
  <c r="J378" i="104"/>
  <c r="I378" i="104"/>
  <c r="J377" i="104"/>
  <c r="I377" i="104"/>
  <c r="J376" i="104"/>
  <c r="I376" i="104"/>
  <c r="J375" i="104"/>
  <c r="I375" i="104"/>
  <c r="J374" i="104"/>
  <c r="I374" i="104"/>
  <c r="J373" i="104"/>
  <c r="I373" i="104"/>
  <c r="J372" i="104"/>
  <c r="I372" i="104"/>
  <c r="J371" i="104"/>
  <c r="I371" i="104"/>
  <c r="J370" i="104"/>
  <c r="I370" i="104"/>
  <c r="J369" i="104"/>
  <c r="I369" i="104"/>
  <c r="J368" i="104"/>
  <c r="I368" i="104"/>
  <c r="J367" i="104"/>
  <c r="I367" i="104"/>
  <c r="J366" i="104"/>
  <c r="I366" i="104"/>
  <c r="J365" i="104"/>
  <c r="I365" i="104"/>
  <c r="J364" i="104"/>
  <c r="I364" i="104"/>
  <c r="J363" i="104"/>
  <c r="I363" i="104"/>
  <c r="J362" i="104"/>
  <c r="I362" i="104"/>
  <c r="J361" i="104"/>
  <c r="I361" i="104"/>
  <c r="J360" i="104"/>
  <c r="I360" i="104"/>
  <c r="J359" i="104"/>
  <c r="I359" i="104"/>
  <c r="J358" i="104"/>
  <c r="I358" i="104"/>
  <c r="J357" i="104"/>
  <c r="I357" i="104"/>
  <c r="J356" i="104"/>
  <c r="I356" i="104"/>
  <c r="J355" i="104"/>
  <c r="I355" i="104"/>
  <c r="J354" i="104"/>
  <c r="I354" i="104"/>
  <c r="J353" i="104"/>
  <c r="I353" i="104"/>
  <c r="J352" i="104"/>
  <c r="I352" i="104"/>
  <c r="J351" i="104"/>
  <c r="I351" i="104"/>
  <c r="J350" i="104"/>
  <c r="I350" i="104"/>
  <c r="J349" i="104"/>
  <c r="I349" i="104"/>
  <c r="J348" i="104"/>
  <c r="I348" i="104"/>
  <c r="J347" i="104"/>
  <c r="I347" i="104"/>
  <c r="J346" i="104"/>
  <c r="I346" i="104"/>
  <c r="J345" i="104"/>
  <c r="I345" i="104"/>
  <c r="J344" i="104"/>
  <c r="I344" i="104"/>
  <c r="J343" i="104"/>
  <c r="I343" i="104"/>
  <c r="J342" i="104"/>
  <c r="I342" i="104"/>
  <c r="J341" i="104"/>
  <c r="I341" i="104"/>
  <c r="J340" i="104"/>
  <c r="I340" i="104"/>
  <c r="J339" i="104"/>
  <c r="I339" i="104"/>
  <c r="J338" i="104"/>
  <c r="I338" i="104"/>
  <c r="J337" i="104"/>
  <c r="I337" i="104"/>
  <c r="J336" i="104"/>
  <c r="I336" i="104"/>
  <c r="J335" i="104"/>
  <c r="I335" i="104"/>
  <c r="J334" i="104"/>
  <c r="I334" i="104"/>
  <c r="J333" i="104"/>
  <c r="I333" i="104"/>
  <c r="J332" i="104"/>
  <c r="I332" i="104"/>
  <c r="J331" i="104"/>
  <c r="I331" i="104"/>
  <c r="J330" i="104"/>
  <c r="I330" i="104"/>
  <c r="J329" i="104"/>
  <c r="I329" i="104"/>
  <c r="J328" i="104"/>
  <c r="I328" i="104"/>
  <c r="J327" i="104"/>
  <c r="I327" i="104"/>
  <c r="J326" i="104"/>
  <c r="I326" i="104"/>
  <c r="J325" i="104"/>
  <c r="I325" i="104"/>
  <c r="J324" i="104"/>
  <c r="I324" i="104"/>
  <c r="J323" i="104"/>
  <c r="I323" i="104"/>
  <c r="J322" i="104"/>
  <c r="I322" i="104"/>
  <c r="J321" i="104"/>
  <c r="I321" i="104"/>
  <c r="J320" i="104"/>
  <c r="I320" i="104"/>
  <c r="J319" i="104"/>
  <c r="I319" i="104"/>
  <c r="J318" i="104"/>
  <c r="I318" i="104"/>
  <c r="J317" i="104"/>
  <c r="I317" i="104"/>
  <c r="J316" i="104"/>
  <c r="I316" i="104"/>
  <c r="J315" i="104"/>
  <c r="I315" i="104"/>
  <c r="J314" i="104"/>
  <c r="I314" i="104"/>
  <c r="J313" i="104"/>
  <c r="I313" i="104"/>
  <c r="J312" i="104"/>
  <c r="I312" i="104"/>
  <c r="J311" i="104"/>
  <c r="I311" i="104"/>
  <c r="J310" i="104"/>
  <c r="I310" i="104"/>
  <c r="J309" i="104"/>
  <c r="I309" i="104"/>
  <c r="J308" i="104"/>
  <c r="I308" i="104"/>
  <c r="J307" i="104"/>
  <c r="I307" i="104"/>
  <c r="J306" i="104"/>
  <c r="I306" i="104"/>
  <c r="J305" i="104"/>
  <c r="I305" i="104"/>
  <c r="J304" i="104"/>
  <c r="I304" i="104"/>
  <c r="J303" i="104"/>
  <c r="I303" i="104"/>
  <c r="J302" i="104"/>
  <c r="I302" i="104"/>
  <c r="J301" i="104"/>
  <c r="I301" i="104"/>
  <c r="J300" i="104"/>
  <c r="I300" i="104"/>
  <c r="J299" i="104"/>
  <c r="I299" i="104"/>
  <c r="J298" i="104"/>
  <c r="I298" i="104"/>
  <c r="J297" i="104"/>
  <c r="I297" i="104"/>
  <c r="J296" i="104"/>
  <c r="I296" i="104"/>
  <c r="J295" i="104"/>
  <c r="I295" i="104"/>
  <c r="J294" i="104"/>
  <c r="I294" i="104"/>
  <c r="J293" i="104"/>
  <c r="I293" i="104"/>
  <c r="J292" i="104"/>
  <c r="I292" i="104"/>
  <c r="J291" i="104"/>
  <c r="I291" i="104"/>
  <c r="J290" i="104"/>
  <c r="I290" i="104"/>
  <c r="J289" i="104"/>
  <c r="I289" i="104"/>
  <c r="J288" i="104"/>
  <c r="I288" i="104"/>
  <c r="J287" i="104"/>
  <c r="I287" i="104"/>
  <c r="J286" i="104"/>
  <c r="I286" i="104"/>
  <c r="J285" i="104"/>
  <c r="I285" i="104"/>
  <c r="J284" i="104"/>
  <c r="I284" i="104"/>
  <c r="J283" i="104"/>
  <c r="I283" i="104"/>
  <c r="J282" i="104"/>
  <c r="I282" i="104"/>
  <c r="J281" i="104"/>
  <c r="I281" i="104"/>
  <c r="J280" i="104"/>
  <c r="I280" i="104"/>
  <c r="J279" i="104"/>
  <c r="I279" i="104"/>
  <c r="J278" i="104"/>
  <c r="I278" i="104"/>
  <c r="J277" i="104"/>
  <c r="I277" i="104"/>
  <c r="J276" i="104"/>
  <c r="I276" i="104"/>
  <c r="J275" i="104"/>
  <c r="I275" i="104"/>
  <c r="J274" i="104"/>
  <c r="I274" i="104"/>
  <c r="J273" i="104"/>
  <c r="I273" i="104"/>
  <c r="J272" i="104"/>
  <c r="I272" i="104"/>
  <c r="J271" i="104"/>
  <c r="I271" i="104"/>
  <c r="J270" i="104"/>
  <c r="I270" i="104"/>
  <c r="J269" i="104"/>
  <c r="I269" i="104"/>
  <c r="J268" i="104"/>
  <c r="I268" i="104"/>
  <c r="J267" i="104"/>
  <c r="I267" i="104"/>
  <c r="J266" i="104"/>
  <c r="I266" i="104"/>
  <c r="J265" i="104"/>
  <c r="I265" i="104"/>
  <c r="J264" i="104"/>
  <c r="I264" i="104"/>
  <c r="J263" i="104"/>
  <c r="I263" i="104"/>
  <c r="J262" i="104"/>
  <c r="I262" i="104"/>
  <c r="J261" i="104"/>
  <c r="I261" i="104"/>
  <c r="J260" i="104"/>
  <c r="I260" i="104"/>
  <c r="J259" i="104"/>
  <c r="I259" i="104"/>
  <c r="J258" i="104"/>
  <c r="I258" i="104"/>
  <c r="J257" i="104"/>
  <c r="I257" i="104"/>
  <c r="J256" i="104"/>
  <c r="I256" i="104"/>
  <c r="J255" i="104"/>
  <c r="I255" i="104"/>
  <c r="J254" i="104"/>
  <c r="I254" i="104"/>
  <c r="J253" i="104"/>
  <c r="I253" i="104"/>
  <c r="J252" i="104"/>
  <c r="I252" i="104"/>
  <c r="J251" i="104"/>
  <c r="I251" i="104"/>
  <c r="J250" i="104"/>
  <c r="I250" i="104"/>
  <c r="J249" i="104"/>
  <c r="I249" i="104"/>
  <c r="J248" i="104"/>
  <c r="I248" i="104"/>
  <c r="J247" i="104"/>
  <c r="I247" i="104"/>
  <c r="J246" i="104"/>
  <c r="I246" i="104"/>
  <c r="J245" i="104"/>
  <c r="I245" i="104"/>
  <c r="J244" i="104"/>
  <c r="I244" i="104"/>
  <c r="J243" i="104"/>
  <c r="I243" i="104"/>
  <c r="J242" i="104"/>
  <c r="I242" i="104"/>
  <c r="J241" i="104"/>
  <c r="I241" i="104"/>
  <c r="J240" i="104"/>
  <c r="I240" i="104"/>
  <c r="J239" i="104"/>
  <c r="I239" i="104"/>
  <c r="J238" i="104"/>
  <c r="I238" i="104"/>
  <c r="J237" i="104"/>
  <c r="I237" i="104"/>
  <c r="J236" i="104"/>
  <c r="I236" i="104"/>
  <c r="J235" i="104"/>
  <c r="I235" i="104"/>
  <c r="J234" i="104"/>
  <c r="I234" i="104"/>
  <c r="J233" i="104"/>
  <c r="I233" i="104"/>
  <c r="J232" i="104"/>
  <c r="I232" i="104"/>
  <c r="J231" i="104"/>
  <c r="I231" i="104"/>
  <c r="J230" i="104"/>
  <c r="I230" i="104"/>
  <c r="J229" i="104"/>
  <c r="I229" i="104"/>
  <c r="J228" i="104"/>
  <c r="I228" i="104"/>
  <c r="J227" i="104"/>
  <c r="I227" i="104"/>
  <c r="J226" i="104"/>
  <c r="I226" i="104"/>
  <c r="J225" i="104"/>
  <c r="I225" i="104"/>
  <c r="J224" i="104"/>
  <c r="I224" i="104"/>
  <c r="J223" i="104"/>
  <c r="I223" i="104"/>
  <c r="J222" i="104"/>
  <c r="I222" i="104"/>
  <c r="J221" i="104"/>
  <c r="I221" i="104"/>
  <c r="J220" i="104"/>
  <c r="I220" i="104"/>
  <c r="J219" i="104"/>
  <c r="I219" i="104"/>
  <c r="J218" i="104"/>
  <c r="I218" i="104"/>
  <c r="J217" i="104"/>
  <c r="I217" i="104"/>
  <c r="J216" i="104"/>
  <c r="I216" i="104"/>
  <c r="J215" i="104"/>
  <c r="I215" i="104"/>
  <c r="J214" i="104"/>
  <c r="I214" i="104"/>
  <c r="J213" i="104"/>
  <c r="I213" i="104"/>
  <c r="J212" i="104"/>
  <c r="I212" i="104"/>
  <c r="J211" i="104"/>
  <c r="I211" i="104"/>
  <c r="J210" i="104"/>
  <c r="I210" i="104"/>
  <c r="J209" i="104"/>
  <c r="I209" i="104"/>
  <c r="J208" i="104"/>
  <c r="I208" i="104"/>
  <c r="J207" i="104"/>
  <c r="I207" i="104"/>
  <c r="J206" i="104"/>
  <c r="I206" i="104"/>
  <c r="J205" i="104"/>
  <c r="I205" i="104"/>
  <c r="J204" i="104"/>
  <c r="I204" i="104"/>
  <c r="J203" i="104"/>
  <c r="I203" i="104"/>
  <c r="J202" i="104"/>
  <c r="I202" i="104"/>
  <c r="J201" i="104"/>
  <c r="I201" i="104"/>
  <c r="J200" i="104"/>
  <c r="I200" i="104"/>
  <c r="J199" i="104"/>
  <c r="I199" i="104"/>
  <c r="J198" i="104"/>
  <c r="I198" i="104"/>
  <c r="J197" i="104"/>
  <c r="I197" i="104"/>
  <c r="J196" i="104"/>
  <c r="I196" i="104"/>
  <c r="J195" i="104"/>
  <c r="I195" i="104"/>
  <c r="J194" i="104"/>
  <c r="I194" i="104"/>
  <c r="J193" i="104"/>
  <c r="I193" i="104"/>
  <c r="J192" i="104"/>
  <c r="I192" i="104"/>
  <c r="J191" i="104"/>
  <c r="I191" i="104"/>
  <c r="J190" i="104"/>
  <c r="I190" i="104"/>
  <c r="J189" i="104"/>
  <c r="I189" i="104"/>
  <c r="J188" i="104"/>
  <c r="I188" i="104"/>
  <c r="J187" i="104"/>
  <c r="I187" i="104"/>
  <c r="J186" i="104"/>
  <c r="I186" i="104"/>
  <c r="J185" i="104"/>
  <c r="I185" i="104"/>
  <c r="J184" i="104"/>
  <c r="I184" i="104"/>
  <c r="J183" i="104"/>
  <c r="I183" i="104"/>
  <c r="J182" i="104"/>
  <c r="I182" i="104"/>
  <c r="J181" i="104"/>
  <c r="I181" i="104"/>
  <c r="J180" i="104"/>
  <c r="I180" i="104"/>
  <c r="J179" i="104"/>
  <c r="I179" i="104"/>
  <c r="J178" i="104"/>
  <c r="I178" i="104"/>
  <c r="J177" i="104"/>
  <c r="I177" i="104"/>
  <c r="J176" i="104"/>
  <c r="I176" i="104"/>
  <c r="J175" i="104"/>
  <c r="I175" i="104"/>
  <c r="J174" i="104"/>
  <c r="I174" i="104"/>
  <c r="J173" i="104"/>
  <c r="I173" i="104"/>
  <c r="J172" i="104"/>
  <c r="I172" i="104"/>
  <c r="J171" i="104"/>
  <c r="I171" i="104"/>
  <c r="J170" i="104"/>
  <c r="I170" i="104"/>
  <c r="J169" i="104"/>
  <c r="I169" i="104"/>
  <c r="J168" i="104"/>
  <c r="I168" i="104"/>
  <c r="J167" i="104"/>
  <c r="I167" i="104"/>
  <c r="J166" i="104"/>
  <c r="I166" i="104"/>
  <c r="J165" i="104"/>
  <c r="I165" i="104"/>
  <c r="J164" i="104"/>
  <c r="I164" i="104"/>
  <c r="J163" i="104"/>
  <c r="I163" i="104"/>
  <c r="J162" i="104"/>
  <c r="I162" i="104"/>
  <c r="J161" i="104"/>
  <c r="I161" i="104"/>
  <c r="J160" i="104"/>
  <c r="I160" i="104"/>
  <c r="J159" i="104"/>
  <c r="I159" i="104"/>
  <c r="J158" i="104"/>
  <c r="I158" i="104"/>
  <c r="J157" i="104"/>
  <c r="I157" i="104"/>
  <c r="J156" i="104"/>
  <c r="I156" i="104"/>
  <c r="J155" i="104"/>
  <c r="I155" i="104"/>
  <c r="J154" i="104"/>
  <c r="I154" i="104"/>
  <c r="J153" i="104"/>
  <c r="I153" i="104"/>
  <c r="J152" i="104"/>
  <c r="I152" i="104"/>
  <c r="J151" i="104"/>
  <c r="I151" i="104"/>
  <c r="J150" i="104"/>
  <c r="I150" i="104"/>
  <c r="J149" i="104"/>
  <c r="I149" i="104"/>
  <c r="J148" i="104"/>
  <c r="I148" i="104"/>
  <c r="J147" i="104"/>
  <c r="I147" i="104"/>
  <c r="J146" i="104"/>
  <c r="I146" i="104"/>
  <c r="J145" i="104"/>
  <c r="I145" i="104"/>
  <c r="J144" i="104"/>
  <c r="I144" i="104"/>
  <c r="J143" i="104"/>
  <c r="I143" i="104"/>
  <c r="J142" i="104"/>
  <c r="I142" i="104"/>
  <c r="J141" i="104"/>
  <c r="I141" i="104"/>
  <c r="J140" i="104"/>
  <c r="I140" i="104"/>
  <c r="J139" i="104"/>
  <c r="I139" i="104"/>
  <c r="J138" i="104"/>
  <c r="I138" i="104"/>
  <c r="J137" i="104"/>
  <c r="I137" i="104"/>
  <c r="J136" i="104"/>
  <c r="I136" i="104"/>
  <c r="J135" i="104"/>
  <c r="I135" i="104"/>
  <c r="J134" i="104"/>
  <c r="I134" i="104"/>
  <c r="J133" i="104"/>
  <c r="I133" i="104"/>
  <c r="J132" i="104"/>
  <c r="I132" i="104"/>
  <c r="J131" i="104"/>
  <c r="I131" i="104"/>
  <c r="J130" i="104"/>
  <c r="I130" i="104"/>
  <c r="J129" i="104"/>
  <c r="I129" i="104"/>
  <c r="J128" i="104"/>
  <c r="I128" i="104"/>
  <c r="J127" i="104"/>
  <c r="I127" i="104"/>
  <c r="J126" i="104"/>
  <c r="I126" i="104"/>
  <c r="J125" i="104"/>
  <c r="I125" i="104"/>
  <c r="J124" i="104"/>
  <c r="I124" i="104"/>
  <c r="J123" i="104"/>
  <c r="I123" i="104"/>
  <c r="J122" i="104"/>
  <c r="I122" i="104"/>
  <c r="J121" i="104"/>
  <c r="I121" i="104"/>
  <c r="J120" i="104"/>
  <c r="I120" i="104"/>
  <c r="J119" i="104"/>
  <c r="I119" i="104"/>
  <c r="J118" i="104"/>
  <c r="I118" i="104"/>
  <c r="J117" i="104"/>
  <c r="I117" i="104"/>
  <c r="J116" i="104"/>
  <c r="I116" i="104"/>
  <c r="J115" i="104"/>
  <c r="I115" i="104"/>
  <c r="J114" i="104"/>
  <c r="I114" i="104"/>
  <c r="J113" i="104"/>
  <c r="I113" i="104"/>
  <c r="J112" i="104"/>
  <c r="I112" i="104"/>
  <c r="J111" i="104"/>
  <c r="I111" i="104"/>
  <c r="J110" i="104"/>
  <c r="I110" i="104"/>
  <c r="J109" i="104"/>
  <c r="I109" i="104"/>
  <c r="J108" i="104"/>
  <c r="I108" i="104"/>
  <c r="J107" i="104"/>
  <c r="I107" i="104"/>
  <c r="J106" i="104"/>
  <c r="I106" i="104"/>
  <c r="J105" i="104"/>
  <c r="I105" i="104"/>
  <c r="J104" i="104"/>
  <c r="I104" i="104"/>
  <c r="J103" i="104"/>
  <c r="I103" i="104"/>
  <c r="J102" i="104"/>
  <c r="I102" i="104"/>
  <c r="J101" i="104"/>
  <c r="I101" i="104"/>
  <c r="J100" i="104"/>
  <c r="I100" i="104"/>
  <c r="J99" i="104"/>
  <c r="I99" i="104"/>
  <c r="J98" i="104"/>
  <c r="I98" i="104"/>
  <c r="J97" i="104"/>
  <c r="I97" i="104"/>
  <c r="J96" i="104"/>
  <c r="I96" i="104"/>
  <c r="J95" i="104"/>
  <c r="I95" i="104"/>
  <c r="J94" i="104"/>
  <c r="I94" i="104"/>
  <c r="J93" i="104"/>
  <c r="I93" i="104"/>
  <c r="J92" i="104"/>
  <c r="I92" i="104"/>
  <c r="J91" i="104"/>
  <c r="I91" i="104"/>
  <c r="J90" i="104"/>
  <c r="I90" i="104"/>
  <c r="J89" i="104"/>
  <c r="I89" i="104"/>
  <c r="J88" i="104"/>
  <c r="I88" i="104"/>
  <c r="J87" i="104"/>
  <c r="I87" i="104"/>
  <c r="J86" i="104"/>
  <c r="I86" i="104"/>
  <c r="J85" i="104"/>
  <c r="I85" i="104"/>
  <c r="J84" i="104"/>
  <c r="I84" i="104"/>
  <c r="J83" i="104"/>
  <c r="I83" i="104"/>
  <c r="J82" i="104"/>
  <c r="I82" i="104"/>
  <c r="J81" i="104"/>
  <c r="I81" i="104"/>
  <c r="J80" i="104"/>
  <c r="I80" i="104"/>
  <c r="J79" i="104"/>
  <c r="I79" i="104"/>
  <c r="J78" i="104"/>
  <c r="I78" i="104"/>
  <c r="J77" i="104"/>
  <c r="I77" i="104"/>
  <c r="J76" i="104"/>
  <c r="I76" i="104"/>
  <c r="J75" i="104"/>
  <c r="I75" i="104"/>
  <c r="J74" i="104"/>
  <c r="I74" i="104"/>
  <c r="J73" i="104"/>
  <c r="I73" i="104"/>
  <c r="J72" i="104"/>
  <c r="I72" i="104"/>
  <c r="J71" i="104"/>
  <c r="I71" i="104"/>
  <c r="J70" i="104"/>
  <c r="I70" i="104"/>
  <c r="J69" i="104"/>
  <c r="I69" i="104"/>
  <c r="J68" i="104"/>
  <c r="I68" i="104"/>
  <c r="J67" i="104"/>
  <c r="I67" i="104"/>
  <c r="J66" i="104"/>
  <c r="I66" i="104"/>
  <c r="J65" i="104"/>
  <c r="I65" i="104"/>
  <c r="J64" i="104"/>
  <c r="I64" i="104"/>
  <c r="J63" i="104"/>
  <c r="I63" i="104"/>
  <c r="J62" i="104"/>
  <c r="I62" i="104"/>
  <c r="J61" i="104"/>
  <c r="I61" i="104"/>
  <c r="J60" i="104"/>
  <c r="I60" i="104"/>
  <c r="J59" i="104"/>
  <c r="I59" i="104"/>
  <c r="J58" i="104"/>
  <c r="I58" i="104"/>
  <c r="J57" i="104"/>
  <c r="I57" i="104"/>
  <c r="J56" i="104"/>
  <c r="I56" i="104"/>
  <c r="J55" i="104"/>
  <c r="I55" i="104"/>
  <c r="J54" i="104"/>
  <c r="I54" i="104"/>
  <c r="J53" i="104"/>
  <c r="I53" i="104"/>
  <c r="J52" i="104"/>
  <c r="I52" i="104"/>
  <c r="J51" i="104"/>
  <c r="I51" i="104"/>
  <c r="J50" i="104"/>
  <c r="I50" i="104"/>
  <c r="J49" i="104"/>
  <c r="I49" i="104"/>
  <c r="J48" i="104"/>
  <c r="I48" i="104"/>
  <c r="J47" i="104"/>
  <c r="I47" i="104"/>
  <c r="J46" i="104"/>
  <c r="I46" i="104"/>
  <c r="J45" i="104"/>
  <c r="I45" i="104"/>
  <c r="J44" i="104"/>
  <c r="I44" i="104"/>
  <c r="J43" i="104"/>
  <c r="I43" i="104"/>
  <c r="J42" i="104"/>
  <c r="I42" i="104"/>
  <c r="J41" i="104"/>
  <c r="I41" i="104"/>
  <c r="J40" i="104"/>
  <c r="I40" i="104"/>
  <c r="J39" i="104"/>
  <c r="I39" i="104"/>
  <c r="J38" i="104"/>
  <c r="I38" i="104"/>
  <c r="J37" i="104"/>
  <c r="I37" i="104"/>
  <c r="J36" i="104"/>
  <c r="I36" i="104"/>
  <c r="J35" i="104"/>
  <c r="I35" i="104"/>
  <c r="J34" i="104"/>
  <c r="I34" i="104"/>
  <c r="J33" i="104"/>
  <c r="I33" i="104"/>
  <c r="J32" i="104"/>
  <c r="I32" i="104"/>
  <c r="J31" i="104"/>
  <c r="I31" i="104"/>
  <c r="J30" i="104"/>
  <c r="I30" i="104"/>
  <c r="J29" i="104"/>
  <c r="I29" i="104"/>
  <c r="J28" i="104"/>
  <c r="I28" i="104"/>
  <c r="J27" i="104"/>
  <c r="I27" i="104"/>
  <c r="J26" i="104"/>
  <c r="I26" i="104"/>
  <c r="J25" i="104"/>
  <c r="I25" i="104"/>
  <c r="J24" i="104"/>
  <c r="I24" i="104"/>
  <c r="J23" i="104"/>
  <c r="I23" i="104"/>
  <c r="J22" i="104"/>
  <c r="I22" i="104"/>
  <c r="J21" i="104"/>
  <c r="I21" i="104"/>
  <c r="J20" i="104"/>
  <c r="I20" i="104"/>
  <c r="J19" i="104"/>
  <c r="I19" i="104"/>
  <c r="J18" i="104"/>
  <c r="I18" i="104"/>
  <c r="J17" i="104"/>
  <c r="I17" i="104"/>
  <c r="J16" i="104"/>
  <c r="I16" i="104"/>
  <c r="J15" i="104"/>
  <c r="I15" i="104"/>
  <c r="J14" i="104"/>
  <c r="I14" i="104"/>
  <c r="J13" i="104"/>
  <c r="I13" i="104"/>
  <c r="J12" i="104"/>
  <c r="I12" i="104"/>
  <c r="J11" i="104"/>
  <c r="I11" i="104"/>
  <c r="J10" i="104"/>
  <c r="I10" i="104"/>
  <c r="J9" i="104"/>
  <c r="I9" i="104"/>
  <c r="J8" i="104"/>
  <c r="I8" i="104"/>
  <c r="J7" i="104"/>
  <c r="I7" i="104"/>
  <c r="J6" i="104"/>
  <c r="I6" i="104"/>
  <c r="J5" i="104"/>
  <c r="I5" i="104"/>
  <c r="J4" i="104"/>
  <c r="I4" i="104"/>
  <c r="J3" i="104"/>
  <c r="I3" i="104"/>
  <c r="I2" i="104"/>
  <c r="J390" i="103"/>
  <c r="I390" i="103"/>
  <c r="J389" i="103"/>
  <c r="I389" i="103"/>
  <c r="J388" i="103"/>
  <c r="I388" i="103"/>
  <c r="J387" i="103"/>
  <c r="I387" i="103"/>
  <c r="J386" i="103"/>
  <c r="I386" i="103"/>
  <c r="J385" i="103"/>
  <c r="I385" i="103"/>
  <c r="J384" i="103"/>
  <c r="I384" i="103"/>
  <c r="J383" i="103"/>
  <c r="I383" i="103"/>
  <c r="J382" i="103"/>
  <c r="I382" i="103"/>
  <c r="J381" i="103"/>
  <c r="I381" i="103"/>
  <c r="J380" i="103"/>
  <c r="I380" i="103"/>
  <c r="J379" i="103"/>
  <c r="I379" i="103"/>
  <c r="J378" i="103"/>
  <c r="I378" i="103"/>
  <c r="J377" i="103"/>
  <c r="I377" i="103"/>
  <c r="J376" i="103"/>
  <c r="I376" i="103"/>
  <c r="J375" i="103"/>
  <c r="I375" i="103"/>
  <c r="J374" i="103"/>
  <c r="I374" i="103"/>
  <c r="J373" i="103"/>
  <c r="I373" i="103"/>
  <c r="J372" i="103"/>
  <c r="I372" i="103"/>
  <c r="J371" i="103"/>
  <c r="I371" i="103"/>
  <c r="J370" i="103"/>
  <c r="I370" i="103"/>
  <c r="J369" i="103"/>
  <c r="I369" i="103"/>
  <c r="J368" i="103"/>
  <c r="I368" i="103"/>
  <c r="J367" i="103"/>
  <c r="I367" i="103"/>
  <c r="J366" i="103"/>
  <c r="I366" i="103"/>
  <c r="J365" i="103"/>
  <c r="I365" i="103"/>
  <c r="J364" i="103"/>
  <c r="I364" i="103"/>
  <c r="J363" i="103"/>
  <c r="I363" i="103"/>
  <c r="J362" i="103"/>
  <c r="I362" i="103"/>
  <c r="J361" i="103"/>
  <c r="I361" i="103"/>
  <c r="J360" i="103"/>
  <c r="I360" i="103"/>
  <c r="J359" i="103"/>
  <c r="I359" i="103"/>
  <c r="J358" i="103"/>
  <c r="I358" i="103"/>
  <c r="J357" i="103"/>
  <c r="I357" i="103"/>
  <c r="J356" i="103"/>
  <c r="I356" i="103"/>
  <c r="J355" i="103"/>
  <c r="I355" i="103"/>
  <c r="J354" i="103"/>
  <c r="I354" i="103"/>
  <c r="J353" i="103"/>
  <c r="I353" i="103"/>
  <c r="J352" i="103"/>
  <c r="I352" i="103"/>
  <c r="J351" i="103"/>
  <c r="I351" i="103"/>
  <c r="J350" i="103"/>
  <c r="I350" i="103"/>
  <c r="J349" i="103"/>
  <c r="I349" i="103"/>
  <c r="J348" i="103"/>
  <c r="I348" i="103"/>
  <c r="J347" i="103"/>
  <c r="I347" i="103"/>
  <c r="J346" i="103"/>
  <c r="I346" i="103"/>
  <c r="J345" i="103"/>
  <c r="I345" i="103"/>
  <c r="J344" i="103"/>
  <c r="I344" i="103"/>
  <c r="J343" i="103"/>
  <c r="I343" i="103"/>
  <c r="J342" i="103"/>
  <c r="I342" i="103"/>
  <c r="J341" i="103"/>
  <c r="I341" i="103"/>
  <c r="J340" i="103"/>
  <c r="I340" i="103"/>
  <c r="J339" i="103"/>
  <c r="I339" i="103"/>
  <c r="J338" i="103"/>
  <c r="I338" i="103"/>
  <c r="J337" i="103"/>
  <c r="I337" i="103"/>
  <c r="J336" i="103"/>
  <c r="I336" i="103"/>
  <c r="J335" i="103"/>
  <c r="I335" i="103"/>
  <c r="J334" i="103"/>
  <c r="I334" i="103"/>
  <c r="J333" i="103"/>
  <c r="I333" i="103"/>
  <c r="J332" i="103"/>
  <c r="I332" i="103"/>
  <c r="J331" i="103"/>
  <c r="I331" i="103"/>
  <c r="J330" i="103"/>
  <c r="I330" i="103"/>
  <c r="J329" i="103"/>
  <c r="I329" i="103"/>
  <c r="J328" i="103"/>
  <c r="I328" i="103"/>
  <c r="J327" i="103"/>
  <c r="I327" i="103"/>
  <c r="J326" i="103"/>
  <c r="I326" i="103"/>
  <c r="J325" i="103"/>
  <c r="I325" i="103"/>
  <c r="J324" i="103"/>
  <c r="I324" i="103"/>
  <c r="J323" i="103"/>
  <c r="I323" i="103"/>
  <c r="J322" i="103"/>
  <c r="I322" i="103"/>
  <c r="J321" i="103"/>
  <c r="I321" i="103"/>
  <c r="J320" i="103"/>
  <c r="I320" i="103"/>
  <c r="J319" i="103"/>
  <c r="I319" i="103"/>
  <c r="J318" i="103"/>
  <c r="I318" i="103"/>
  <c r="J317" i="103"/>
  <c r="I317" i="103"/>
  <c r="J316" i="103"/>
  <c r="I316" i="103"/>
  <c r="J315" i="103"/>
  <c r="I315" i="103"/>
  <c r="J314" i="103"/>
  <c r="I314" i="103"/>
  <c r="J313" i="103"/>
  <c r="I313" i="103"/>
  <c r="J312" i="103"/>
  <c r="I312" i="103"/>
  <c r="J311" i="103"/>
  <c r="I311" i="103"/>
  <c r="J310" i="103"/>
  <c r="I310" i="103"/>
  <c r="J309" i="103"/>
  <c r="I309" i="103"/>
  <c r="J308" i="103"/>
  <c r="I308" i="103"/>
  <c r="J307" i="103"/>
  <c r="I307" i="103"/>
  <c r="J306" i="103"/>
  <c r="I306" i="103"/>
  <c r="J305" i="103"/>
  <c r="I305" i="103"/>
  <c r="J304" i="103"/>
  <c r="I304" i="103"/>
  <c r="J303" i="103"/>
  <c r="I303" i="103"/>
  <c r="J302" i="103"/>
  <c r="I302" i="103"/>
  <c r="J301" i="103"/>
  <c r="I301" i="103"/>
  <c r="J300" i="103"/>
  <c r="I300" i="103"/>
  <c r="J299" i="103"/>
  <c r="I299" i="103"/>
  <c r="J298" i="103"/>
  <c r="I298" i="103"/>
  <c r="J297" i="103"/>
  <c r="I297" i="103"/>
  <c r="J296" i="103"/>
  <c r="I296" i="103"/>
  <c r="J295" i="103"/>
  <c r="I295" i="103"/>
  <c r="J294" i="103"/>
  <c r="I294" i="103"/>
  <c r="J293" i="103"/>
  <c r="I293" i="103"/>
  <c r="J292" i="103"/>
  <c r="I292" i="103"/>
  <c r="J291" i="103"/>
  <c r="I291" i="103"/>
  <c r="J290" i="103"/>
  <c r="I290" i="103"/>
  <c r="J289" i="103"/>
  <c r="I289" i="103"/>
  <c r="J288" i="103"/>
  <c r="I288" i="103"/>
  <c r="J287" i="103"/>
  <c r="I287" i="103"/>
  <c r="J286" i="103"/>
  <c r="I286" i="103"/>
  <c r="J285" i="103"/>
  <c r="I285" i="103"/>
  <c r="J284" i="103"/>
  <c r="I284" i="103"/>
  <c r="J283" i="103"/>
  <c r="I283" i="103"/>
  <c r="J282" i="103"/>
  <c r="I282" i="103"/>
  <c r="J281" i="103"/>
  <c r="I281" i="103"/>
  <c r="J280" i="103"/>
  <c r="I280" i="103"/>
  <c r="J279" i="103"/>
  <c r="I279" i="103"/>
  <c r="J278" i="103"/>
  <c r="I278" i="103"/>
  <c r="J277" i="103"/>
  <c r="I277" i="103"/>
  <c r="J276" i="103"/>
  <c r="I276" i="103"/>
  <c r="J275" i="103"/>
  <c r="I275" i="103"/>
  <c r="J274" i="103"/>
  <c r="I274" i="103"/>
  <c r="J273" i="103"/>
  <c r="I273" i="103"/>
  <c r="J272" i="103"/>
  <c r="I272" i="103"/>
  <c r="J271" i="103"/>
  <c r="I271" i="103"/>
  <c r="J270" i="103"/>
  <c r="I270" i="103"/>
  <c r="J269" i="103"/>
  <c r="I269" i="103"/>
  <c r="J268" i="103"/>
  <c r="I268" i="103"/>
  <c r="J267" i="103"/>
  <c r="I267" i="103"/>
  <c r="J266" i="103"/>
  <c r="I266" i="103"/>
  <c r="J265" i="103"/>
  <c r="I265" i="103"/>
  <c r="J264" i="103"/>
  <c r="I264" i="103"/>
  <c r="J263" i="103"/>
  <c r="I263" i="103"/>
  <c r="J262" i="103"/>
  <c r="I262" i="103"/>
  <c r="J261" i="103"/>
  <c r="I261" i="103"/>
  <c r="J260" i="103"/>
  <c r="I260" i="103"/>
  <c r="J259" i="103"/>
  <c r="I259" i="103"/>
  <c r="J258" i="103"/>
  <c r="I258" i="103"/>
  <c r="J257" i="103"/>
  <c r="I257" i="103"/>
  <c r="J256" i="103"/>
  <c r="I256" i="103"/>
  <c r="J255" i="103"/>
  <c r="I255" i="103"/>
  <c r="J254" i="103"/>
  <c r="I254" i="103"/>
  <c r="J253" i="103"/>
  <c r="I253" i="103"/>
  <c r="J252" i="103"/>
  <c r="I252" i="103"/>
  <c r="J251" i="103"/>
  <c r="I251" i="103"/>
  <c r="J250" i="103"/>
  <c r="I250" i="103"/>
  <c r="J249" i="103"/>
  <c r="I249" i="103"/>
  <c r="J248" i="103"/>
  <c r="I248" i="103"/>
  <c r="J247" i="103"/>
  <c r="I247" i="103"/>
  <c r="J246" i="103"/>
  <c r="I246" i="103"/>
  <c r="J245" i="103"/>
  <c r="I245" i="103"/>
  <c r="J244" i="103"/>
  <c r="I244" i="103"/>
  <c r="J243" i="103"/>
  <c r="I243" i="103"/>
  <c r="J242" i="103"/>
  <c r="I242" i="103"/>
  <c r="J241" i="103"/>
  <c r="I241" i="103"/>
  <c r="J240" i="103"/>
  <c r="I240" i="103"/>
  <c r="J239" i="103"/>
  <c r="I239" i="103"/>
  <c r="J238" i="103"/>
  <c r="I238" i="103"/>
  <c r="J237" i="103"/>
  <c r="I237" i="103"/>
  <c r="J236" i="103"/>
  <c r="I236" i="103"/>
  <c r="J235" i="103"/>
  <c r="I235" i="103"/>
  <c r="J234" i="103"/>
  <c r="I234" i="103"/>
  <c r="J233" i="103"/>
  <c r="I233" i="103"/>
  <c r="J232" i="103"/>
  <c r="I232" i="103"/>
  <c r="J231" i="103"/>
  <c r="I231" i="103"/>
  <c r="J230" i="103"/>
  <c r="I230" i="103"/>
  <c r="J229" i="103"/>
  <c r="I229" i="103"/>
  <c r="J228" i="103"/>
  <c r="I228" i="103"/>
  <c r="J227" i="103"/>
  <c r="I227" i="103"/>
  <c r="J226" i="103"/>
  <c r="I226" i="103"/>
  <c r="J225" i="103"/>
  <c r="I225" i="103"/>
  <c r="J224" i="103"/>
  <c r="I224" i="103"/>
  <c r="J223" i="103"/>
  <c r="I223" i="103"/>
  <c r="J222" i="103"/>
  <c r="I222" i="103"/>
  <c r="J221" i="103"/>
  <c r="I221" i="103"/>
  <c r="J220" i="103"/>
  <c r="I220" i="103"/>
  <c r="J219" i="103"/>
  <c r="I219" i="103"/>
  <c r="J218" i="103"/>
  <c r="I218" i="103"/>
  <c r="J217" i="103"/>
  <c r="I217" i="103"/>
  <c r="J216" i="103"/>
  <c r="I216" i="103"/>
  <c r="J215" i="103"/>
  <c r="I215" i="103"/>
  <c r="J214" i="103"/>
  <c r="I214" i="103"/>
  <c r="J213" i="103"/>
  <c r="I213" i="103"/>
  <c r="J212" i="103"/>
  <c r="I212" i="103"/>
  <c r="J211" i="103"/>
  <c r="I211" i="103"/>
  <c r="J210" i="103"/>
  <c r="I210" i="103"/>
  <c r="J209" i="103"/>
  <c r="I209" i="103"/>
  <c r="J208" i="103"/>
  <c r="I208" i="103"/>
  <c r="J207" i="103"/>
  <c r="I207" i="103"/>
  <c r="J206" i="103"/>
  <c r="I206" i="103"/>
  <c r="J205" i="103"/>
  <c r="I205" i="103"/>
  <c r="J204" i="103"/>
  <c r="I204" i="103"/>
  <c r="J203" i="103"/>
  <c r="I203" i="103"/>
  <c r="J202" i="103"/>
  <c r="I202" i="103"/>
  <c r="J201" i="103"/>
  <c r="I201" i="103"/>
  <c r="J200" i="103"/>
  <c r="I200" i="103"/>
  <c r="J199" i="103"/>
  <c r="I199" i="103"/>
  <c r="J198" i="103"/>
  <c r="I198" i="103"/>
  <c r="J197" i="103"/>
  <c r="I197" i="103"/>
  <c r="J196" i="103"/>
  <c r="I196" i="103"/>
  <c r="J195" i="103"/>
  <c r="I195" i="103"/>
  <c r="J194" i="103"/>
  <c r="I194" i="103"/>
  <c r="J193" i="103"/>
  <c r="I193" i="103"/>
  <c r="J192" i="103"/>
  <c r="I192" i="103"/>
  <c r="J191" i="103"/>
  <c r="I191" i="103"/>
  <c r="J190" i="103"/>
  <c r="I190" i="103"/>
  <c r="J189" i="103"/>
  <c r="I189" i="103"/>
  <c r="J188" i="103"/>
  <c r="I188" i="103"/>
  <c r="J187" i="103"/>
  <c r="I187" i="103"/>
  <c r="J186" i="103"/>
  <c r="I186" i="103"/>
  <c r="J185" i="103"/>
  <c r="I185" i="103"/>
  <c r="J184" i="103"/>
  <c r="I184" i="103"/>
  <c r="J183" i="103"/>
  <c r="I183" i="103"/>
  <c r="J182" i="103"/>
  <c r="I182" i="103"/>
  <c r="J181" i="103"/>
  <c r="I181" i="103"/>
  <c r="J180" i="103"/>
  <c r="I180" i="103"/>
  <c r="J179" i="103"/>
  <c r="I179" i="103"/>
  <c r="J178" i="103"/>
  <c r="I178" i="103"/>
  <c r="J177" i="103"/>
  <c r="I177" i="103"/>
  <c r="J176" i="103"/>
  <c r="I176" i="103"/>
  <c r="J175" i="103"/>
  <c r="I175" i="103"/>
  <c r="J174" i="103"/>
  <c r="I174" i="103"/>
  <c r="J173" i="103"/>
  <c r="I173" i="103"/>
  <c r="J172" i="103"/>
  <c r="I172" i="103"/>
  <c r="J171" i="103"/>
  <c r="I171" i="103"/>
  <c r="J170" i="103"/>
  <c r="I170" i="103"/>
  <c r="J169" i="103"/>
  <c r="I169" i="103"/>
  <c r="J168" i="103"/>
  <c r="I168" i="103"/>
  <c r="J167" i="103"/>
  <c r="I167" i="103"/>
  <c r="J166" i="103"/>
  <c r="I166" i="103"/>
  <c r="J165" i="103"/>
  <c r="I165" i="103"/>
  <c r="J164" i="103"/>
  <c r="I164" i="103"/>
  <c r="J163" i="103"/>
  <c r="I163" i="103"/>
  <c r="J162" i="103"/>
  <c r="I162" i="103"/>
  <c r="J161" i="103"/>
  <c r="I161" i="103"/>
  <c r="J160" i="103"/>
  <c r="I160" i="103"/>
  <c r="J159" i="103"/>
  <c r="I159" i="103"/>
  <c r="J158" i="103"/>
  <c r="I158" i="103"/>
  <c r="J157" i="103"/>
  <c r="I157" i="103"/>
  <c r="J156" i="103"/>
  <c r="I156" i="103"/>
  <c r="J155" i="103"/>
  <c r="I155" i="103"/>
  <c r="J154" i="103"/>
  <c r="I154" i="103"/>
  <c r="J153" i="103"/>
  <c r="I153" i="103"/>
  <c r="J152" i="103"/>
  <c r="I152" i="103"/>
  <c r="J151" i="103"/>
  <c r="I151" i="103"/>
  <c r="J150" i="103"/>
  <c r="I150" i="103"/>
  <c r="J149" i="103"/>
  <c r="I149" i="103"/>
  <c r="J148" i="103"/>
  <c r="I148" i="103"/>
  <c r="J147" i="103"/>
  <c r="I147" i="103"/>
  <c r="J146" i="103"/>
  <c r="I146" i="103"/>
  <c r="J145" i="103"/>
  <c r="I145" i="103"/>
  <c r="J144" i="103"/>
  <c r="I144" i="103"/>
  <c r="J143" i="103"/>
  <c r="I143" i="103"/>
  <c r="J142" i="103"/>
  <c r="I142" i="103"/>
  <c r="J141" i="103"/>
  <c r="I141" i="103"/>
  <c r="J140" i="103"/>
  <c r="I140" i="103"/>
  <c r="J139" i="103"/>
  <c r="I139" i="103"/>
  <c r="J138" i="103"/>
  <c r="I138" i="103"/>
  <c r="J137" i="103"/>
  <c r="I137" i="103"/>
  <c r="J136" i="103"/>
  <c r="I136" i="103"/>
  <c r="J135" i="103"/>
  <c r="I135" i="103"/>
  <c r="J134" i="103"/>
  <c r="I134" i="103"/>
  <c r="J133" i="103"/>
  <c r="I133" i="103"/>
  <c r="J132" i="103"/>
  <c r="I132" i="103"/>
  <c r="J131" i="103"/>
  <c r="I131" i="103"/>
  <c r="J130" i="103"/>
  <c r="I130" i="103"/>
  <c r="J129" i="103"/>
  <c r="I129" i="103"/>
  <c r="J128" i="103"/>
  <c r="I128" i="103"/>
  <c r="J127" i="103"/>
  <c r="I127" i="103"/>
  <c r="J126" i="103"/>
  <c r="I126" i="103"/>
  <c r="J125" i="103"/>
  <c r="I125" i="103"/>
  <c r="J124" i="103"/>
  <c r="I124" i="103"/>
  <c r="J123" i="103"/>
  <c r="I123" i="103"/>
  <c r="J122" i="103"/>
  <c r="I122" i="103"/>
  <c r="J121" i="103"/>
  <c r="I121" i="103"/>
  <c r="J120" i="103"/>
  <c r="I120" i="103"/>
  <c r="J119" i="103"/>
  <c r="I119" i="103"/>
  <c r="J118" i="103"/>
  <c r="I118" i="103"/>
  <c r="J117" i="103"/>
  <c r="I117" i="103"/>
  <c r="J116" i="103"/>
  <c r="I116" i="103"/>
  <c r="J115" i="103"/>
  <c r="I115" i="103"/>
  <c r="J114" i="103"/>
  <c r="I114" i="103"/>
  <c r="J113" i="103"/>
  <c r="I113" i="103"/>
  <c r="J112" i="103"/>
  <c r="I112" i="103"/>
  <c r="J111" i="103"/>
  <c r="I111" i="103"/>
  <c r="J110" i="103"/>
  <c r="I110" i="103"/>
  <c r="J109" i="103"/>
  <c r="I109" i="103"/>
  <c r="J108" i="103"/>
  <c r="I108" i="103"/>
  <c r="J107" i="103"/>
  <c r="I107" i="103"/>
  <c r="J106" i="103"/>
  <c r="I106" i="103"/>
  <c r="J105" i="103"/>
  <c r="I105" i="103"/>
  <c r="J104" i="103"/>
  <c r="I104" i="103"/>
  <c r="J103" i="103"/>
  <c r="I103" i="103"/>
  <c r="J102" i="103"/>
  <c r="I102" i="103"/>
  <c r="J101" i="103"/>
  <c r="I101" i="103"/>
  <c r="J100" i="103"/>
  <c r="I100" i="103"/>
  <c r="J99" i="103"/>
  <c r="I99" i="103"/>
  <c r="J98" i="103"/>
  <c r="I98" i="103"/>
  <c r="J97" i="103"/>
  <c r="I97" i="103"/>
  <c r="J96" i="103"/>
  <c r="I96" i="103"/>
  <c r="J95" i="103"/>
  <c r="I95" i="103"/>
  <c r="J94" i="103"/>
  <c r="I94" i="103"/>
  <c r="J93" i="103"/>
  <c r="I93" i="103"/>
  <c r="J92" i="103"/>
  <c r="I92" i="103"/>
  <c r="J91" i="103"/>
  <c r="I91" i="103"/>
  <c r="J90" i="103"/>
  <c r="I90" i="103"/>
  <c r="J89" i="103"/>
  <c r="I89" i="103"/>
  <c r="J88" i="103"/>
  <c r="I88" i="103"/>
  <c r="J87" i="103"/>
  <c r="I87" i="103"/>
  <c r="J86" i="103"/>
  <c r="I86" i="103"/>
  <c r="J85" i="103"/>
  <c r="I85" i="103"/>
  <c r="J84" i="103"/>
  <c r="I84" i="103"/>
  <c r="J83" i="103"/>
  <c r="I83" i="103"/>
  <c r="J82" i="103"/>
  <c r="I82" i="103"/>
  <c r="J81" i="103"/>
  <c r="I81" i="103"/>
  <c r="J80" i="103"/>
  <c r="I80" i="103"/>
  <c r="J79" i="103"/>
  <c r="I79" i="103"/>
  <c r="J78" i="103"/>
  <c r="I78" i="103"/>
  <c r="J77" i="103"/>
  <c r="I77" i="103"/>
  <c r="J76" i="103"/>
  <c r="I76" i="103"/>
  <c r="J75" i="103"/>
  <c r="I75" i="103"/>
  <c r="J74" i="103"/>
  <c r="I74" i="103"/>
  <c r="J73" i="103"/>
  <c r="I73" i="103"/>
  <c r="J72" i="103"/>
  <c r="I72" i="103"/>
  <c r="J71" i="103"/>
  <c r="I71" i="103"/>
  <c r="J70" i="103"/>
  <c r="I70" i="103"/>
  <c r="J69" i="103"/>
  <c r="I69" i="103"/>
  <c r="J68" i="103"/>
  <c r="I68" i="103"/>
  <c r="J67" i="103"/>
  <c r="I67" i="103"/>
  <c r="J66" i="103"/>
  <c r="I66" i="103"/>
  <c r="J65" i="103"/>
  <c r="I65" i="103"/>
  <c r="J64" i="103"/>
  <c r="I64" i="103"/>
  <c r="J63" i="103"/>
  <c r="I63" i="103"/>
  <c r="J62" i="103"/>
  <c r="I62" i="103"/>
  <c r="J61" i="103"/>
  <c r="I61" i="103"/>
  <c r="J60" i="103"/>
  <c r="I60" i="103"/>
  <c r="J59" i="103"/>
  <c r="I59" i="103"/>
  <c r="J58" i="103"/>
  <c r="I58" i="103"/>
  <c r="J57" i="103"/>
  <c r="I57" i="103"/>
  <c r="J56" i="103"/>
  <c r="I56" i="103"/>
  <c r="J55" i="103"/>
  <c r="I55" i="103"/>
  <c r="J54" i="103"/>
  <c r="I54" i="103"/>
  <c r="J53" i="103"/>
  <c r="I53" i="103"/>
  <c r="J52" i="103"/>
  <c r="I52" i="103"/>
  <c r="J51" i="103"/>
  <c r="I51" i="103"/>
  <c r="J50" i="103"/>
  <c r="I50" i="103"/>
  <c r="J49" i="103"/>
  <c r="I49" i="103"/>
  <c r="J48" i="103"/>
  <c r="I48" i="103"/>
  <c r="J47" i="103"/>
  <c r="I47" i="103"/>
  <c r="J46" i="103"/>
  <c r="I46" i="103"/>
  <c r="J45" i="103"/>
  <c r="I45" i="103"/>
  <c r="J44" i="103"/>
  <c r="I44" i="103"/>
  <c r="J43" i="103"/>
  <c r="I43" i="103"/>
  <c r="J42" i="103"/>
  <c r="I42" i="103"/>
  <c r="J41" i="103"/>
  <c r="I41" i="103"/>
  <c r="J40" i="103"/>
  <c r="I40" i="103"/>
  <c r="J39" i="103"/>
  <c r="I39" i="103"/>
  <c r="J38" i="103"/>
  <c r="I38" i="103"/>
  <c r="J37" i="103"/>
  <c r="I37" i="103"/>
  <c r="J36" i="103"/>
  <c r="I36" i="103"/>
  <c r="J35" i="103"/>
  <c r="I35" i="103"/>
  <c r="J34" i="103"/>
  <c r="I34" i="103"/>
  <c r="J33" i="103"/>
  <c r="I33" i="103"/>
  <c r="J32" i="103"/>
  <c r="I32" i="103"/>
  <c r="J31" i="103"/>
  <c r="I31" i="103"/>
  <c r="J30" i="103"/>
  <c r="I30" i="103"/>
  <c r="J29" i="103"/>
  <c r="I29" i="103"/>
  <c r="J28" i="103"/>
  <c r="I28" i="103"/>
  <c r="J27" i="103"/>
  <c r="I27" i="103"/>
  <c r="J26" i="103"/>
  <c r="I26" i="103"/>
  <c r="J25" i="103"/>
  <c r="I25" i="103"/>
  <c r="J24" i="103"/>
  <c r="I24" i="103"/>
  <c r="J23" i="103"/>
  <c r="I23" i="103"/>
  <c r="J22" i="103"/>
  <c r="I22" i="103"/>
  <c r="J21" i="103"/>
  <c r="I21" i="103"/>
  <c r="J20" i="103"/>
  <c r="I20" i="103"/>
  <c r="J19" i="103"/>
  <c r="I19" i="103"/>
  <c r="J18" i="103"/>
  <c r="I18" i="103"/>
  <c r="J17" i="103"/>
  <c r="I17" i="103"/>
  <c r="J16" i="103"/>
  <c r="I16" i="103"/>
  <c r="J15" i="103"/>
  <c r="I15" i="103"/>
  <c r="J14" i="103"/>
  <c r="I14" i="103"/>
  <c r="J13" i="103"/>
  <c r="I13" i="103"/>
  <c r="J12" i="103"/>
  <c r="I12" i="103"/>
  <c r="J11" i="103"/>
  <c r="I11" i="103"/>
  <c r="J10" i="103"/>
  <c r="I10" i="103"/>
  <c r="J9" i="103"/>
  <c r="I9" i="103"/>
  <c r="J8" i="103"/>
  <c r="I8" i="103"/>
  <c r="J7" i="103"/>
  <c r="I7" i="103"/>
  <c r="J6" i="103"/>
  <c r="I6" i="103"/>
  <c r="J5" i="103"/>
  <c r="I5" i="103"/>
  <c r="J4" i="103"/>
  <c r="I4" i="103"/>
  <c r="J3" i="103"/>
  <c r="I3" i="103"/>
  <c r="I2" i="103"/>
  <c r="J390" i="102"/>
  <c r="I390" i="102"/>
  <c r="J389" i="102"/>
  <c r="I389" i="102"/>
  <c r="J388" i="102"/>
  <c r="I388" i="102"/>
  <c r="J387" i="102"/>
  <c r="I387" i="102"/>
  <c r="J386" i="102"/>
  <c r="I386" i="102"/>
  <c r="J385" i="102"/>
  <c r="I385" i="102"/>
  <c r="J384" i="102"/>
  <c r="I384" i="102"/>
  <c r="J383" i="102"/>
  <c r="I383" i="102"/>
  <c r="J382" i="102"/>
  <c r="I382" i="102"/>
  <c r="J381" i="102"/>
  <c r="I381" i="102"/>
  <c r="J380" i="102"/>
  <c r="I380" i="102"/>
  <c r="J379" i="102"/>
  <c r="I379" i="102"/>
  <c r="J378" i="102"/>
  <c r="I378" i="102"/>
  <c r="J377" i="102"/>
  <c r="I377" i="102"/>
  <c r="J376" i="102"/>
  <c r="I376" i="102"/>
  <c r="J375" i="102"/>
  <c r="I375" i="102"/>
  <c r="J374" i="102"/>
  <c r="I374" i="102"/>
  <c r="J373" i="102"/>
  <c r="I373" i="102"/>
  <c r="J372" i="102"/>
  <c r="I372" i="102"/>
  <c r="J371" i="102"/>
  <c r="I371" i="102"/>
  <c r="J370" i="102"/>
  <c r="I370" i="102"/>
  <c r="J369" i="102"/>
  <c r="I369" i="102"/>
  <c r="J368" i="102"/>
  <c r="I368" i="102"/>
  <c r="J367" i="102"/>
  <c r="I367" i="102"/>
  <c r="J366" i="102"/>
  <c r="I366" i="102"/>
  <c r="J365" i="102"/>
  <c r="I365" i="102"/>
  <c r="J364" i="102"/>
  <c r="I364" i="102"/>
  <c r="J363" i="102"/>
  <c r="I363" i="102"/>
  <c r="J362" i="102"/>
  <c r="I362" i="102"/>
  <c r="J361" i="102"/>
  <c r="I361" i="102"/>
  <c r="J360" i="102"/>
  <c r="I360" i="102"/>
  <c r="J359" i="102"/>
  <c r="I359" i="102"/>
  <c r="J358" i="102"/>
  <c r="I358" i="102"/>
  <c r="J357" i="102"/>
  <c r="I357" i="102"/>
  <c r="J356" i="102"/>
  <c r="I356" i="102"/>
  <c r="J355" i="102"/>
  <c r="I355" i="102"/>
  <c r="J354" i="102"/>
  <c r="I354" i="102"/>
  <c r="J353" i="102"/>
  <c r="I353" i="102"/>
  <c r="J352" i="102"/>
  <c r="I352" i="102"/>
  <c r="J351" i="102"/>
  <c r="I351" i="102"/>
  <c r="J350" i="102"/>
  <c r="I350" i="102"/>
  <c r="J349" i="102"/>
  <c r="I349" i="102"/>
  <c r="J348" i="102"/>
  <c r="I348" i="102"/>
  <c r="J347" i="102"/>
  <c r="I347" i="102"/>
  <c r="J346" i="102"/>
  <c r="I346" i="102"/>
  <c r="J345" i="102"/>
  <c r="I345" i="102"/>
  <c r="J344" i="102"/>
  <c r="I344" i="102"/>
  <c r="J343" i="102"/>
  <c r="I343" i="102"/>
  <c r="J342" i="102"/>
  <c r="I342" i="102"/>
  <c r="J341" i="102"/>
  <c r="I341" i="102"/>
  <c r="J340" i="102"/>
  <c r="I340" i="102"/>
  <c r="J339" i="102"/>
  <c r="I339" i="102"/>
  <c r="J338" i="102"/>
  <c r="I338" i="102"/>
  <c r="J337" i="102"/>
  <c r="I337" i="102"/>
  <c r="J336" i="102"/>
  <c r="I336" i="102"/>
  <c r="J335" i="102"/>
  <c r="I335" i="102"/>
  <c r="J334" i="102"/>
  <c r="I334" i="102"/>
  <c r="J333" i="102"/>
  <c r="I333" i="102"/>
  <c r="J332" i="102"/>
  <c r="I332" i="102"/>
  <c r="J331" i="102"/>
  <c r="I331" i="102"/>
  <c r="J330" i="102"/>
  <c r="I330" i="102"/>
  <c r="J329" i="102"/>
  <c r="I329" i="102"/>
  <c r="J328" i="102"/>
  <c r="I328" i="102"/>
  <c r="J327" i="102"/>
  <c r="I327" i="102"/>
  <c r="J326" i="102"/>
  <c r="I326" i="102"/>
  <c r="J325" i="102"/>
  <c r="I325" i="102"/>
  <c r="J324" i="102"/>
  <c r="I324" i="102"/>
  <c r="J323" i="102"/>
  <c r="I323" i="102"/>
  <c r="J322" i="102"/>
  <c r="I322" i="102"/>
  <c r="J321" i="102"/>
  <c r="I321" i="102"/>
  <c r="J320" i="102"/>
  <c r="I320" i="102"/>
  <c r="J319" i="102"/>
  <c r="I319" i="102"/>
  <c r="J318" i="102"/>
  <c r="I318" i="102"/>
  <c r="J317" i="102"/>
  <c r="I317" i="102"/>
  <c r="J316" i="102"/>
  <c r="I316" i="102"/>
  <c r="J315" i="102"/>
  <c r="I315" i="102"/>
  <c r="J314" i="102"/>
  <c r="I314" i="102"/>
  <c r="J313" i="102"/>
  <c r="I313" i="102"/>
  <c r="J312" i="102"/>
  <c r="I312" i="102"/>
  <c r="J311" i="102"/>
  <c r="I311" i="102"/>
  <c r="J310" i="102"/>
  <c r="I310" i="102"/>
  <c r="J309" i="102"/>
  <c r="I309" i="102"/>
  <c r="J308" i="102"/>
  <c r="I308" i="102"/>
  <c r="J307" i="102"/>
  <c r="I307" i="102"/>
  <c r="J306" i="102"/>
  <c r="I306" i="102"/>
  <c r="J305" i="102"/>
  <c r="I305" i="102"/>
  <c r="J304" i="102"/>
  <c r="I304" i="102"/>
  <c r="J303" i="102"/>
  <c r="I303" i="102"/>
  <c r="J302" i="102"/>
  <c r="I302" i="102"/>
  <c r="J301" i="102"/>
  <c r="I301" i="102"/>
  <c r="J300" i="102"/>
  <c r="I300" i="102"/>
  <c r="J299" i="102"/>
  <c r="I299" i="102"/>
  <c r="J298" i="102"/>
  <c r="I298" i="102"/>
  <c r="J297" i="102"/>
  <c r="I297" i="102"/>
  <c r="J296" i="102"/>
  <c r="I296" i="102"/>
  <c r="J295" i="102"/>
  <c r="I295" i="102"/>
  <c r="J294" i="102"/>
  <c r="I294" i="102"/>
  <c r="J293" i="102"/>
  <c r="I293" i="102"/>
  <c r="J292" i="102"/>
  <c r="I292" i="102"/>
  <c r="J291" i="102"/>
  <c r="I291" i="102"/>
  <c r="J290" i="102"/>
  <c r="I290" i="102"/>
  <c r="J289" i="102"/>
  <c r="I289" i="102"/>
  <c r="J288" i="102"/>
  <c r="I288" i="102"/>
  <c r="J287" i="102"/>
  <c r="I287" i="102"/>
  <c r="J286" i="102"/>
  <c r="I286" i="102"/>
  <c r="J285" i="102"/>
  <c r="I285" i="102"/>
  <c r="J284" i="102"/>
  <c r="I284" i="102"/>
  <c r="J283" i="102"/>
  <c r="I283" i="102"/>
  <c r="J282" i="102"/>
  <c r="I282" i="102"/>
  <c r="J281" i="102"/>
  <c r="I281" i="102"/>
  <c r="J280" i="102"/>
  <c r="I280" i="102"/>
  <c r="J279" i="102"/>
  <c r="I279" i="102"/>
  <c r="J278" i="102"/>
  <c r="I278" i="102"/>
  <c r="J277" i="102"/>
  <c r="I277" i="102"/>
  <c r="J276" i="102"/>
  <c r="I276" i="102"/>
  <c r="J275" i="102"/>
  <c r="I275" i="102"/>
  <c r="J274" i="102"/>
  <c r="I274" i="102"/>
  <c r="J273" i="102"/>
  <c r="I273" i="102"/>
  <c r="J272" i="102"/>
  <c r="I272" i="102"/>
  <c r="J271" i="102"/>
  <c r="I271" i="102"/>
  <c r="J270" i="102"/>
  <c r="I270" i="102"/>
  <c r="J269" i="102"/>
  <c r="I269" i="102"/>
  <c r="J268" i="102"/>
  <c r="I268" i="102"/>
  <c r="J267" i="102"/>
  <c r="I267" i="102"/>
  <c r="J266" i="102"/>
  <c r="I266" i="102"/>
  <c r="J265" i="102"/>
  <c r="I265" i="102"/>
  <c r="J264" i="102"/>
  <c r="I264" i="102"/>
  <c r="J263" i="102"/>
  <c r="I263" i="102"/>
  <c r="J262" i="102"/>
  <c r="I262" i="102"/>
  <c r="J261" i="102"/>
  <c r="I261" i="102"/>
  <c r="J260" i="102"/>
  <c r="I260" i="102"/>
  <c r="J259" i="102"/>
  <c r="I259" i="102"/>
  <c r="J258" i="102"/>
  <c r="I258" i="102"/>
  <c r="J257" i="102"/>
  <c r="I257" i="102"/>
  <c r="J256" i="102"/>
  <c r="I256" i="102"/>
  <c r="J255" i="102"/>
  <c r="I255" i="102"/>
  <c r="J254" i="102"/>
  <c r="I254" i="102"/>
  <c r="J253" i="102"/>
  <c r="I253" i="102"/>
  <c r="J252" i="102"/>
  <c r="I252" i="102"/>
  <c r="J251" i="102"/>
  <c r="I251" i="102"/>
  <c r="J250" i="102"/>
  <c r="I250" i="102"/>
  <c r="J249" i="102"/>
  <c r="I249" i="102"/>
  <c r="J248" i="102"/>
  <c r="I248" i="102"/>
  <c r="J247" i="102"/>
  <c r="I247" i="102"/>
  <c r="J246" i="102"/>
  <c r="I246" i="102"/>
  <c r="J245" i="102"/>
  <c r="I245" i="102"/>
  <c r="J244" i="102"/>
  <c r="I244" i="102"/>
  <c r="J243" i="102"/>
  <c r="I243" i="102"/>
  <c r="J242" i="102"/>
  <c r="I242" i="102"/>
  <c r="J241" i="102"/>
  <c r="I241" i="102"/>
  <c r="J240" i="102"/>
  <c r="I240" i="102"/>
  <c r="J239" i="102"/>
  <c r="I239" i="102"/>
  <c r="J238" i="102"/>
  <c r="I238" i="102"/>
  <c r="J237" i="102"/>
  <c r="I237" i="102"/>
  <c r="J236" i="102"/>
  <c r="I236" i="102"/>
  <c r="J235" i="102"/>
  <c r="I235" i="102"/>
  <c r="J234" i="102"/>
  <c r="I234" i="102"/>
  <c r="J233" i="102"/>
  <c r="I233" i="102"/>
  <c r="J232" i="102"/>
  <c r="I232" i="102"/>
  <c r="J231" i="102"/>
  <c r="I231" i="102"/>
  <c r="J230" i="102"/>
  <c r="I230" i="102"/>
  <c r="J229" i="102"/>
  <c r="I229" i="102"/>
  <c r="J228" i="102"/>
  <c r="I228" i="102"/>
  <c r="J227" i="102"/>
  <c r="I227" i="102"/>
  <c r="J226" i="102"/>
  <c r="I226" i="102"/>
  <c r="J225" i="102"/>
  <c r="I225" i="102"/>
  <c r="J224" i="102"/>
  <c r="I224" i="102"/>
  <c r="J223" i="102"/>
  <c r="I223" i="102"/>
  <c r="J222" i="102"/>
  <c r="I222" i="102"/>
  <c r="J221" i="102"/>
  <c r="I221" i="102"/>
  <c r="J220" i="102"/>
  <c r="I220" i="102"/>
  <c r="J219" i="102"/>
  <c r="I219" i="102"/>
  <c r="J218" i="102"/>
  <c r="I218" i="102"/>
  <c r="J217" i="102"/>
  <c r="I217" i="102"/>
  <c r="J216" i="102"/>
  <c r="I216" i="102"/>
  <c r="J215" i="102"/>
  <c r="I215" i="102"/>
  <c r="J214" i="102"/>
  <c r="I214" i="102"/>
  <c r="J213" i="102"/>
  <c r="I213" i="102"/>
  <c r="J212" i="102"/>
  <c r="I212" i="102"/>
  <c r="J211" i="102"/>
  <c r="I211" i="102"/>
  <c r="J210" i="102"/>
  <c r="I210" i="102"/>
  <c r="J209" i="102"/>
  <c r="I209" i="102"/>
  <c r="J208" i="102"/>
  <c r="I208" i="102"/>
  <c r="J207" i="102"/>
  <c r="I207" i="102"/>
  <c r="J206" i="102"/>
  <c r="I206" i="102"/>
  <c r="J205" i="102"/>
  <c r="I205" i="102"/>
  <c r="J204" i="102"/>
  <c r="I204" i="102"/>
  <c r="J203" i="102"/>
  <c r="I203" i="102"/>
  <c r="J202" i="102"/>
  <c r="I202" i="102"/>
  <c r="J201" i="102"/>
  <c r="I201" i="102"/>
  <c r="J200" i="102"/>
  <c r="I200" i="102"/>
  <c r="J199" i="102"/>
  <c r="I199" i="102"/>
  <c r="J198" i="102"/>
  <c r="I198" i="102"/>
  <c r="J197" i="102"/>
  <c r="I197" i="102"/>
  <c r="J196" i="102"/>
  <c r="I196" i="102"/>
  <c r="J195" i="102"/>
  <c r="I195" i="102"/>
  <c r="J194" i="102"/>
  <c r="I194" i="102"/>
  <c r="J193" i="102"/>
  <c r="I193" i="102"/>
  <c r="J192" i="102"/>
  <c r="I192" i="102"/>
  <c r="J191" i="102"/>
  <c r="I191" i="102"/>
  <c r="J190" i="102"/>
  <c r="I190" i="102"/>
  <c r="J189" i="102"/>
  <c r="I189" i="102"/>
  <c r="J188" i="102"/>
  <c r="I188" i="102"/>
  <c r="J187" i="102"/>
  <c r="I187" i="102"/>
  <c r="J186" i="102"/>
  <c r="I186" i="102"/>
  <c r="J185" i="102"/>
  <c r="I185" i="102"/>
  <c r="J184" i="102"/>
  <c r="I184" i="102"/>
  <c r="J183" i="102"/>
  <c r="I183" i="102"/>
  <c r="J182" i="102"/>
  <c r="I182" i="102"/>
  <c r="J181" i="102"/>
  <c r="I181" i="102"/>
  <c r="J180" i="102"/>
  <c r="I180" i="102"/>
  <c r="J179" i="102"/>
  <c r="I179" i="102"/>
  <c r="J178" i="102"/>
  <c r="I178" i="102"/>
  <c r="J177" i="102"/>
  <c r="I177" i="102"/>
  <c r="J176" i="102"/>
  <c r="I176" i="102"/>
  <c r="J175" i="102"/>
  <c r="I175" i="102"/>
  <c r="J174" i="102"/>
  <c r="I174" i="102"/>
  <c r="J173" i="102"/>
  <c r="I173" i="102"/>
  <c r="J172" i="102"/>
  <c r="I172" i="102"/>
  <c r="J171" i="102"/>
  <c r="I171" i="102"/>
  <c r="J170" i="102"/>
  <c r="I170" i="102"/>
  <c r="J169" i="102"/>
  <c r="I169" i="102"/>
  <c r="J168" i="102"/>
  <c r="I168" i="102"/>
  <c r="J167" i="102"/>
  <c r="I167" i="102"/>
  <c r="J166" i="102"/>
  <c r="I166" i="102"/>
  <c r="J165" i="102"/>
  <c r="I165" i="102"/>
  <c r="J164" i="102"/>
  <c r="I164" i="102"/>
  <c r="J163" i="102"/>
  <c r="I163" i="102"/>
  <c r="J162" i="102"/>
  <c r="I162" i="102"/>
  <c r="J161" i="102"/>
  <c r="I161" i="102"/>
  <c r="J160" i="102"/>
  <c r="I160" i="102"/>
  <c r="J159" i="102"/>
  <c r="I159" i="102"/>
  <c r="J158" i="102"/>
  <c r="I158" i="102"/>
  <c r="J157" i="102"/>
  <c r="I157" i="102"/>
  <c r="J156" i="102"/>
  <c r="I156" i="102"/>
  <c r="J155" i="102"/>
  <c r="I155" i="102"/>
  <c r="J154" i="102"/>
  <c r="I154" i="102"/>
  <c r="J153" i="102"/>
  <c r="I153" i="102"/>
  <c r="J152" i="102"/>
  <c r="I152" i="102"/>
  <c r="J151" i="102"/>
  <c r="I151" i="102"/>
  <c r="J150" i="102"/>
  <c r="I150" i="102"/>
  <c r="J149" i="102"/>
  <c r="I149" i="102"/>
  <c r="J148" i="102"/>
  <c r="I148" i="102"/>
  <c r="J147" i="102"/>
  <c r="I147" i="102"/>
  <c r="J146" i="102"/>
  <c r="I146" i="102"/>
  <c r="J145" i="102"/>
  <c r="I145" i="102"/>
  <c r="J144" i="102"/>
  <c r="I144" i="102"/>
  <c r="J143" i="102"/>
  <c r="I143" i="102"/>
  <c r="J142" i="102"/>
  <c r="I142" i="102"/>
  <c r="J141" i="102"/>
  <c r="I141" i="102"/>
  <c r="J140" i="102"/>
  <c r="I140" i="102"/>
  <c r="J139" i="102"/>
  <c r="I139" i="102"/>
  <c r="J138" i="102"/>
  <c r="I138" i="102"/>
  <c r="J137" i="102"/>
  <c r="I137" i="102"/>
  <c r="J136" i="102"/>
  <c r="I136" i="102"/>
  <c r="J135" i="102"/>
  <c r="I135" i="102"/>
  <c r="J134" i="102"/>
  <c r="I134" i="102"/>
  <c r="J133" i="102"/>
  <c r="I133" i="102"/>
  <c r="J132" i="102"/>
  <c r="I132" i="102"/>
  <c r="J131" i="102"/>
  <c r="I131" i="102"/>
  <c r="J130" i="102"/>
  <c r="I130" i="102"/>
  <c r="J129" i="102"/>
  <c r="I129" i="102"/>
  <c r="J128" i="102"/>
  <c r="I128" i="102"/>
  <c r="J127" i="102"/>
  <c r="I127" i="102"/>
  <c r="J126" i="102"/>
  <c r="I126" i="102"/>
  <c r="J125" i="102"/>
  <c r="I125" i="102"/>
  <c r="J124" i="102"/>
  <c r="I124" i="102"/>
  <c r="J123" i="102"/>
  <c r="I123" i="102"/>
  <c r="J122" i="102"/>
  <c r="I122" i="102"/>
  <c r="J121" i="102"/>
  <c r="I121" i="102"/>
  <c r="J120" i="102"/>
  <c r="I120" i="102"/>
  <c r="J119" i="102"/>
  <c r="I119" i="102"/>
  <c r="J118" i="102"/>
  <c r="I118" i="102"/>
  <c r="J117" i="102"/>
  <c r="I117" i="102"/>
  <c r="J116" i="102"/>
  <c r="I116" i="102"/>
  <c r="J115" i="102"/>
  <c r="I115" i="102"/>
  <c r="J114" i="102"/>
  <c r="I114" i="102"/>
  <c r="J113" i="102"/>
  <c r="I113" i="102"/>
  <c r="J112" i="102"/>
  <c r="I112" i="102"/>
  <c r="J111" i="102"/>
  <c r="I111" i="102"/>
  <c r="J110" i="102"/>
  <c r="I110" i="102"/>
  <c r="J109" i="102"/>
  <c r="I109" i="102"/>
  <c r="J108" i="102"/>
  <c r="I108" i="102"/>
  <c r="J107" i="102"/>
  <c r="I107" i="102"/>
  <c r="J106" i="102"/>
  <c r="I106" i="102"/>
  <c r="J105" i="102"/>
  <c r="I105" i="102"/>
  <c r="J104" i="102"/>
  <c r="I104" i="102"/>
  <c r="J103" i="102"/>
  <c r="I103" i="102"/>
  <c r="J102" i="102"/>
  <c r="I102" i="102"/>
  <c r="J101" i="102"/>
  <c r="I101" i="102"/>
  <c r="J100" i="102"/>
  <c r="I100" i="102"/>
  <c r="J99" i="102"/>
  <c r="I99" i="102"/>
  <c r="J98" i="102"/>
  <c r="I98" i="102"/>
  <c r="J97" i="102"/>
  <c r="I97" i="102"/>
  <c r="J96" i="102"/>
  <c r="I96" i="102"/>
  <c r="J95" i="102"/>
  <c r="I95" i="102"/>
  <c r="J94" i="102"/>
  <c r="I94" i="102"/>
  <c r="J93" i="102"/>
  <c r="I93" i="102"/>
  <c r="J92" i="102"/>
  <c r="I92" i="102"/>
  <c r="J91" i="102"/>
  <c r="I91" i="102"/>
  <c r="J90" i="102"/>
  <c r="I90" i="102"/>
  <c r="J89" i="102"/>
  <c r="I89" i="102"/>
  <c r="J88" i="102"/>
  <c r="I88" i="102"/>
  <c r="J87" i="102"/>
  <c r="I87" i="102"/>
  <c r="J86" i="102"/>
  <c r="I86" i="102"/>
  <c r="J85" i="102"/>
  <c r="I85" i="102"/>
  <c r="J84" i="102"/>
  <c r="I84" i="102"/>
  <c r="J83" i="102"/>
  <c r="I83" i="102"/>
  <c r="J82" i="102"/>
  <c r="I82" i="102"/>
  <c r="J81" i="102"/>
  <c r="I81" i="102"/>
  <c r="J80" i="102"/>
  <c r="I80" i="102"/>
  <c r="J79" i="102"/>
  <c r="I79" i="102"/>
  <c r="J78" i="102"/>
  <c r="I78" i="102"/>
  <c r="J77" i="102"/>
  <c r="I77" i="102"/>
  <c r="J76" i="102"/>
  <c r="I76" i="102"/>
  <c r="J75" i="102"/>
  <c r="I75" i="102"/>
  <c r="J74" i="102"/>
  <c r="I74" i="102"/>
  <c r="J73" i="102"/>
  <c r="I73" i="102"/>
  <c r="J72" i="102"/>
  <c r="I72" i="102"/>
  <c r="J71" i="102"/>
  <c r="I71" i="102"/>
  <c r="J70" i="102"/>
  <c r="I70" i="102"/>
  <c r="J69" i="102"/>
  <c r="I69" i="102"/>
  <c r="J68" i="102"/>
  <c r="I68" i="102"/>
  <c r="J67" i="102"/>
  <c r="I67" i="102"/>
  <c r="J66" i="102"/>
  <c r="I66" i="102"/>
  <c r="J65" i="102"/>
  <c r="I65" i="102"/>
  <c r="J64" i="102"/>
  <c r="I64" i="102"/>
  <c r="J63" i="102"/>
  <c r="I63" i="102"/>
  <c r="J62" i="102"/>
  <c r="I62" i="102"/>
  <c r="J61" i="102"/>
  <c r="I61" i="102"/>
  <c r="J60" i="102"/>
  <c r="I60" i="102"/>
  <c r="J59" i="102"/>
  <c r="I59" i="102"/>
  <c r="J58" i="102"/>
  <c r="I58" i="102"/>
  <c r="J57" i="102"/>
  <c r="I57" i="102"/>
  <c r="J56" i="102"/>
  <c r="I56" i="102"/>
  <c r="J55" i="102"/>
  <c r="I55" i="102"/>
  <c r="J54" i="102"/>
  <c r="I54" i="102"/>
  <c r="J53" i="102"/>
  <c r="I53" i="102"/>
  <c r="J52" i="102"/>
  <c r="I52" i="102"/>
  <c r="J51" i="102"/>
  <c r="I51" i="102"/>
  <c r="J50" i="102"/>
  <c r="I50" i="102"/>
  <c r="J49" i="102"/>
  <c r="I49" i="102"/>
  <c r="J48" i="102"/>
  <c r="I48" i="102"/>
  <c r="J47" i="102"/>
  <c r="I47" i="102"/>
  <c r="J46" i="102"/>
  <c r="I46" i="102"/>
  <c r="J45" i="102"/>
  <c r="I45" i="102"/>
  <c r="J44" i="102"/>
  <c r="I44" i="102"/>
  <c r="J43" i="102"/>
  <c r="I43" i="102"/>
  <c r="J42" i="102"/>
  <c r="I42" i="102"/>
  <c r="J41" i="102"/>
  <c r="I41" i="102"/>
  <c r="J40" i="102"/>
  <c r="I40" i="102"/>
  <c r="J39" i="102"/>
  <c r="I39" i="102"/>
  <c r="J38" i="102"/>
  <c r="I38" i="102"/>
  <c r="J37" i="102"/>
  <c r="I37" i="102"/>
  <c r="J36" i="102"/>
  <c r="I36" i="102"/>
  <c r="J35" i="102"/>
  <c r="I35" i="102"/>
  <c r="J34" i="102"/>
  <c r="I34" i="102"/>
  <c r="J33" i="102"/>
  <c r="I33" i="102"/>
  <c r="J32" i="102"/>
  <c r="I32" i="102"/>
  <c r="J31" i="102"/>
  <c r="I31" i="102"/>
  <c r="J30" i="102"/>
  <c r="I30" i="102"/>
  <c r="J29" i="102"/>
  <c r="I29" i="102"/>
  <c r="J28" i="102"/>
  <c r="I28" i="102"/>
  <c r="J27" i="102"/>
  <c r="I27" i="102"/>
  <c r="J26" i="102"/>
  <c r="I26" i="102"/>
  <c r="J25" i="102"/>
  <c r="I25" i="102"/>
  <c r="J24" i="102"/>
  <c r="I24" i="102"/>
  <c r="J23" i="102"/>
  <c r="I23" i="102"/>
  <c r="J22" i="102"/>
  <c r="I22" i="102"/>
  <c r="J21" i="102"/>
  <c r="I21" i="102"/>
  <c r="J20" i="102"/>
  <c r="I20" i="102"/>
  <c r="J19" i="102"/>
  <c r="I19" i="102"/>
  <c r="J18" i="102"/>
  <c r="I18" i="102"/>
  <c r="J17" i="102"/>
  <c r="I17" i="102"/>
  <c r="J16" i="102"/>
  <c r="I16" i="102"/>
  <c r="J15" i="102"/>
  <c r="I15" i="102"/>
  <c r="J14" i="102"/>
  <c r="I14" i="102"/>
  <c r="J13" i="102"/>
  <c r="I13" i="102"/>
  <c r="J12" i="102"/>
  <c r="I12" i="102"/>
  <c r="J11" i="102"/>
  <c r="I11" i="102"/>
  <c r="J10" i="102"/>
  <c r="I10" i="102"/>
  <c r="J9" i="102"/>
  <c r="I9" i="102"/>
  <c r="J8" i="102"/>
  <c r="I8" i="102"/>
  <c r="J7" i="102"/>
  <c r="I7" i="102"/>
  <c r="J6" i="102"/>
  <c r="I6" i="102"/>
  <c r="J5" i="102"/>
  <c r="I5" i="102"/>
  <c r="J4" i="102"/>
  <c r="I4" i="102"/>
  <c r="J3" i="102"/>
  <c r="I3" i="102"/>
  <c r="I2" i="102"/>
  <c r="J390" i="101"/>
  <c r="I390" i="101"/>
  <c r="J389" i="101"/>
  <c r="I389" i="101"/>
  <c r="J388" i="101"/>
  <c r="I388" i="101"/>
  <c r="J387" i="101"/>
  <c r="I387" i="101"/>
  <c r="J386" i="101"/>
  <c r="I386" i="101"/>
  <c r="J385" i="101"/>
  <c r="I385" i="101"/>
  <c r="J384" i="101"/>
  <c r="I384" i="101"/>
  <c r="J383" i="101"/>
  <c r="I383" i="101"/>
  <c r="J382" i="101"/>
  <c r="I382" i="101"/>
  <c r="J381" i="101"/>
  <c r="I381" i="101"/>
  <c r="J380" i="101"/>
  <c r="I380" i="101"/>
  <c r="J379" i="101"/>
  <c r="I379" i="101"/>
  <c r="J378" i="101"/>
  <c r="I378" i="101"/>
  <c r="J377" i="101"/>
  <c r="I377" i="101"/>
  <c r="J376" i="101"/>
  <c r="I376" i="101"/>
  <c r="J375" i="101"/>
  <c r="I375" i="101"/>
  <c r="J374" i="101"/>
  <c r="I374" i="101"/>
  <c r="J373" i="101"/>
  <c r="I373" i="101"/>
  <c r="J372" i="101"/>
  <c r="I372" i="101"/>
  <c r="J371" i="101"/>
  <c r="I371" i="101"/>
  <c r="J370" i="101"/>
  <c r="I370" i="101"/>
  <c r="J369" i="101"/>
  <c r="I369" i="101"/>
  <c r="J368" i="101"/>
  <c r="I368" i="101"/>
  <c r="J367" i="101"/>
  <c r="I367" i="101"/>
  <c r="J366" i="101"/>
  <c r="I366" i="101"/>
  <c r="J365" i="101"/>
  <c r="I365" i="101"/>
  <c r="J364" i="101"/>
  <c r="I364" i="101"/>
  <c r="J363" i="101"/>
  <c r="I363" i="101"/>
  <c r="J362" i="101"/>
  <c r="I362" i="101"/>
  <c r="J361" i="101"/>
  <c r="I361" i="101"/>
  <c r="J360" i="101"/>
  <c r="I360" i="101"/>
  <c r="J359" i="101"/>
  <c r="I359" i="101"/>
  <c r="J358" i="101"/>
  <c r="I358" i="101"/>
  <c r="J357" i="101"/>
  <c r="I357" i="101"/>
  <c r="J356" i="101"/>
  <c r="I356" i="101"/>
  <c r="J355" i="101"/>
  <c r="I355" i="101"/>
  <c r="J354" i="101"/>
  <c r="I354" i="101"/>
  <c r="J353" i="101"/>
  <c r="I353" i="101"/>
  <c r="J352" i="101"/>
  <c r="I352" i="101"/>
  <c r="J351" i="101"/>
  <c r="I351" i="101"/>
  <c r="J350" i="101"/>
  <c r="I350" i="101"/>
  <c r="J349" i="101"/>
  <c r="I349" i="101"/>
  <c r="J348" i="101"/>
  <c r="I348" i="101"/>
  <c r="J347" i="101"/>
  <c r="I347" i="101"/>
  <c r="J346" i="101"/>
  <c r="I346" i="101"/>
  <c r="J345" i="101"/>
  <c r="I345" i="101"/>
  <c r="J344" i="101"/>
  <c r="I344" i="101"/>
  <c r="J343" i="101"/>
  <c r="I343" i="101"/>
  <c r="J342" i="101"/>
  <c r="I342" i="101"/>
  <c r="J341" i="101"/>
  <c r="I341" i="101"/>
  <c r="J340" i="101"/>
  <c r="I340" i="101"/>
  <c r="J339" i="101"/>
  <c r="I339" i="101"/>
  <c r="J338" i="101"/>
  <c r="I338" i="101"/>
  <c r="J337" i="101"/>
  <c r="I337" i="101"/>
  <c r="J336" i="101"/>
  <c r="I336" i="101"/>
  <c r="J335" i="101"/>
  <c r="I335" i="101"/>
  <c r="J334" i="101"/>
  <c r="I334" i="101"/>
  <c r="J333" i="101"/>
  <c r="I333" i="101"/>
  <c r="J332" i="101"/>
  <c r="I332" i="101"/>
  <c r="J331" i="101"/>
  <c r="I331" i="101"/>
  <c r="J330" i="101"/>
  <c r="I330" i="101"/>
  <c r="J329" i="101"/>
  <c r="I329" i="101"/>
  <c r="J328" i="101"/>
  <c r="I328" i="101"/>
  <c r="J327" i="101"/>
  <c r="I327" i="101"/>
  <c r="J326" i="101"/>
  <c r="I326" i="101"/>
  <c r="J325" i="101"/>
  <c r="I325" i="101"/>
  <c r="J324" i="101"/>
  <c r="I324" i="101"/>
  <c r="J323" i="101"/>
  <c r="I323" i="101"/>
  <c r="J322" i="101"/>
  <c r="I322" i="101"/>
  <c r="J321" i="101"/>
  <c r="I321" i="101"/>
  <c r="J320" i="101"/>
  <c r="I320" i="101"/>
  <c r="J319" i="101"/>
  <c r="I319" i="101"/>
  <c r="J318" i="101"/>
  <c r="I318" i="101"/>
  <c r="J317" i="101"/>
  <c r="I317" i="101"/>
  <c r="J316" i="101"/>
  <c r="I316" i="101"/>
  <c r="J315" i="101"/>
  <c r="I315" i="101"/>
  <c r="J314" i="101"/>
  <c r="I314" i="101"/>
  <c r="J313" i="101"/>
  <c r="I313" i="101"/>
  <c r="J312" i="101"/>
  <c r="I312" i="101"/>
  <c r="J311" i="101"/>
  <c r="I311" i="101"/>
  <c r="J310" i="101"/>
  <c r="I310" i="101"/>
  <c r="J309" i="101"/>
  <c r="I309" i="101"/>
  <c r="J308" i="101"/>
  <c r="I308" i="101"/>
  <c r="J307" i="101"/>
  <c r="I307" i="101"/>
  <c r="J306" i="101"/>
  <c r="I306" i="101"/>
  <c r="J305" i="101"/>
  <c r="I305" i="101"/>
  <c r="J304" i="101"/>
  <c r="I304" i="101"/>
  <c r="J303" i="101"/>
  <c r="I303" i="101"/>
  <c r="J302" i="101"/>
  <c r="I302" i="101"/>
  <c r="J301" i="101"/>
  <c r="I301" i="101"/>
  <c r="J300" i="101"/>
  <c r="I300" i="101"/>
  <c r="J299" i="101"/>
  <c r="I299" i="101"/>
  <c r="J298" i="101"/>
  <c r="I298" i="101"/>
  <c r="J297" i="101"/>
  <c r="I297" i="101"/>
  <c r="J296" i="101"/>
  <c r="I296" i="101"/>
  <c r="J295" i="101"/>
  <c r="I295" i="101"/>
  <c r="J294" i="101"/>
  <c r="I294" i="101"/>
  <c r="J293" i="101"/>
  <c r="I293" i="101"/>
  <c r="J292" i="101"/>
  <c r="I292" i="101"/>
  <c r="J291" i="101"/>
  <c r="I291" i="101"/>
  <c r="J290" i="101"/>
  <c r="I290" i="101"/>
  <c r="J289" i="101"/>
  <c r="I289" i="101"/>
  <c r="J288" i="101"/>
  <c r="I288" i="101"/>
  <c r="J287" i="101"/>
  <c r="I287" i="101"/>
  <c r="J286" i="101"/>
  <c r="I286" i="101"/>
  <c r="J285" i="101"/>
  <c r="I285" i="101"/>
  <c r="J284" i="101"/>
  <c r="I284" i="101"/>
  <c r="J283" i="101"/>
  <c r="I283" i="101"/>
  <c r="J282" i="101"/>
  <c r="I282" i="101"/>
  <c r="J281" i="101"/>
  <c r="I281" i="101"/>
  <c r="J280" i="101"/>
  <c r="I280" i="101"/>
  <c r="J279" i="101"/>
  <c r="I279" i="101"/>
  <c r="J278" i="101"/>
  <c r="I278" i="101"/>
  <c r="J277" i="101"/>
  <c r="I277" i="101"/>
  <c r="J276" i="101"/>
  <c r="I276" i="101"/>
  <c r="J275" i="101"/>
  <c r="I275" i="101"/>
  <c r="J274" i="101"/>
  <c r="I274" i="101"/>
  <c r="J273" i="101"/>
  <c r="I273" i="101"/>
  <c r="J272" i="101"/>
  <c r="I272" i="101"/>
  <c r="J271" i="101"/>
  <c r="I271" i="101"/>
  <c r="J270" i="101"/>
  <c r="I270" i="101"/>
  <c r="J269" i="101"/>
  <c r="I269" i="101"/>
  <c r="J268" i="101"/>
  <c r="I268" i="101"/>
  <c r="J267" i="101"/>
  <c r="I267" i="101"/>
  <c r="J266" i="101"/>
  <c r="I266" i="101"/>
  <c r="J265" i="101"/>
  <c r="I265" i="101"/>
  <c r="J264" i="101"/>
  <c r="I264" i="101"/>
  <c r="J263" i="101"/>
  <c r="I263" i="101"/>
  <c r="J262" i="101"/>
  <c r="I262" i="101"/>
  <c r="J261" i="101"/>
  <c r="I261" i="101"/>
  <c r="J260" i="101"/>
  <c r="I260" i="101"/>
  <c r="J259" i="101"/>
  <c r="I259" i="101"/>
  <c r="J258" i="101"/>
  <c r="I258" i="101"/>
  <c r="J257" i="101"/>
  <c r="I257" i="101"/>
  <c r="J256" i="101"/>
  <c r="I256" i="101"/>
  <c r="J255" i="101"/>
  <c r="I255" i="101"/>
  <c r="J254" i="101"/>
  <c r="I254" i="101"/>
  <c r="J253" i="101"/>
  <c r="I253" i="101"/>
  <c r="J252" i="101"/>
  <c r="I252" i="101"/>
  <c r="J251" i="101"/>
  <c r="I251" i="101"/>
  <c r="J250" i="101"/>
  <c r="I250" i="101"/>
  <c r="J249" i="101"/>
  <c r="I249" i="101"/>
  <c r="J248" i="101"/>
  <c r="I248" i="101"/>
  <c r="J247" i="101"/>
  <c r="I247" i="101"/>
  <c r="J246" i="101"/>
  <c r="I246" i="101"/>
  <c r="J245" i="101"/>
  <c r="I245" i="101"/>
  <c r="J244" i="101"/>
  <c r="I244" i="101"/>
  <c r="J243" i="101"/>
  <c r="I243" i="101"/>
  <c r="J242" i="101"/>
  <c r="I242" i="101"/>
  <c r="J241" i="101"/>
  <c r="I241" i="101"/>
  <c r="J240" i="101"/>
  <c r="I240" i="101"/>
  <c r="J239" i="101"/>
  <c r="I239" i="101"/>
  <c r="J238" i="101"/>
  <c r="I238" i="101"/>
  <c r="J237" i="101"/>
  <c r="I237" i="101"/>
  <c r="J236" i="101"/>
  <c r="I236" i="101"/>
  <c r="J235" i="101"/>
  <c r="I235" i="101"/>
  <c r="J234" i="101"/>
  <c r="I234" i="101"/>
  <c r="J233" i="101"/>
  <c r="I233" i="101"/>
  <c r="J232" i="101"/>
  <c r="I232" i="101"/>
  <c r="J231" i="101"/>
  <c r="I231" i="101"/>
  <c r="J230" i="101"/>
  <c r="I230" i="101"/>
  <c r="J229" i="101"/>
  <c r="I229" i="101"/>
  <c r="J228" i="101"/>
  <c r="I228" i="101"/>
  <c r="J227" i="101"/>
  <c r="I227" i="101"/>
  <c r="J226" i="101"/>
  <c r="I226" i="101"/>
  <c r="J225" i="101"/>
  <c r="I225" i="101"/>
  <c r="J224" i="101"/>
  <c r="I224" i="101"/>
  <c r="J223" i="101"/>
  <c r="I223" i="101"/>
  <c r="J222" i="101"/>
  <c r="I222" i="101"/>
  <c r="J221" i="101"/>
  <c r="I221" i="101"/>
  <c r="J220" i="101"/>
  <c r="I220" i="101"/>
  <c r="J219" i="101"/>
  <c r="I219" i="101"/>
  <c r="J218" i="101"/>
  <c r="I218" i="101"/>
  <c r="J217" i="101"/>
  <c r="I217" i="101"/>
  <c r="J216" i="101"/>
  <c r="I216" i="101"/>
  <c r="J215" i="101"/>
  <c r="I215" i="101"/>
  <c r="J214" i="101"/>
  <c r="I214" i="101"/>
  <c r="J213" i="101"/>
  <c r="I213" i="101"/>
  <c r="J212" i="101"/>
  <c r="I212" i="101"/>
  <c r="J211" i="101"/>
  <c r="I211" i="101"/>
  <c r="J210" i="101"/>
  <c r="I210" i="101"/>
  <c r="J209" i="101"/>
  <c r="I209" i="101"/>
  <c r="J208" i="101"/>
  <c r="I208" i="101"/>
  <c r="J207" i="101"/>
  <c r="I207" i="101"/>
  <c r="J206" i="101"/>
  <c r="I206" i="101"/>
  <c r="J205" i="101"/>
  <c r="I205" i="101"/>
  <c r="J204" i="101"/>
  <c r="I204" i="101"/>
  <c r="J203" i="101"/>
  <c r="I203" i="101"/>
  <c r="J202" i="101"/>
  <c r="I202" i="101"/>
  <c r="J201" i="101"/>
  <c r="I201" i="101"/>
  <c r="J200" i="101"/>
  <c r="I200" i="101"/>
  <c r="J199" i="101"/>
  <c r="I199" i="101"/>
  <c r="J198" i="101"/>
  <c r="I198" i="101"/>
  <c r="J197" i="101"/>
  <c r="I197" i="101"/>
  <c r="J196" i="101"/>
  <c r="I196" i="101"/>
  <c r="J195" i="101"/>
  <c r="I195" i="101"/>
  <c r="J194" i="101"/>
  <c r="I194" i="101"/>
  <c r="J193" i="101"/>
  <c r="I193" i="101"/>
  <c r="J192" i="101"/>
  <c r="I192" i="101"/>
  <c r="J191" i="101"/>
  <c r="I191" i="101"/>
  <c r="J190" i="101"/>
  <c r="I190" i="101"/>
  <c r="J189" i="101"/>
  <c r="I189" i="101"/>
  <c r="J188" i="101"/>
  <c r="I188" i="101"/>
  <c r="J187" i="101"/>
  <c r="I187" i="101"/>
  <c r="J186" i="101"/>
  <c r="I186" i="101"/>
  <c r="J185" i="101"/>
  <c r="I185" i="101"/>
  <c r="J184" i="101"/>
  <c r="I184" i="101"/>
  <c r="J183" i="101"/>
  <c r="I183" i="101"/>
  <c r="J182" i="101"/>
  <c r="I182" i="101"/>
  <c r="J181" i="101"/>
  <c r="I181" i="101"/>
  <c r="J180" i="101"/>
  <c r="I180" i="101"/>
  <c r="J179" i="101"/>
  <c r="I179" i="101"/>
  <c r="J178" i="101"/>
  <c r="I178" i="101"/>
  <c r="J177" i="101"/>
  <c r="I177" i="101"/>
  <c r="J176" i="101"/>
  <c r="I176" i="101"/>
  <c r="J175" i="101"/>
  <c r="I175" i="101"/>
  <c r="J174" i="101"/>
  <c r="I174" i="101"/>
  <c r="J173" i="101"/>
  <c r="I173" i="101"/>
  <c r="J172" i="101"/>
  <c r="I172" i="101"/>
  <c r="J171" i="101"/>
  <c r="I171" i="101"/>
  <c r="J170" i="101"/>
  <c r="I170" i="101"/>
  <c r="J169" i="101"/>
  <c r="I169" i="101"/>
  <c r="J168" i="101"/>
  <c r="I168" i="101"/>
  <c r="J167" i="101"/>
  <c r="I167" i="101"/>
  <c r="J166" i="101"/>
  <c r="I166" i="101"/>
  <c r="J165" i="101"/>
  <c r="I165" i="101"/>
  <c r="J164" i="101"/>
  <c r="I164" i="101"/>
  <c r="J163" i="101"/>
  <c r="I163" i="101"/>
  <c r="J162" i="101"/>
  <c r="I162" i="101"/>
  <c r="J161" i="101"/>
  <c r="I161" i="101"/>
  <c r="J160" i="101"/>
  <c r="I160" i="101"/>
  <c r="J159" i="101"/>
  <c r="I159" i="101"/>
  <c r="J158" i="101"/>
  <c r="I158" i="101"/>
  <c r="J157" i="101"/>
  <c r="I157" i="101"/>
  <c r="J156" i="101"/>
  <c r="I156" i="101"/>
  <c r="J155" i="101"/>
  <c r="I155" i="101"/>
  <c r="J154" i="101"/>
  <c r="I154" i="101"/>
  <c r="J153" i="101"/>
  <c r="I153" i="101"/>
  <c r="J152" i="101"/>
  <c r="I152" i="101"/>
  <c r="J151" i="101"/>
  <c r="I151" i="101"/>
  <c r="J150" i="101"/>
  <c r="I150" i="101"/>
  <c r="J149" i="101"/>
  <c r="I149" i="101"/>
  <c r="J148" i="101"/>
  <c r="I148" i="101"/>
  <c r="J147" i="101"/>
  <c r="I147" i="101"/>
  <c r="J146" i="101"/>
  <c r="I146" i="101"/>
  <c r="J145" i="101"/>
  <c r="I145" i="101"/>
  <c r="J144" i="101"/>
  <c r="I144" i="101"/>
  <c r="J143" i="101"/>
  <c r="I143" i="101"/>
  <c r="J142" i="101"/>
  <c r="I142" i="101"/>
  <c r="J141" i="101"/>
  <c r="I141" i="101"/>
  <c r="J140" i="101"/>
  <c r="I140" i="101"/>
  <c r="J139" i="101"/>
  <c r="I139" i="101"/>
  <c r="J138" i="101"/>
  <c r="I138" i="101"/>
  <c r="J137" i="101"/>
  <c r="I137" i="101"/>
  <c r="J136" i="101"/>
  <c r="I136" i="101"/>
  <c r="J135" i="101"/>
  <c r="I135" i="101"/>
  <c r="J134" i="101"/>
  <c r="I134" i="101"/>
  <c r="J133" i="101"/>
  <c r="I133" i="101"/>
  <c r="J132" i="101"/>
  <c r="I132" i="101"/>
  <c r="J131" i="101"/>
  <c r="I131" i="101"/>
  <c r="J130" i="101"/>
  <c r="I130" i="101"/>
  <c r="J129" i="101"/>
  <c r="I129" i="101"/>
  <c r="J128" i="101"/>
  <c r="I128" i="101"/>
  <c r="J127" i="101"/>
  <c r="I127" i="101"/>
  <c r="J126" i="101"/>
  <c r="I126" i="101"/>
  <c r="J125" i="101"/>
  <c r="I125" i="101"/>
  <c r="J124" i="101"/>
  <c r="I124" i="101"/>
  <c r="J123" i="101"/>
  <c r="I123" i="101"/>
  <c r="J122" i="101"/>
  <c r="I122" i="101"/>
  <c r="J121" i="101"/>
  <c r="I121" i="101"/>
  <c r="J120" i="101"/>
  <c r="I120" i="101"/>
  <c r="J119" i="101"/>
  <c r="I119" i="101"/>
  <c r="J118" i="101"/>
  <c r="I118" i="101"/>
  <c r="J117" i="101"/>
  <c r="I117" i="101"/>
  <c r="J116" i="101"/>
  <c r="I116" i="101"/>
  <c r="J115" i="101"/>
  <c r="I115" i="101"/>
  <c r="J114" i="101"/>
  <c r="I114" i="101"/>
  <c r="J113" i="101"/>
  <c r="I113" i="101"/>
  <c r="J112" i="101"/>
  <c r="I112" i="101"/>
  <c r="J111" i="101"/>
  <c r="I111" i="101"/>
  <c r="J110" i="101"/>
  <c r="I110" i="101"/>
  <c r="J109" i="101"/>
  <c r="I109" i="101"/>
  <c r="J108" i="101"/>
  <c r="I108" i="101"/>
  <c r="J107" i="101"/>
  <c r="I107" i="101"/>
  <c r="J106" i="101"/>
  <c r="I106" i="101"/>
  <c r="J105" i="101"/>
  <c r="I105" i="101"/>
  <c r="J104" i="101"/>
  <c r="I104" i="101"/>
  <c r="J103" i="101"/>
  <c r="I103" i="101"/>
  <c r="J102" i="101"/>
  <c r="I102" i="101"/>
  <c r="J101" i="101"/>
  <c r="I101" i="101"/>
  <c r="J100" i="101"/>
  <c r="I100" i="101"/>
  <c r="J99" i="101"/>
  <c r="I99" i="101"/>
  <c r="J98" i="101"/>
  <c r="I98" i="101"/>
  <c r="J97" i="101"/>
  <c r="I97" i="101"/>
  <c r="J96" i="101"/>
  <c r="I96" i="101"/>
  <c r="J95" i="101"/>
  <c r="I95" i="101"/>
  <c r="J94" i="101"/>
  <c r="I94" i="101"/>
  <c r="J93" i="101"/>
  <c r="I93" i="101"/>
  <c r="J92" i="101"/>
  <c r="I92" i="101"/>
  <c r="J91" i="101"/>
  <c r="I91" i="101"/>
  <c r="J90" i="101"/>
  <c r="I90" i="101"/>
  <c r="J89" i="101"/>
  <c r="I89" i="101"/>
  <c r="J88" i="101"/>
  <c r="I88" i="101"/>
  <c r="J87" i="101"/>
  <c r="I87" i="101"/>
  <c r="J86" i="101"/>
  <c r="I86" i="101"/>
  <c r="J85" i="101"/>
  <c r="I85" i="101"/>
  <c r="J84" i="101"/>
  <c r="I84" i="101"/>
  <c r="J83" i="101"/>
  <c r="I83" i="101"/>
  <c r="J82" i="101"/>
  <c r="I82" i="101"/>
  <c r="J81" i="101"/>
  <c r="I81" i="101"/>
  <c r="J80" i="101"/>
  <c r="I80" i="101"/>
  <c r="J79" i="101"/>
  <c r="I79" i="101"/>
  <c r="J78" i="101"/>
  <c r="I78" i="101"/>
  <c r="J77" i="101"/>
  <c r="I77" i="101"/>
  <c r="J76" i="101"/>
  <c r="I76" i="101"/>
  <c r="J75" i="101"/>
  <c r="I75" i="101"/>
  <c r="J74" i="101"/>
  <c r="I74" i="101"/>
  <c r="J73" i="101"/>
  <c r="I73" i="101"/>
  <c r="J72" i="101"/>
  <c r="I72" i="101"/>
  <c r="J71" i="101"/>
  <c r="I71" i="101"/>
  <c r="J70" i="101"/>
  <c r="I70" i="101"/>
  <c r="J69" i="101"/>
  <c r="I69" i="101"/>
  <c r="J68" i="101"/>
  <c r="I68" i="101"/>
  <c r="J67" i="101"/>
  <c r="I67" i="101"/>
  <c r="J66" i="101"/>
  <c r="I66" i="101"/>
  <c r="J65" i="101"/>
  <c r="I65" i="101"/>
  <c r="J64" i="101"/>
  <c r="I64" i="101"/>
  <c r="J63" i="101"/>
  <c r="I63" i="101"/>
  <c r="J62" i="101"/>
  <c r="I62" i="101"/>
  <c r="J61" i="101"/>
  <c r="I61" i="101"/>
  <c r="J60" i="101"/>
  <c r="I60" i="101"/>
  <c r="J59" i="101"/>
  <c r="I59" i="101"/>
  <c r="J58" i="101"/>
  <c r="I58" i="101"/>
  <c r="J57" i="101"/>
  <c r="I57" i="101"/>
  <c r="J56" i="101"/>
  <c r="I56" i="101"/>
  <c r="J55" i="101"/>
  <c r="I55" i="101"/>
  <c r="J54" i="101"/>
  <c r="I54" i="101"/>
  <c r="J53" i="101"/>
  <c r="I53" i="101"/>
  <c r="J52" i="101"/>
  <c r="I52" i="101"/>
  <c r="J51" i="101"/>
  <c r="I51" i="101"/>
  <c r="J50" i="101"/>
  <c r="I50" i="101"/>
  <c r="J49" i="101"/>
  <c r="I49" i="101"/>
  <c r="J48" i="101"/>
  <c r="I48" i="101"/>
  <c r="J47" i="101"/>
  <c r="I47" i="101"/>
  <c r="J46" i="101"/>
  <c r="I46" i="101"/>
  <c r="J45" i="101"/>
  <c r="I45" i="101"/>
  <c r="J44" i="101"/>
  <c r="I44" i="101"/>
  <c r="J43" i="101"/>
  <c r="I43" i="101"/>
  <c r="J42" i="101"/>
  <c r="I42" i="101"/>
  <c r="J41" i="101"/>
  <c r="I41" i="101"/>
  <c r="J40" i="101"/>
  <c r="I40" i="101"/>
  <c r="J39" i="101"/>
  <c r="I39" i="101"/>
  <c r="J38" i="101"/>
  <c r="I38" i="101"/>
  <c r="J37" i="101"/>
  <c r="I37" i="101"/>
  <c r="J36" i="101"/>
  <c r="I36" i="101"/>
  <c r="J35" i="101"/>
  <c r="I35" i="101"/>
  <c r="J34" i="101"/>
  <c r="I34" i="101"/>
  <c r="J33" i="101"/>
  <c r="I33" i="101"/>
  <c r="J32" i="101"/>
  <c r="I32" i="101"/>
  <c r="J31" i="101"/>
  <c r="I31" i="101"/>
  <c r="J30" i="101"/>
  <c r="I30" i="101"/>
  <c r="J29" i="101"/>
  <c r="I29" i="101"/>
  <c r="J28" i="101"/>
  <c r="I28" i="101"/>
  <c r="J27" i="101"/>
  <c r="I27" i="101"/>
  <c r="J26" i="101"/>
  <c r="I26" i="101"/>
  <c r="J25" i="101"/>
  <c r="I25" i="101"/>
  <c r="J24" i="101"/>
  <c r="I24" i="101"/>
  <c r="J23" i="101"/>
  <c r="I23" i="101"/>
  <c r="J22" i="101"/>
  <c r="I22" i="101"/>
  <c r="J21" i="101"/>
  <c r="I21" i="101"/>
  <c r="J20" i="101"/>
  <c r="I20" i="101"/>
  <c r="J19" i="101"/>
  <c r="I19" i="101"/>
  <c r="J18" i="101"/>
  <c r="I18" i="101"/>
  <c r="J17" i="101"/>
  <c r="I17" i="101"/>
  <c r="J16" i="101"/>
  <c r="I16" i="101"/>
  <c r="J15" i="101"/>
  <c r="I15" i="101"/>
  <c r="J14" i="101"/>
  <c r="I14" i="101"/>
  <c r="J13" i="101"/>
  <c r="I13" i="101"/>
  <c r="J12" i="101"/>
  <c r="I12" i="101"/>
  <c r="J11" i="101"/>
  <c r="I11" i="101"/>
  <c r="J10" i="101"/>
  <c r="I10" i="101"/>
  <c r="J9" i="101"/>
  <c r="I9" i="101"/>
  <c r="J8" i="101"/>
  <c r="I8" i="101"/>
  <c r="J7" i="101"/>
  <c r="I7" i="101"/>
  <c r="J6" i="101"/>
  <c r="I6" i="101"/>
  <c r="J5" i="101"/>
  <c r="I5" i="101"/>
  <c r="J4" i="101"/>
  <c r="I4" i="101"/>
  <c r="J3" i="101"/>
  <c r="I3" i="101"/>
  <c r="I2" i="101"/>
  <c r="J390" i="100"/>
  <c r="I390" i="100"/>
  <c r="J389" i="100"/>
  <c r="I389" i="100"/>
  <c r="J388" i="100"/>
  <c r="I388" i="100"/>
  <c r="J387" i="100"/>
  <c r="I387" i="100"/>
  <c r="J386" i="100"/>
  <c r="I386" i="100"/>
  <c r="J385" i="100"/>
  <c r="I385" i="100"/>
  <c r="J384" i="100"/>
  <c r="I384" i="100"/>
  <c r="J383" i="100"/>
  <c r="I383" i="100"/>
  <c r="J382" i="100"/>
  <c r="I382" i="100"/>
  <c r="J381" i="100"/>
  <c r="I381" i="100"/>
  <c r="J380" i="100"/>
  <c r="I380" i="100"/>
  <c r="J379" i="100"/>
  <c r="I379" i="100"/>
  <c r="J378" i="100"/>
  <c r="I378" i="100"/>
  <c r="J377" i="100"/>
  <c r="I377" i="100"/>
  <c r="J376" i="100"/>
  <c r="I376" i="100"/>
  <c r="J375" i="100"/>
  <c r="I375" i="100"/>
  <c r="J374" i="100"/>
  <c r="I374" i="100"/>
  <c r="J373" i="100"/>
  <c r="I373" i="100"/>
  <c r="J372" i="100"/>
  <c r="I372" i="100"/>
  <c r="J371" i="100"/>
  <c r="I371" i="100"/>
  <c r="J370" i="100"/>
  <c r="I370" i="100"/>
  <c r="J369" i="100"/>
  <c r="I369" i="100"/>
  <c r="J368" i="100"/>
  <c r="I368" i="100"/>
  <c r="J367" i="100"/>
  <c r="I367" i="100"/>
  <c r="J366" i="100"/>
  <c r="I366" i="100"/>
  <c r="J365" i="100"/>
  <c r="I365" i="100"/>
  <c r="J364" i="100"/>
  <c r="I364" i="100"/>
  <c r="J363" i="100"/>
  <c r="I363" i="100"/>
  <c r="J362" i="100"/>
  <c r="I362" i="100"/>
  <c r="J361" i="100"/>
  <c r="I361" i="100"/>
  <c r="J360" i="100"/>
  <c r="I360" i="100"/>
  <c r="J359" i="100"/>
  <c r="I359" i="100"/>
  <c r="J358" i="100"/>
  <c r="I358" i="100"/>
  <c r="J357" i="100"/>
  <c r="I357" i="100"/>
  <c r="J356" i="100"/>
  <c r="I356" i="100"/>
  <c r="J355" i="100"/>
  <c r="I355" i="100"/>
  <c r="J354" i="100"/>
  <c r="I354" i="100"/>
  <c r="J353" i="100"/>
  <c r="I353" i="100"/>
  <c r="J352" i="100"/>
  <c r="I352" i="100"/>
  <c r="J351" i="100"/>
  <c r="I351" i="100"/>
  <c r="J350" i="100"/>
  <c r="I350" i="100"/>
  <c r="J349" i="100"/>
  <c r="I349" i="100"/>
  <c r="J348" i="100"/>
  <c r="I348" i="100"/>
  <c r="J347" i="100"/>
  <c r="I347" i="100"/>
  <c r="J346" i="100"/>
  <c r="I346" i="100"/>
  <c r="J345" i="100"/>
  <c r="I345" i="100"/>
  <c r="J344" i="100"/>
  <c r="I344" i="100"/>
  <c r="J343" i="100"/>
  <c r="I343" i="100"/>
  <c r="J342" i="100"/>
  <c r="I342" i="100"/>
  <c r="J341" i="100"/>
  <c r="I341" i="100"/>
  <c r="J340" i="100"/>
  <c r="I340" i="100"/>
  <c r="J339" i="100"/>
  <c r="I339" i="100"/>
  <c r="J338" i="100"/>
  <c r="I338" i="100"/>
  <c r="J337" i="100"/>
  <c r="I337" i="100"/>
  <c r="J336" i="100"/>
  <c r="I336" i="100"/>
  <c r="J335" i="100"/>
  <c r="I335" i="100"/>
  <c r="J334" i="100"/>
  <c r="I334" i="100"/>
  <c r="J333" i="100"/>
  <c r="I333" i="100"/>
  <c r="J332" i="100"/>
  <c r="I332" i="100"/>
  <c r="J331" i="100"/>
  <c r="I331" i="100"/>
  <c r="J330" i="100"/>
  <c r="I330" i="100"/>
  <c r="J329" i="100"/>
  <c r="I329" i="100"/>
  <c r="J328" i="100"/>
  <c r="I328" i="100"/>
  <c r="J327" i="100"/>
  <c r="I327" i="100"/>
  <c r="J326" i="100"/>
  <c r="I326" i="100"/>
  <c r="J325" i="100"/>
  <c r="I325" i="100"/>
  <c r="J324" i="100"/>
  <c r="I324" i="100"/>
  <c r="J323" i="100"/>
  <c r="I323" i="100"/>
  <c r="J322" i="100"/>
  <c r="I322" i="100"/>
  <c r="J321" i="100"/>
  <c r="I321" i="100"/>
  <c r="J320" i="100"/>
  <c r="I320" i="100"/>
  <c r="J319" i="100"/>
  <c r="I319" i="100"/>
  <c r="J318" i="100"/>
  <c r="I318" i="100"/>
  <c r="J317" i="100"/>
  <c r="I317" i="100"/>
  <c r="J316" i="100"/>
  <c r="I316" i="100"/>
  <c r="J315" i="100"/>
  <c r="I315" i="100"/>
  <c r="J314" i="100"/>
  <c r="I314" i="100"/>
  <c r="J313" i="100"/>
  <c r="I313" i="100"/>
  <c r="J312" i="100"/>
  <c r="I312" i="100"/>
  <c r="J311" i="100"/>
  <c r="I311" i="100"/>
  <c r="J310" i="100"/>
  <c r="I310" i="100"/>
  <c r="J309" i="100"/>
  <c r="I309" i="100"/>
  <c r="J308" i="100"/>
  <c r="I308" i="100"/>
  <c r="J307" i="100"/>
  <c r="I307" i="100"/>
  <c r="J306" i="100"/>
  <c r="I306" i="100"/>
  <c r="J305" i="100"/>
  <c r="I305" i="100"/>
  <c r="J304" i="100"/>
  <c r="I304" i="100"/>
  <c r="J303" i="100"/>
  <c r="I303" i="100"/>
  <c r="J302" i="100"/>
  <c r="I302" i="100"/>
  <c r="J301" i="100"/>
  <c r="I301" i="100"/>
  <c r="J300" i="100"/>
  <c r="I300" i="100"/>
  <c r="J299" i="100"/>
  <c r="I299" i="100"/>
  <c r="J298" i="100"/>
  <c r="I298" i="100"/>
  <c r="J297" i="100"/>
  <c r="I297" i="100"/>
  <c r="J296" i="100"/>
  <c r="I296" i="100"/>
  <c r="J295" i="100"/>
  <c r="I295" i="100"/>
  <c r="J294" i="100"/>
  <c r="I294" i="100"/>
  <c r="J293" i="100"/>
  <c r="I293" i="100"/>
  <c r="J292" i="100"/>
  <c r="I292" i="100"/>
  <c r="J291" i="100"/>
  <c r="I291" i="100"/>
  <c r="J290" i="100"/>
  <c r="I290" i="100"/>
  <c r="J289" i="100"/>
  <c r="I289" i="100"/>
  <c r="J288" i="100"/>
  <c r="I288" i="100"/>
  <c r="J287" i="100"/>
  <c r="I287" i="100"/>
  <c r="J286" i="100"/>
  <c r="I286" i="100"/>
  <c r="J285" i="100"/>
  <c r="I285" i="100"/>
  <c r="J284" i="100"/>
  <c r="I284" i="100"/>
  <c r="J283" i="100"/>
  <c r="I283" i="100"/>
  <c r="J282" i="100"/>
  <c r="I282" i="100"/>
  <c r="J281" i="100"/>
  <c r="I281" i="100"/>
  <c r="J280" i="100"/>
  <c r="I280" i="100"/>
  <c r="J279" i="100"/>
  <c r="I279" i="100"/>
  <c r="J278" i="100"/>
  <c r="I278" i="100"/>
  <c r="J277" i="100"/>
  <c r="I277" i="100"/>
  <c r="J276" i="100"/>
  <c r="I276" i="100"/>
  <c r="J275" i="100"/>
  <c r="I275" i="100"/>
  <c r="J274" i="100"/>
  <c r="I274" i="100"/>
  <c r="J273" i="100"/>
  <c r="I273" i="100"/>
  <c r="J272" i="100"/>
  <c r="I272" i="100"/>
  <c r="J271" i="100"/>
  <c r="I271" i="100"/>
  <c r="J270" i="100"/>
  <c r="I270" i="100"/>
  <c r="J269" i="100"/>
  <c r="I269" i="100"/>
  <c r="J268" i="100"/>
  <c r="I268" i="100"/>
  <c r="J267" i="100"/>
  <c r="I267" i="100"/>
  <c r="J266" i="100"/>
  <c r="I266" i="100"/>
  <c r="J265" i="100"/>
  <c r="I265" i="100"/>
  <c r="J264" i="100"/>
  <c r="I264" i="100"/>
  <c r="J263" i="100"/>
  <c r="I263" i="100"/>
  <c r="J262" i="100"/>
  <c r="I262" i="100"/>
  <c r="J261" i="100"/>
  <c r="I261" i="100"/>
  <c r="J260" i="100"/>
  <c r="I260" i="100"/>
  <c r="J259" i="100"/>
  <c r="I259" i="100"/>
  <c r="J258" i="100"/>
  <c r="I258" i="100"/>
  <c r="J257" i="100"/>
  <c r="I257" i="100"/>
  <c r="J256" i="100"/>
  <c r="I256" i="100"/>
  <c r="J255" i="100"/>
  <c r="I255" i="100"/>
  <c r="J254" i="100"/>
  <c r="I254" i="100"/>
  <c r="J253" i="100"/>
  <c r="I253" i="100"/>
  <c r="J252" i="100"/>
  <c r="I252" i="100"/>
  <c r="J251" i="100"/>
  <c r="I251" i="100"/>
  <c r="J250" i="100"/>
  <c r="I250" i="100"/>
  <c r="J249" i="100"/>
  <c r="I249" i="100"/>
  <c r="J248" i="100"/>
  <c r="I248" i="100"/>
  <c r="J247" i="100"/>
  <c r="I247" i="100"/>
  <c r="J246" i="100"/>
  <c r="I246" i="100"/>
  <c r="J245" i="100"/>
  <c r="I245" i="100"/>
  <c r="J244" i="100"/>
  <c r="I244" i="100"/>
  <c r="J243" i="100"/>
  <c r="I243" i="100"/>
  <c r="J242" i="100"/>
  <c r="I242" i="100"/>
  <c r="J241" i="100"/>
  <c r="I241" i="100"/>
  <c r="J240" i="100"/>
  <c r="I240" i="100"/>
  <c r="J239" i="100"/>
  <c r="I239" i="100"/>
  <c r="J238" i="100"/>
  <c r="I238" i="100"/>
  <c r="J237" i="100"/>
  <c r="I237" i="100"/>
  <c r="J236" i="100"/>
  <c r="I236" i="100"/>
  <c r="J235" i="100"/>
  <c r="I235" i="100"/>
  <c r="J234" i="100"/>
  <c r="I234" i="100"/>
  <c r="J233" i="100"/>
  <c r="I233" i="100"/>
  <c r="J232" i="100"/>
  <c r="I232" i="100"/>
  <c r="J231" i="100"/>
  <c r="I231" i="100"/>
  <c r="J230" i="100"/>
  <c r="I230" i="100"/>
  <c r="J229" i="100"/>
  <c r="I229" i="100"/>
  <c r="J228" i="100"/>
  <c r="I228" i="100"/>
  <c r="J227" i="100"/>
  <c r="I227" i="100"/>
  <c r="J226" i="100"/>
  <c r="I226" i="100"/>
  <c r="J225" i="100"/>
  <c r="I225" i="100"/>
  <c r="J224" i="100"/>
  <c r="I224" i="100"/>
  <c r="J223" i="100"/>
  <c r="I223" i="100"/>
  <c r="J222" i="100"/>
  <c r="I222" i="100"/>
  <c r="J221" i="100"/>
  <c r="I221" i="100"/>
  <c r="J220" i="100"/>
  <c r="I220" i="100"/>
  <c r="J219" i="100"/>
  <c r="I219" i="100"/>
  <c r="J218" i="100"/>
  <c r="I218" i="100"/>
  <c r="J217" i="100"/>
  <c r="I217" i="100"/>
  <c r="J216" i="100"/>
  <c r="I216" i="100"/>
  <c r="J215" i="100"/>
  <c r="I215" i="100"/>
  <c r="J214" i="100"/>
  <c r="I214" i="100"/>
  <c r="J213" i="100"/>
  <c r="I213" i="100"/>
  <c r="J212" i="100"/>
  <c r="I212" i="100"/>
  <c r="J211" i="100"/>
  <c r="I211" i="100"/>
  <c r="J210" i="100"/>
  <c r="I210" i="100"/>
  <c r="J209" i="100"/>
  <c r="I209" i="100"/>
  <c r="J208" i="100"/>
  <c r="I208" i="100"/>
  <c r="J207" i="100"/>
  <c r="I207" i="100"/>
  <c r="J206" i="100"/>
  <c r="I206" i="100"/>
  <c r="J205" i="100"/>
  <c r="I205" i="100"/>
  <c r="J204" i="100"/>
  <c r="I204" i="100"/>
  <c r="J203" i="100"/>
  <c r="I203" i="100"/>
  <c r="J202" i="100"/>
  <c r="I202" i="100"/>
  <c r="J201" i="100"/>
  <c r="I201" i="100"/>
  <c r="J200" i="100"/>
  <c r="I200" i="100"/>
  <c r="J199" i="100"/>
  <c r="I199" i="100"/>
  <c r="J198" i="100"/>
  <c r="I198" i="100"/>
  <c r="J197" i="100"/>
  <c r="I197" i="100"/>
  <c r="J196" i="100"/>
  <c r="I196" i="100"/>
  <c r="J195" i="100"/>
  <c r="I195" i="100"/>
  <c r="J194" i="100"/>
  <c r="I194" i="100"/>
  <c r="J193" i="100"/>
  <c r="I193" i="100"/>
  <c r="J192" i="100"/>
  <c r="I192" i="100"/>
  <c r="J191" i="100"/>
  <c r="I191" i="100"/>
  <c r="J190" i="100"/>
  <c r="I190" i="100"/>
  <c r="J189" i="100"/>
  <c r="I189" i="100"/>
  <c r="J188" i="100"/>
  <c r="I188" i="100"/>
  <c r="J187" i="100"/>
  <c r="I187" i="100"/>
  <c r="J186" i="100"/>
  <c r="I186" i="100"/>
  <c r="J185" i="100"/>
  <c r="I185" i="100"/>
  <c r="J184" i="100"/>
  <c r="I184" i="100"/>
  <c r="J183" i="100"/>
  <c r="I183" i="100"/>
  <c r="J182" i="100"/>
  <c r="I182" i="100"/>
  <c r="J181" i="100"/>
  <c r="I181" i="100"/>
  <c r="J180" i="100"/>
  <c r="I180" i="100"/>
  <c r="J179" i="100"/>
  <c r="I179" i="100"/>
  <c r="J178" i="100"/>
  <c r="I178" i="100"/>
  <c r="J177" i="100"/>
  <c r="I177" i="100"/>
  <c r="J176" i="100"/>
  <c r="I176" i="100"/>
  <c r="J175" i="100"/>
  <c r="I175" i="100"/>
  <c r="J174" i="100"/>
  <c r="I174" i="100"/>
  <c r="J173" i="100"/>
  <c r="I173" i="100"/>
  <c r="J172" i="100"/>
  <c r="I172" i="100"/>
  <c r="J171" i="100"/>
  <c r="I171" i="100"/>
  <c r="J170" i="100"/>
  <c r="I170" i="100"/>
  <c r="J169" i="100"/>
  <c r="I169" i="100"/>
  <c r="J168" i="100"/>
  <c r="I168" i="100"/>
  <c r="J167" i="100"/>
  <c r="I167" i="100"/>
  <c r="J166" i="100"/>
  <c r="I166" i="100"/>
  <c r="J165" i="100"/>
  <c r="I165" i="100"/>
  <c r="J164" i="100"/>
  <c r="I164" i="100"/>
  <c r="J163" i="100"/>
  <c r="I163" i="100"/>
  <c r="J162" i="100"/>
  <c r="I162" i="100"/>
  <c r="J161" i="100"/>
  <c r="I161" i="100"/>
  <c r="J160" i="100"/>
  <c r="I160" i="100"/>
  <c r="J159" i="100"/>
  <c r="I159" i="100"/>
  <c r="J158" i="100"/>
  <c r="I158" i="100"/>
  <c r="J157" i="100"/>
  <c r="I157" i="100"/>
  <c r="J156" i="100"/>
  <c r="I156" i="100"/>
  <c r="J155" i="100"/>
  <c r="I155" i="100"/>
  <c r="J154" i="100"/>
  <c r="I154" i="100"/>
  <c r="J153" i="100"/>
  <c r="I153" i="100"/>
  <c r="J152" i="100"/>
  <c r="I152" i="100"/>
  <c r="J151" i="100"/>
  <c r="I151" i="100"/>
  <c r="J150" i="100"/>
  <c r="I150" i="100"/>
  <c r="J149" i="100"/>
  <c r="I149" i="100"/>
  <c r="J148" i="100"/>
  <c r="I148" i="100"/>
  <c r="J147" i="100"/>
  <c r="I147" i="100"/>
  <c r="J146" i="100"/>
  <c r="I146" i="100"/>
  <c r="J145" i="100"/>
  <c r="I145" i="100"/>
  <c r="J144" i="100"/>
  <c r="I144" i="100"/>
  <c r="J143" i="100"/>
  <c r="I143" i="100"/>
  <c r="J142" i="100"/>
  <c r="I142" i="100"/>
  <c r="J141" i="100"/>
  <c r="I141" i="100"/>
  <c r="J140" i="100"/>
  <c r="I140" i="100"/>
  <c r="J139" i="100"/>
  <c r="I139" i="100"/>
  <c r="J138" i="100"/>
  <c r="I138" i="100"/>
  <c r="J137" i="100"/>
  <c r="I137" i="100"/>
  <c r="J136" i="100"/>
  <c r="I136" i="100"/>
  <c r="J135" i="100"/>
  <c r="I135" i="100"/>
  <c r="J134" i="100"/>
  <c r="I134" i="100"/>
  <c r="J133" i="100"/>
  <c r="I133" i="100"/>
  <c r="J132" i="100"/>
  <c r="I132" i="100"/>
  <c r="J131" i="100"/>
  <c r="I131" i="100"/>
  <c r="J130" i="100"/>
  <c r="I130" i="100"/>
  <c r="J129" i="100"/>
  <c r="I129" i="100"/>
  <c r="J128" i="100"/>
  <c r="I128" i="100"/>
  <c r="J127" i="100"/>
  <c r="I127" i="100"/>
  <c r="J126" i="100"/>
  <c r="I126" i="100"/>
  <c r="J125" i="100"/>
  <c r="I125" i="100"/>
  <c r="J124" i="100"/>
  <c r="I124" i="100"/>
  <c r="J123" i="100"/>
  <c r="I123" i="100"/>
  <c r="J122" i="100"/>
  <c r="I122" i="100"/>
  <c r="J121" i="100"/>
  <c r="I121" i="100"/>
  <c r="J120" i="100"/>
  <c r="I120" i="100"/>
  <c r="J119" i="100"/>
  <c r="I119" i="100"/>
  <c r="J118" i="100"/>
  <c r="I118" i="100"/>
  <c r="J117" i="100"/>
  <c r="I117" i="100"/>
  <c r="J116" i="100"/>
  <c r="I116" i="100"/>
  <c r="J115" i="100"/>
  <c r="I115" i="100"/>
  <c r="J114" i="100"/>
  <c r="I114" i="100"/>
  <c r="J113" i="100"/>
  <c r="I113" i="100"/>
  <c r="J112" i="100"/>
  <c r="I112" i="100"/>
  <c r="J111" i="100"/>
  <c r="I111" i="100"/>
  <c r="J110" i="100"/>
  <c r="I110" i="100"/>
  <c r="J109" i="100"/>
  <c r="I109" i="100"/>
  <c r="J108" i="100"/>
  <c r="I108" i="100"/>
  <c r="J107" i="100"/>
  <c r="I107" i="100"/>
  <c r="J106" i="100"/>
  <c r="I106" i="100"/>
  <c r="J105" i="100"/>
  <c r="I105" i="100"/>
  <c r="J104" i="100"/>
  <c r="I104" i="100"/>
  <c r="J103" i="100"/>
  <c r="I103" i="100"/>
  <c r="J102" i="100"/>
  <c r="I102" i="100"/>
  <c r="J101" i="100"/>
  <c r="I101" i="100"/>
  <c r="J100" i="100"/>
  <c r="I100" i="100"/>
  <c r="J99" i="100"/>
  <c r="I99" i="100"/>
  <c r="J98" i="100"/>
  <c r="I98" i="100"/>
  <c r="J97" i="100"/>
  <c r="I97" i="100"/>
  <c r="J96" i="100"/>
  <c r="I96" i="100"/>
  <c r="J95" i="100"/>
  <c r="I95" i="100"/>
  <c r="J94" i="100"/>
  <c r="I94" i="100"/>
  <c r="J93" i="100"/>
  <c r="I93" i="100"/>
  <c r="J92" i="100"/>
  <c r="I92" i="100"/>
  <c r="J91" i="100"/>
  <c r="I91" i="100"/>
  <c r="J90" i="100"/>
  <c r="I90" i="100"/>
  <c r="J89" i="100"/>
  <c r="I89" i="100"/>
  <c r="J88" i="100"/>
  <c r="I88" i="100"/>
  <c r="J87" i="100"/>
  <c r="I87" i="100"/>
  <c r="J86" i="100"/>
  <c r="I86" i="100"/>
  <c r="J85" i="100"/>
  <c r="I85" i="100"/>
  <c r="J84" i="100"/>
  <c r="I84" i="100"/>
  <c r="J83" i="100"/>
  <c r="I83" i="100"/>
  <c r="J82" i="100"/>
  <c r="I82" i="100"/>
  <c r="J81" i="100"/>
  <c r="I81" i="100"/>
  <c r="J80" i="100"/>
  <c r="I80" i="100"/>
  <c r="J79" i="100"/>
  <c r="I79" i="100"/>
  <c r="J78" i="100"/>
  <c r="I78" i="100"/>
  <c r="J77" i="100"/>
  <c r="I77" i="100"/>
  <c r="J76" i="100"/>
  <c r="I76" i="100"/>
  <c r="J75" i="100"/>
  <c r="I75" i="100"/>
  <c r="J74" i="100"/>
  <c r="I74" i="100"/>
  <c r="J73" i="100"/>
  <c r="I73" i="100"/>
  <c r="J72" i="100"/>
  <c r="I72" i="100"/>
  <c r="J71" i="100"/>
  <c r="I71" i="100"/>
  <c r="J70" i="100"/>
  <c r="I70" i="100"/>
  <c r="J69" i="100"/>
  <c r="I69" i="100"/>
  <c r="J68" i="100"/>
  <c r="I68" i="100"/>
  <c r="J67" i="100"/>
  <c r="I67" i="100"/>
  <c r="J66" i="100"/>
  <c r="I66" i="100"/>
  <c r="J65" i="100"/>
  <c r="I65" i="100"/>
  <c r="J64" i="100"/>
  <c r="I64" i="100"/>
  <c r="J63" i="100"/>
  <c r="I63" i="100"/>
  <c r="J62" i="100"/>
  <c r="I62" i="100"/>
  <c r="J61" i="100"/>
  <c r="I61" i="100"/>
  <c r="J60" i="100"/>
  <c r="I60" i="100"/>
  <c r="J59" i="100"/>
  <c r="I59" i="100"/>
  <c r="J58" i="100"/>
  <c r="I58" i="100"/>
  <c r="J57" i="100"/>
  <c r="I57" i="100"/>
  <c r="J56" i="100"/>
  <c r="I56" i="100"/>
  <c r="J55" i="100"/>
  <c r="I55" i="100"/>
  <c r="J54" i="100"/>
  <c r="I54" i="100"/>
  <c r="J53" i="100"/>
  <c r="I53" i="100"/>
  <c r="J52" i="100"/>
  <c r="I52" i="100"/>
  <c r="J51" i="100"/>
  <c r="I51" i="100"/>
  <c r="J50" i="100"/>
  <c r="I50" i="100"/>
  <c r="J49" i="100"/>
  <c r="I49" i="100"/>
  <c r="J48" i="100"/>
  <c r="I48" i="100"/>
  <c r="J47" i="100"/>
  <c r="I47" i="100"/>
  <c r="J46" i="100"/>
  <c r="I46" i="100"/>
  <c r="J45" i="100"/>
  <c r="I45" i="100"/>
  <c r="J44" i="100"/>
  <c r="I44" i="100"/>
  <c r="J43" i="100"/>
  <c r="I43" i="100"/>
  <c r="J42" i="100"/>
  <c r="I42" i="100"/>
  <c r="J41" i="100"/>
  <c r="I41" i="100"/>
  <c r="J40" i="100"/>
  <c r="I40" i="100"/>
  <c r="J39" i="100"/>
  <c r="I39" i="100"/>
  <c r="J38" i="100"/>
  <c r="I38" i="100"/>
  <c r="J37" i="100"/>
  <c r="I37" i="100"/>
  <c r="J36" i="100"/>
  <c r="I36" i="100"/>
  <c r="J35" i="100"/>
  <c r="I35" i="100"/>
  <c r="J34" i="100"/>
  <c r="I34" i="100"/>
  <c r="J33" i="100"/>
  <c r="I33" i="100"/>
  <c r="J32" i="100"/>
  <c r="I32" i="100"/>
  <c r="J31" i="100"/>
  <c r="I31" i="100"/>
  <c r="J30" i="100"/>
  <c r="I30" i="100"/>
  <c r="J29" i="100"/>
  <c r="I29" i="100"/>
  <c r="J28" i="100"/>
  <c r="I28" i="100"/>
  <c r="J27" i="100"/>
  <c r="I27" i="100"/>
  <c r="J26" i="100"/>
  <c r="I26" i="100"/>
  <c r="J25" i="100"/>
  <c r="I25" i="100"/>
  <c r="J24" i="100"/>
  <c r="I24" i="100"/>
  <c r="J23" i="100"/>
  <c r="I23" i="100"/>
  <c r="J22" i="100"/>
  <c r="I22" i="100"/>
  <c r="J21" i="100"/>
  <c r="I21" i="100"/>
  <c r="J20" i="100"/>
  <c r="I20" i="100"/>
  <c r="J19" i="100"/>
  <c r="I19" i="100"/>
  <c r="J18" i="100"/>
  <c r="I18" i="100"/>
  <c r="J17" i="100"/>
  <c r="I17" i="100"/>
  <c r="J16" i="100"/>
  <c r="I16" i="100"/>
  <c r="J15" i="100"/>
  <c r="I15" i="100"/>
  <c r="J14" i="100"/>
  <c r="I14" i="100"/>
  <c r="J13" i="100"/>
  <c r="I13" i="100"/>
  <c r="J12" i="100"/>
  <c r="I12" i="100"/>
  <c r="J11" i="100"/>
  <c r="I11" i="100"/>
  <c r="J10" i="100"/>
  <c r="I10" i="100"/>
  <c r="J9" i="100"/>
  <c r="I9" i="100"/>
  <c r="J8" i="100"/>
  <c r="I8" i="100"/>
  <c r="J7" i="100"/>
  <c r="I7" i="100"/>
  <c r="J6" i="100"/>
  <c r="I6" i="100"/>
  <c r="J5" i="100"/>
  <c r="I5" i="100"/>
  <c r="J4" i="100"/>
  <c r="I4" i="100"/>
  <c r="J3" i="100"/>
  <c r="I3" i="100"/>
  <c r="I2" i="100"/>
  <c r="J390" i="99"/>
  <c r="I390" i="99"/>
  <c r="J389" i="99"/>
  <c r="I389" i="99"/>
  <c r="J388" i="99"/>
  <c r="I388" i="99"/>
  <c r="J387" i="99"/>
  <c r="I387" i="99"/>
  <c r="J386" i="99"/>
  <c r="I386" i="99"/>
  <c r="J385" i="99"/>
  <c r="I385" i="99"/>
  <c r="J384" i="99"/>
  <c r="I384" i="99"/>
  <c r="J383" i="99"/>
  <c r="I383" i="99"/>
  <c r="J382" i="99"/>
  <c r="I382" i="99"/>
  <c r="J381" i="99"/>
  <c r="I381" i="99"/>
  <c r="J380" i="99"/>
  <c r="I380" i="99"/>
  <c r="J379" i="99"/>
  <c r="I379" i="99"/>
  <c r="J378" i="99"/>
  <c r="I378" i="99"/>
  <c r="J377" i="99"/>
  <c r="I377" i="99"/>
  <c r="J376" i="99"/>
  <c r="I376" i="99"/>
  <c r="J375" i="99"/>
  <c r="I375" i="99"/>
  <c r="J374" i="99"/>
  <c r="I374" i="99"/>
  <c r="J373" i="99"/>
  <c r="I373" i="99"/>
  <c r="J372" i="99"/>
  <c r="I372" i="99"/>
  <c r="J371" i="99"/>
  <c r="I371" i="99"/>
  <c r="J370" i="99"/>
  <c r="I370" i="99"/>
  <c r="J369" i="99"/>
  <c r="I369" i="99"/>
  <c r="J368" i="99"/>
  <c r="I368" i="99"/>
  <c r="J367" i="99"/>
  <c r="I367" i="99"/>
  <c r="J366" i="99"/>
  <c r="I366" i="99"/>
  <c r="J365" i="99"/>
  <c r="I365" i="99"/>
  <c r="J364" i="99"/>
  <c r="I364" i="99"/>
  <c r="J363" i="99"/>
  <c r="I363" i="99"/>
  <c r="J362" i="99"/>
  <c r="I362" i="99"/>
  <c r="J361" i="99"/>
  <c r="I361" i="99"/>
  <c r="J360" i="99"/>
  <c r="I360" i="99"/>
  <c r="J359" i="99"/>
  <c r="I359" i="99"/>
  <c r="J358" i="99"/>
  <c r="I358" i="99"/>
  <c r="J357" i="99"/>
  <c r="I357" i="99"/>
  <c r="J356" i="99"/>
  <c r="I356" i="99"/>
  <c r="J355" i="99"/>
  <c r="I355" i="99"/>
  <c r="J354" i="99"/>
  <c r="I354" i="99"/>
  <c r="J353" i="99"/>
  <c r="I353" i="99"/>
  <c r="J352" i="99"/>
  <c r="I352" i="99"/>
  <c r="J351" i="99"/>
  <c r="I351" i="99"/>
  <c r="J350" i="99"/>
  <c r="I350" i="99"/>
  <c r="J349" i="99"/>
  <c r="I349" i="99"/>
  <c r="J348" i="99"/>
  <c r="I348" i="99"/>
  <c r="J347" i="99"/>
  <c r="I347" i="99"/>
  <c r="J346" i="99"/>
  <c r="I346" i="99"/>
  <c r="J345" i="99"/>
  <c r="I345" i="99"/>
  <c r="J344" i="99"/>
  <c r="I344" i="99"/>
  <c r="J343" i="99"/>
  <c r="I343" i="99"/>
  <c r="J342" i="99"/>
  <c r="I342" i="99"/>
  <c r="J341" i="99"/>
  <c r="I341" i="99"/>
  <c r="J340" i="99"/>
  <c r="I340" i="99"/>
  <c r="J339" i="99"/>
  <c r="I339" i="99"/>
  <c r="J338" i="99"/>
  <c r="I338" i="99"/>
  <c r="J337" i="99"/>
  <c r="I337" i="99"/>
  <c r="J336" i="99"/>
  <c r="I336" i="99"/>
  <c r="J335" i="99"/>
  <c r="I335" i="99"/>
  <c r="J334" i="99"/>
  <c r="I334" i="99"/>
  <c r="J333" i="99"/>
  <c r="I333" i="99"/>
  <c r="J332" i="99"/>
  <c r="I332" i="99"/>
  <c r="J331" i="99"/>
  <c r="I331" i="99"/>
  <c r="J330" i="99"/>
  <c r="I330" i="99"/>
  <c r="J329" i="99"/>
  <c r="I329" i="99"/>
  <c r="J328" i="99"/>
  <c r="I328" i="99"/>
  <c r="J327" i="99"/>
  <c r="I327" i="99"/>
  <c r="J326" i="99"/>
  <c r="I326" i="99"/>
  <c r="J325" i="99"/>
  <c r="I325" i="99"/>
  <c r="J324" i="99"/>
  <c r="I324" i="99"/>
  <c r="J323" i="99"/>
  <c r="I323" i="99"/>
  <c r="J322" i="99"/>
  <c r="I322" i="99"/>
  <c r="J321" i="99"/>
  <c r="I321" i="99"/>
  <c r="J320" i="99"/>
  <c r="I320" i="99"/>
  <c r="J319" i="99"/>
  <c r="I319" i="99"/>
  <c r="J318" i="99"/>
  <c r="I318" i="99"/>
  <c r="J317" i="99"/>
  <c r="I317" i="99"/>
  <c r="J316" i="99"/>
  <c r="I316" i="99"/>
  <c r="J315" i="99"/>
  <c r="I315" i="99"/>
  <c r="J314" i="99"/>
  <c r="I314" i="99"/>
  <c r="J313" i="99"/>
  <c r="I313" i="99"/>
  <c r="J312" i="99"/>
  <c r="I312" i="99"/>
  <c r="J311" i="99"/>
  <c r="I311" i="99"/>
  <c r="J310" i="99"/>
  <c r="I310" i="99"/>
  <c r="J309" i="99"/>
  <c r="I309" i="99"/>
  <c r="J308" i="99"/>
  <c r="I308" i="99"/>
  <c r="J307" i="99"/>
  <c r="I307" i="99"/>
  <c r="J306" i="99"/>
  <c r="I306" i="99"/>
  <c r="J305" i="99"/>
  <c r="I305" i="99"/>
  <c r="J304" i="99"/>
  <c r="I304" i="99"/>
  <c r="J303" i="99"/>
  <c r="I303" i="99"/>
  <c r="J302" i="99"/>
  <c r="I302" i="99"/>
  <c r="J301" i="99"/>
  <c r="I301" i="99"/>
  <c r="J300" i="99"/>
  <c r="I300" i="99"/>
  <c r="J299" i="99"/>
  <c r="I299" i="99"/>
  <c r="J298" i="99"/>
  <c r="I298" i="99"/>
  <c r="J297" i="99"/>
  <c r="I297" i="99"/>
  <c r="J296" i="99"/>
  <c r="I296" i="99"/>
  <c r="J295" i="99"/>
  <c r="I295" i="99"/>
  <c r="J294" i="99"/>
  <c r="I294" i="99"/>
  <c r="J293" i="99"/>
  <c r="I293" i="99"/>
  <c r="J292" i="99"/>
  <c r="I292" i="99"/>
  <c r="J291" i="99"/>
  <c r="I291" i="99"/>
  <c r="J290" i="99"/>
  <c r="I290" i="99"/>
  <c r="J289" i="99"/>
  <c r="I289" i="99"/>
  <c r="J288" i="99"/>
  <c r="I288" i="99"/>
  <c r="J287" i="99"/>
  <c r="I287" i="99"/>
  <c r="J286" i="99"/>
  <c r="I286" i="99"/>
  <c r="J285" i="99"/>
  <c r="I285" i="99"/>
  <c r="J284" i="99"/>
  <c r="I284" i="99"/>
  <c r="J283" i="99"/>
  <c r="I283" i="99"/>
  <c r="J282" i="99"/>
  <c r="I282" i="99"/>
  <c r="J281" i="99"/>
  <c r="I281" i="99"/>
  <c r="J280" i="99"/>
  <c r="I280" i="99"/>
  <c r="J279" i="99"/>
  <c r="I279" i="99"/>
  <c r="J278" i="99"/>
  <c r="I278" i="99"/>
  <c r="J277" i="99"/>
  <c r="I277" i="99"/>
  <c r="J276" i="99"/>
  <c r="I276" i="99"/>
  <c r="J275" i="99"/>
  <c r="I275" i="99"/>
  <c r="J274" i="99"/>
  <c r="I274" i="99"/>
  <c r="J273" i="99"/>
  <c r="I273" i="99"/>
  <c r="J272" i="99"/>
  <c r="I272" i="99"/>
  <c r="J271" i="99"/>
  <c r="I271" i="99"/>
  <c r="J270" i="99"/>
  <c r="I270" i="99"/>
  <c r="J269" i="99"/>
  <c r="I269" i="99"/>
  <c r="J268" i="99"/>
  <c r="I268" i="99"/>
  <c r="J267" i="99"/>
  <c r="I267" i="99"/>
  <c r="J266" i="99"/>
  <c r="I266" i="99"/>
  <c r="J265" i="99"/>
  <c r="I265" i="99"/>
  <c r="J264" i="99"/>
  <c r="I264" i="99"/>
  <c r="J263" i="99"/>
  <c r="I263" i="99"/>
  <c r="J262" i="99"/>
  <c r="I262" i="99"/>
  <c r="J261" i="99"/>
  <c r="I261" i="99"/>
  <c r="J260" i="99"/>
  <c r="I260" i="99"/>
  <c r="J259" i="99"/>
  <c r="I259" i="99"/>
  <c r="J258" i="99"/>
  <c r="I258" i="99"/>
  <c r="J257" i="99"/>
  <c r="I257" i="99"/>
  <c r="J256" i="99"/>
  <c r="I256" i="99"/>
  <c r="J255" i="99"/>
  <c r="I255" i="99"/>
  <c r="J254" i="99"/>
  <c r="I254" i="99"/>
  <c r="J253" i="99"/>
  <c r="I253" i="99"/>
  <c r="J252" i="99"/>
  <c r="I252" i="99"/>
  <c r="J251" i="99"/>
  <c r="I251" i="99"/>
  <c r="J250" i="99"/>
  <c r="I250" i="99"/>
  <c r="J249" i="99"/>
  <c r="I249" i="99"/>
  <c r="J248" i="99"/>
  <c r="I248" i="99"/>
  <c r="J247" i="99"/>
  <c r="I247" i="99"/>
  <c r="J246" i="99"/>
  <c r="I246" i="99"/>
  <c r="J245" i="99"/>
  <c r="I245" i="99"/>
  <c r="J244" i="99"/>
  <c r="I244" i="99"/>
  <c r="J243" i="99"/>
  <c r="I243" i="99"/>
  <c r="J242" i="99"/>
  <c r="I242" i="99"/>
  <c r="J241" i="99"/>
  <c r="I241" i="99"/>
  <c r="J240" i="99"/>
  <c r="I240" i="99"/>
  <c r="J239" i="99"/>
  <c r="I239" i="99"/>
  <c r="J238" i="99"/>
  <c r="I238" i="99"/>
  <c r="J237" i="99"/>
  <c r="I237" i="99"/>
  <c r="J236" i="99"/>
  <c r="I236" i="99"/>
  <c r="J235" i="99"/>
  <c r="I235" i="99"/>
  <c r="J234" i="99"/>
  <c r="I234" i="99"/>
  <c r="J233" i="99"/>
  <c r="I233" i="99"/>
  <c r="J232" i="99"/>
  <c r="I232" i="99"/>
  <c r="J231" i="99"/>
  <c r="I231" i="99"/>
  <c r="J230" i="99"/>
  <c r="I230" i="99"/>
  <c r="J229" i="99"/>
  <c r="I229" i="99"/>
  <c r="J228" i="99"/>
  <c r="I228" i="99"/>
  <c r="J227" i="99"/>
  <c r="I227" i="99"/>
  <c r="J226" i="99"/>
  <c r="I226" i="99"/>
  <c r="J225" i="99"/>
  <c r="I225" i="99"/>
  <c r="J224" i="99"/>
  <c r="I224" i="99"/>
  <c r="J223" i="99"/>
  <c r="I223" i="99"/>
  <c r="J222" i="99"/>
  <c r="I222" i="99"/>
  <c r="J221" i="99"/>
  <c r="I221" i="99"/>
  <c r="J220" i="99"/>
  <c r="I220" i="99"/>
  <c r="J219" i="99"/>
  <c r="I219" i="99"/>
  <c r="J218" i="99"/>
  <c r="I218" i="99"/>
  <c r="J217" i="99"/>
  <c r="I217" i="99"/>
  <c r="J216" i="99"/>
  <c r="I216" i="99"/>
  <c r="J215" i="99"/>
  <c r="I215" i="99"/>
  <c r="J214" i="99"/>
  <c r="I214" i="99"/>
  <c r="J213" i="99"/>
  <c r="I213" i="99"/>
  <c r="J212" i="99"/>
  <c r="I212" i="99"/>
  <c r="J211" i="99"/>
  <c r="I211" i="99"/>
  <c r="J210" i="99"/>
  <c r="I210" i="99"/>
  <c r="J209" i="99"/>
  <c r="I209" i="99"/>
  <c r="J208" i="99"/>
  <c r="I208" i="99"/>
  <c r="J207" i="99"/>
  <c r="I207" i="99"/>
  <c r="J206" i="99"/>
  <c r="I206" i="99"/>
  <c r="J205" i="99"/>
  <c r="I205" i="99"/>
  <c r="J204" i="99"/>
  <c r="I204" i="99"/>
  <c r="J203" i="99"/>
  <c r="I203" i="99"/>
  <c r="J202" i="99"/>
  <c r="I202" i="99"/>
  <c r="J201" i="99"/>
  <c r="I201" i="99"/>
  <c r="J200" i="99"/>
  <c r="I200" i="99"/>
  <c r="J199" i="99"/>
  <c r="I199" i="99"/>
  <c r="J198" i="99"/>
  <c r="I198" i="99"/>
  <c r="J197" i="99"/>
  <c r="I197" i="99"/>
  <c r="J196" i="99"/>
  <c r="I196" i="99"/>
  <c r="J195" i="99"/>
  <c r="I195" i="99"/>
  <c r="J194" i="99"/>
  <c r="I194" i="99"/>
  <c r="J193" i="99"/>
  <c r="I193" i="99"/>
  <c r="J192" i="99"/>
  <c r="I192" i="99"/>
  <c r="J191" i="99"/>
  <c r="I191" i="99"/>
  <c r="J190" i="99"/>
  <c r="I190" i="99"/>
  <c r="J189" i="99"/>
  <c r="I189" i="99"/>
  <c r="J188" i="99"/>
  <c r="I188" i="99"/>
  <c r="J187" i="99"/>
  <c r="I187" i="99"/>
  <c r="J186" i="99"/>
  <c r="I186" i="99"/>
  <c r="J185" i="99"/>
  <c r="I185" i="99"/>
  <c r="J184" i="99"/>
  <c r="I184" i="99"/>
  <c r="J183" i="99"/>
  <c r="I183" i="99"/>
  <c r="J182" i="99"/>
  <c r="I182" i="99"/>
  <c r="J181" i="99"/>
  <c r="I181" i="99"/>
  <c r="J180" i="99"/>
  <c r="I180" i="99"/>
  <c r="J179" i="99"/>
  <c r="I179" i="99"/>
  <c r="J178" i="99"/>
  <c r="I178" i="99"/>
  <c r="J177" i="99"/>
  <c r="I177" i="99"/>
  <c r="J176" i="99"/>
  <c r="I176" i="99"/>
  <c r="J175" i="99"/>
  <c r="I175" i="99"/>
  <c r="J174" i="99"/>
  <c r="I174" i="99"/>
  <c r="J173" i="99"/>
  <c r="I173" i="99"/>
  <c r="J172" i="99"/>
  <c r="I172" i="99"/>
  <c r="J171" i="99"/>
  <c r="I171" i="99"/>
  <c r="J170" i="99"/>
  <c r="I170" i="99"/>
  <c r="J169" i="99"/>
  <c r="I169" i="99"/>
  <c r="J168" i="99"/>
  <c r="I168" i="99"/>
  <c r="J167" i="99"/>
  <c r="I167" i="99"/>
  <c r="J166" i="99"/>
  <c r="I166" i="99"/>
  <c r="J165" i="99"/>
  <c r="I165" i="99"/>
  <c r="J164" i="99"/>
  <c r="I164" i="99"/>
  <c r="J163" i="99"/>
  <c r="I163" i="99"/>
  <c r="J162" i="99"/>
  <c r="I162" i="99"/>
  <c r="J161" i="99"/>
  <c r="I161" i="99"/>
  <c r="J160" i="99"/>
  <c r="I160" i="99"/>
  <c r="J159" i="99"/>
  <c r="I159" i="99"/>
  <c r="J158" i="99"/>
  <c r="I158" i="99"/>
  <c r="J157" i="99"/>
  <c r="I157" i="99"/>
  <c r="J156" i="99"/>
  <c r="I156" i="99"/>
  <c r="J155" i="99"/>
  <c r="I155" i="99"/>
  <c r="J154" i="99"/>
  <c r="I154" i="99"/>
  <c r="J153" i="99"/>
  <c r="I153" i="99"/>
  <c r="J152" i="99"/>
  <c r="I152" i="99"/>
  <c r="J151" i="99"/>
  <c r="I151" i="99"/>
  <c r="J150" i="99"/>
  <c r="I150" i="99"/>
  <c r="J149" i="99"/>
  <c r="I149" i="99"/>
  <c r="J148" i="99"/>
  <c r="I148" i="99"/>
  <c r="J147" i="99"/>
  <c r="I147" i="99"/>
  <c r="J146" i="99"/>
  <c r="I146" i="99"/>
  <c r="J145" i="99"/>
  <c r="I145" i="99"/>
  <c r="J144" i="99"/>
  <c r="I144" i="99"/>
  <c r="J143" i="99"/>
  <c r="I143" i="99"/>
  <c r="J142" i="99"/>
  <c r="I142" i="99"/>
  <c r="J141" i="99"/>
  <c r="I141" i="99"/>
  <c r="J140" i="99"/>
  <c r="I140" i="99"/>
  <c r="J139" i="99"/>
  <c r="I139" i="99"/>
  <c r="J138" i="99"/>
  <c r="I138" i="99"/>
  <c r="J137" i="99"/>
  <c r="I137" i="99"/>
  <c r="J136" i="99"/>
  <c r="I136" i="99"/>
  <c r="J135" i="99"/>
  <c r="I135" i="99"/>
  <c r="J134" i="99"/>
  <c r="I134" i="99"/>
  <c r="J133" i="99"/>
  <c r="I133" i="99"/>
  <c r="J132" i="99"/>
  <c r="I132" i="99"/>
  <c r="J131" i="99"/>
  <c r="I131" i="99"/>
  <c r="J130" i="99"/>
  <c r="I130" i="99"/>
  <c r="J129" i="99"/>
  <c r="I129" i="99"/>
  <c r="J128" i="99"/>
  <c r="I128" i="99"/>
  <c r="J127" i="99"/>
  <c r="I127" i="99"/>
  <c r="J126" i="99"/>
  <c r="I126" i="99"/>
  <c r="J125" i="99"/>
  <c r="I125" i="99"/>
  <c r="J124" i="99"/>
  <c r="I124" i="99"/>
  <c r="J123" i="99"/>
  <c r="I123" i="99"/>
  <c r="J122" i="99"/>
  <c r="I122" i="99"/>
  <c r="J121" i="99"/>
  <c r="I121" i="99"/>
  <c r="J120" i="99"/>
  <c r="I120" i="99"/>
  <c r="J119" i="99"/>
  <c r="I119" i="99"/>
  <c r="J118" i="99"/>
  <c r="I118" i="99"/>
  <c r="J117" i="99"/>
  <c r="I117" i="99"/>
  <c r="J116" i="99"/>
  <c r="I116" i="99"/>
  <c r="J115" i="99"/>
  <c r="I115" i="99"/>
  <c r="J114" i="99"/>
  <c r="I114" i="99"/>
  <c r="J113" i="99"/>
  <c r="I113" i="99"/>
  <c r="J112" i="99"/>
  <c r="I112" i="99"/>
  <c r="J111" i="99"/>
  <c r="I111" i="99"/>
  <c r="J110" i="99"/>
  <c r="I110" i="99"/>
  <c r="J109" i="99"/>
  <c r="I109" i="99"/>
  <c r="J108" i="99"/>
  <c r="I108" i="99"/>
  <c r="J107" i="99"/>
  <c r="I107" i="99"/>
  <c r="J106" i="99"/>
  <c r="I106" i="99"/>
  <c r="J105" i="99"/>
  <c r="I105" i="99"/>
  <c r="J104" i="99"/>
  <c r="I104" i="99"/>
  <c r="J103" i="99"/>
  <c r="I103" i="99"/>
  <c r="J102" i="99"/>
  <c r="I102" i="99"/>
  <c r="J101" i="99"/>
  <c r="I101" i="99"/>
  <c r="J100" i="99"/>
  <c r="I100" i="99"/>
  <c r="J99" i="99"/>
  <c r="I99" i="99"/>
  <c r="J98" i="99"/>
  <c r="I98" i="99"/>
  <c r="J97" i="99"/>
  <c r="I97" i="99"/>
  <c r="J96" i="99"/>
  <c r="I96" i="99"/>
  <c r="J95" i="99"/>
  <c r="I95" i="99"/>
  <c r="J94" i="99"/>
  <c r="I94" i="99"/>
  <c r="J93" i="99"/>
  <c r="I93" i="99"/>
  <c r="J92" i="99"/>
  <c r="I92" i="99"/>
  <c r="J91" i="99"/>
  <c r="I91" i="99"/>
  <c r="J90" i="99"/>
  <c r="I90" i="99"/>
  <c r="J89" i="99"/>
  <c r="I89" i="99"/>
  <c r="J88" i="99"/>
  <c r="I88" i="99"/>
  <c r="J87" i="99"/>
  <c r="I87" i="99"/>
  <c r="J86" i="99"/>
  <c r="I86" i="99"/>
  <c r="J85" i="99"/>
  <c r="I85" i="99"/>
  <c r="J84" i="99"/>
  <c r="I84" i="99"/>
  <c r="J83" i="99"/>
  <c r="I83" i="99"/>
  <c r="J82" i="99"/>
  <c r="I82" i="99"/>
  <c r="J81" i="99"/>
  <c r="I81" i="99"/>
  <c r="J80" i="99"/>
  <c r="I80" i="99"/>
  <c r="J79" i="99"/>
  <c r="I79" i="99"/>
  <c r="J78" i="99"/>
  <c r="I78" i="99"/>
  <c r="J77" i="99"/>
  <c r="I77" i="99"/>
  <c r="J76" i="99"/>
  <c r="I76" i="99"/>
  <c r="J75" i="99"/>
  <c r="I75" i="99"/>
  <c r="J74" i="99"/>
  <c r="I74" i="99"/>
  <c r="J73" i="99"/>
  <c r="I73" i="99"/>
  <c r="J72" i="99"/>
  <c r="I72" i="99"/>
  <c r="J71" i="99"/>
  <c r="I71" i="99"/>
  <c r="J70" i="99"/>
  <c r="I70" i="99"/>
  <c r="J69" i="99"/>
  <c r="I69" i="99"/>
  <c r="J68" i="99"/>
  <c r="I68" i="99"/>
  <c r="J67" i="99"/>
  <c r="I67" i="99"/>
  <c r="J66" i="99"/>
  <c r="I66" i="99"/>
  <c r="J65" i="99"/>
  <c r="I65" i="99"/>
  <c r="J64" i="99"/>
  <c r="I64" i="99"/>
  <c r="J63" i="99"/>
  <c r="I63" i="99"/>
  <c r="J62" i="99"/>
  <c r="I62" i="99"/>
  <c r="J61" i="99"/>
  <c r="I61" i="99"/>
  <c r="J60" i="99"/>
  <c r="I60" i="99"/>
  <c r="J59" i="99"/>
  <c r="I59" i="99"/>
  <c r="J58" i="99"/>
  <c r="I58" i="99"/>
  <c r="J57" i="99"/>
  <c r="I57" i="99"/>
  <c r="J56" i="99"/>
  <c r="I56" i="99"/>
  <c r="J55" i="99"/>
  <c r="I55" i="99"/>
  <c r="J54" i="99"/>
  <c r="I54" i="99"/>
  <c r="J53" i="99"/>
  <c r="I53" i="99"/>
  <c r="J52" i="99"/>
  <c r="I52" i="99"/>
  <c r="J51" i="99"/>
  <c r="I51" i="99"/>
  <c r="J50" i="99"/>
  <c r="I50" i="99"/>
  <c r="J49" i="99"/>
  <c r="I49" i="99"/>
  <c r="J48" i="99"/>
  <c r="I48" i="99"/>
  <c r="J47" i="99"/>
  <c r="I47" i="99"/>
  <c r="J46" i="99"/>
  <c r="I46" i="99"/>
  <c r="J45" i="99"/>
  <c r="I45" i="99"/>
  <c r="J44" i="99"/>
  <c r="I44" i="99"/>
  <c r="J43" i="99"/>
  <c r="I43" i="99"/>
  <c r="J42" i="99"/>
  <c r="I42" i="99"/>
  <c r="J41" i="99"/>
  <c r="I41" i="99"/>
  <c r="J40" i="99"/>
  <c r="I40" i="99"/>
  <c r="J39" i="99"/>
  <c r="I39" i="99"/>
  <c r="J38" i="99"/>
  <c r="I38" i="99"/>
  <c r="J37" i="99"/>
  <c r="I37" i="99"/>
  <c r="J36" i="99"/>
  <c r="I36" i="99"/>
  <c r="J35" i="99"/>
  <c r="I35" i="99"/>
  <c r="J34" i="99"/>
  <c r="I34" i="99"/>
  <c r="J33" i="99"/>
  <c r="I33" i="99"/>
  <c r="J32" i="99"/>
  <c r="I32" i="99"/>
  <c r="J31" i="99"/>
  <c r="I31" i="99"/>
  <c r="J30" i="99"/>
  <c r="I30" i="99"/>
  <c r="J29" i="99"/>
  <c r="I29" i="99"/>
  <c r="J28" i="99"/>
  <c r="I28" i="99"/>
  <c r="J27" i="99"/>
  <c r="I27" i="99"/>
  <c r="J26" i="99"/>
  <c r="I26" i="99"/>
  <c r="J25" i="99"/>
  <c r="I25" i="99"/>
  <c r="J24" i="99"/>
  <c r="I24" i="99"/>
  <c r="J23" i="99"/>
  <c r="I23" i="99"/>
  <c r="J22" i="99"/>
  <c r="I22" i="99"/>
  <c r="J21" i="99"/>
  <c r="I21" i="99"/>
  <c r="J20" i="99"/>
  <c r="I20" i="99"/>
  <c r="J19" i="99"/>
  <c r="I19" i="99"/>
  <c r="J18" i="99"/>
  <c r="I18" i="99"/>
  <c r="J17" i="99"/>
  <c r="I17" i="99"/>
  <c r="J16" i="99"/>
  <c r="I16" i="99"/>
  <c r="J15" i="99"/>
  <c r="I15" i="99"/>
  <c r="J14" i="99"/>
  <c r="I14" i="99"/>
  <c r="J13" i="99"/>
  <c r="I13" i="99"/>
  <c r="J12" i="99"/>
  <c r="I12" i="99"/>
  <c r="J11" i="99"/>
  <c r="I11" i="99"/>
  <c r="J10" i="99"/>
  <c r="I10" i="99"/>
  <c r="J9" i="99"/>
  <c r="I9" i="99"/>
  <c r="J8" i="99"/>
  <c r="I8" i="99"/>
  <c r="J7" i="99"/>
  <c r="I7" i="99"/>
  <c r="J6" i="99"/>
  <c r="I6" i="99"/>
  <c r="J5" i="99"/>
  <c r="I5" i="99"/>
  <c r="J4" i="99"/>
  <c r="I4" i="99"/>
  <c r="J3" i="99"/>
  <c r="I3" i="99"/>
  <c r="I2" i="99"/>
  <c r="J390" i="98"/>
  <c r="I390" i="98"/>
  <c r="J389" i="98"/>
  <c r="I389" i="98"/>
  <c r="J388" i="98"/>
  <c r="I388" i="98"/>
  <c r="J387" i="98"/>
  <c r="I387" i="98"/>
  <c r="J386" i="98"/>
  <c r="I386" i="98"/>
  <c r="J385" i="98"/>
  <c r="I385" i="98"/>
  <c r="J384" i="98"/>
  <c r="I384" i="98"/>
  <c r="J383" i="98"/>
  <c r="I383" i="98"/>
  <c r="J382" i="98"/>
  <c r="I382" i="98"/>
  <c r="J381" i="98"/>
  <c r="I381" i="98"/>
  <c r="J380" i="98"/>
  <c r="I380" i="98"/>
  <c r="J379" i="98"/>
  <c r="I379" i="98"/>
  <c r="J378" i="98"/>
  <c r="I378" i="98"/>
  <c r="J377" i="98"/>
  <c r="I377" i="98"/>
  <c r="J376" i="98"/>
  <c r="I376" i="98"/>
  <c r="J375" i="98"/>
  <c r="I375" i="98"/>
  <c r="J374" i="98"/>
  <c r="I374" i="98"/>
  <c r="J373" i="98"/>
  <c r="I373" i="98"/>
  <c r="J372" i="98"/>
  <c r="I372" i="98"/>
  <c r="J371" i="98"/>
  <c r="I371" i="98"/>
  <c r="J370" i="98"/>
  <c r="I370" i="98"/>
  <c r="J369" i="98"/>
  <c r="I369" i="98"/>
  <c r="J368" i="98"/>
  <c r="I368" i="98"/>
  <c r="J367" i="98"/>
  <c r="I367" i="98"/>
  <c r="J366" i="98"/>
  <c r="I366" i="98"/>
  <c r="J365" i="98"/>
  <c r="I365" i="98"/>
  <c r="J364" i="98"/>
  <c r="I364" i="98"/>
  <c r="J363" i="98"/>
  <c r="I363" i="98"/>
  <c r="J362" i="98"/>
  <c r="I362" i="98"/>
  <c r="J361" i="98"/>
  <c r="I361" i="98"/>
  <c r="J360" i="98"/>
  <c r="I360" i="98"/>
  <c r="J359" i="98"/>
  <c r="I359" i="98"/>
  <c r="J358" i="98"/>
  <c r="I358" i="98"/>
  <c r="J357" i="98"/>
  <c r="I357" i="98"/>
  <c r="J356" i="98"/>
  <c r="I356" i="98"/>
  <c r="J355" i="98"/>
  <c r="I355" i="98"/>
  <c r="J354" i="98"/>
  <c r="I354" i="98"/>
  <c r="J353" i="98"/>
  <c r="I353" i="98"/>
  <c r="J352" i="98"/>
  <c r="I352" i="98"/>
  <c r="J351" i="98"/>
  <c r="I351" i="98"/>
  <c r="J350" i="98"/>
  <c r="I350" i="98"/>
  <c r="J349" i="98"/>
  <c r="I349" i="98"/>
  <c r="J348" i="98"/>
  <c r="I348" i="98"/>
  <c r="J347" i="98"/>
  <c r="I347" i="98"/>
  <c r="J346" i="98"/>
  <c r="I346" i="98"/>
  <c r="J345" i="98"/>
  <c r="I345" i="98"/>
  <c r="J344" i="98"/>
  <c r="I344" i="98"/>
  <c r="J343" i="98"/>
  <c r="I343" i="98"/>
  <c r="J342" i="98"/>
  <c r="I342" i="98"/>
  <c r="J341" i="98"/>
  <c r="I341" i="98"/>
  <c r="J340" i="98"/>
  <c r="I340" i="98"/>
  <c r="J339" i="98"/>
  <c r="I339" i="98"/>
  <c r="J338" i="98"/>
  <c r="I338" i="98"/>
  <c r="J337" i="98"/>
  <c r="I337" i="98"/>
  <c r="J336" i="98"/>
  <c r="I336" i="98"/>
  <c r="J335" i="98"/>
  <c r="I335" i="98"/>
  <c r="J334" i="98"/>
  <c r="I334" i="98"/>
  <c r="J333" i="98"/>
  <c r="I333" i="98"/>
  <c r="J332" i="98"/>
  <c r="I332" i="98"/>
  <c r="J331" i="98"/>
  <c r="I331" i="98"/>
  <c r="J330" i="98"/>
  <c r="I330" i="98"/>
  <c r="J329" i="98"/>
  <c r="I329" i="98"/>
  <c r="J328" i="98"/>
  <c r="I328" i="98"/>
  <c r="J327" i="98"/>
  <c r="I327" i="98"/>
  <c r="J326" i="98"/>
  <c r="I326" i="98"/>
  <c r="J325" i="98"/>
  <c r="I325" i="98"/>
  <c r="J324" i="98"/>
  <c r="I324" i="98"/>
  <c r="J323" i="98"/>
  <c r="I323" i="98"/>
  <c r="J322" i="98"/>
  <c r="I322" i="98"/>
  <c r="J321" i="98"/>
  <c r="I321" i="98"/>
  <c r="J320" i="98"/>
  <c r="I320" i="98"/>
  <c r="J319" i="98"/>
  <c r="I319" i="98"/>
  <c r="J318" i="98"/>
  <c r="I318" i="98"/>
  <c r="J317" i="98"/>
  <c r="I317" i="98"/>
  <c r="J316" i="98"/>
  <c r="I316" i="98"/>
  <c r="J315" i="98"/>
  <c r="I315" i="98"/>
  <c r="J314" i="98"/>
  <c r="I314" i="98"/>
  <c r="J313" i="98"/>
  <c r="I313" i="98"/>
  <c r="J312" i="98"/>
  <c r="I312" i="98"/>
  <c r="J311" i="98"/>
  <c r="I311" i="98"/>
  <c r="J310" i="98"/>
  <c r="I310" i="98"/>
  <c r="J309" i="98"/>
  <c r="I309" i="98"/>
  <c r="J308" i="98"/>
  <c r="I308" i="98"/>
  <c r="J307" i="98"/>
  <c r="I307" i="98"/>
  <c r="J306" i="98"/>
  <c r="I306" i="98"/>
  <c r="J305" i="98"/>
  <c r="I305" i="98"/>
  <c r="J304" i="98"/>
  <c r="I304" i="98"/>
  <c r="J303" i="98"/>
  <c r="I303" i="98"/>
  <c r="J302" i="98"/>
  <c r="I302" i="98"/>
  <c r="J301" i="98"/>
  <c r="I301" i="98"/>
  <c r="J300" i="98"/>
  <c r="I300" i="98"/>
  <c r="J299" i="98"/>
  <c r="I299" i="98"/>
  <c r="J298" i="98"/>
  <c r="I298" i="98"/>
  <c r="J297" i="98"/>
  <c r="I297" i="98"/>
  <c r="J296" i="98"/>
  <c r="I296" i="98"/>
  <c r="J295" i="98"/>
  <c r="I295" i="98"/>
  <c r="J294" i="98"/>
  <c r="I294" i="98"/>
  <c r="J293" i="98"/>
  <c r="I293" i="98"/>
  <c r="J292" i="98"/>
  <c r="I292" i="98"/>
  <c r="J291" i="98"/>
  <c r="I291" i="98"/>
  <c r="J290" i="98"/>
  <c r="I290" i="98"/>
  <c r="J289" i="98"/>
  <c r="I289" i="98"/>
  <c r="J288" i="98"/>
  <c r="I288" i="98"/>
  <c r="J287" i="98"/>
  <c r="I287" i="98"/>
  <c r="J286" i="98"/>
  <c r="I286" i="98"/>
  <c r="J285" i="98"/>
  <c r="I285" i="98"/>
  <c r="J284" i="98"/>
  <c r="I284" i="98"/>
  <c r="J283" i="98"/>
  <c r="I283" i="98"/>
  <c r="J282" i="98"/>
  <c r="I282" i="98"/>
  <c r="J281" i="98"/>
  <c r="I281" i="98"/>
  <c r="J280" i="98"/>
  <c r="I280" i="98"/>
  <c r="J279" i="98"/>
  <c r="I279" i="98"/>
  <c r="J278" i="98"/>
  <c r="I278" i="98"/>
  <c r="J277" i="98"/>
  <c r="I277" i="98"/>
  <c r="J276" i="98"/>
  <c r="I276" i="98"/>
  <c r="J275" i="98"/>
  <c r="I275" i="98"/>
  <c r="J274" i="98"/>
  <c r="I274" i="98"/>
  <c r="J273" i="98"/>
  <c r="I273" i="98"/>
  <c r="J272" i="98"/>
  <c r="I272" i="98"/>
  <c r="J271" i="98"/>
  <c r="I271" i="98"/>
  <c r="J270" i="98"/>
  <c r="I270" i="98"/>
  <c r="J269" i="98"/>
  <c r="I269" i="98"/>
  <c r="J268" i="98"/>
  <c r="I268" i="98"/>
  <c r="J267" i="98"/>
  <c r="I267" i="98"/>
  <c r="J266" i="98"/>
  <c r="I266" i="98"/>
  <c r="J265" i="98"/>
  <c r="I265" i="98"/>
  <c r="J264" i="98"/>
  <c r="I264" i="98"/>
  <c r="J263" i="98"/>
  <c r="I263" i="98"/>
  <c r="J262" i="98"/>
  <c r="I262" i="98"/>
  <c r="J261" i="98"/>
  <c r="I261" i="98"/>
  <c r="J260" i="98"/>
  <c r="I260" i="98"/>
  <c r="J259" i="98"/>
  <c r="I259" i="98"/>
  <c r="J258" i="98"/>
  <c r="I258" i="98"/>
  <c r="J257" i="98"/>
  <c r="I257" i="98"/>
  <c r="J256" i="98"/>
  <c r="I256" i="98"/>
  <c r="J255" i="98"/>
  <c r="I255" i="98"/>
  <c r="J254" i="98"/>
  <c r="I254" i="98"/>
  <c r="J253" i="98"/>
  <c r="I253" i="98"/>
  <c r="J252" i="98"/>
  <c r="I252" i="98"/>
  <c r="J251" i="98"/>
  <c r="I251" i="98"/>
  <c r="J250" i="98"/>
  <c r="I250" i="98"/>
  <c r="J249" i="98"/>
  <c r="I249" i="98"/>
  <c r="J248" i="98"/>
  <c r="I248" i="98"/>
  <c r="J247" i="98"/>
  <c r="I247" i="98"/>
  <c r="J246" i="98"/>
  <c r="I246" i="98"/>
  <c r="J245" i="98"/>
  <c r="I245" i="98"/>
  <c r="J244" i="98"/>
  <c r="I244" i="98"/>
  <c r="J243" i="98"/>
  <c r="I243" i="98"/>
  <c r="J242" i="98"/>
  <c r="I242" i="98"/>
  <c r="J241" i="98"/>
  <c r="I241" i="98"/>
  <c r="J240" i="98"/>
  <c r="I240" i="98"/>
  <c r="J239" i="98"/>
  <c r="I239" i="98"/>
  <c r="J238" i="98"/>
  <c r="I238" i="98"/>
  <c r="J237" i="98"/>
  <c r="I237" i="98"/>
  <c r="J236" i="98"/>
  <c r="I236" i="98"/>
  <c r="J235" i="98"/>
  <c r="I235" i="98"/>
  <c r="J234" i="98"/>
  <c r="I234" i="98"/>
  <c r="J233" i="98"/>
  <c r="I233" i="98"/>
  <c r="J232" i="98"/>
  <c r="I232" i="98"/>
  <c r="J231" i="98"/>
  <c r="I231" i="98"/>
  <c r="J230" i="98"/>
  <c r="I230" i="98"/>
  <c r="J229" i="98"/>
  <c r="I229" i="98"/>
  <c r="J228" i="98"/>
  <c r="I228" i="98"/>
  <c r="J227" i="98"/>
  <c r="I227" i="98"/>
  <c r="J226" i="98"/>
  <c r="I226" i="98"/>
  <c r="J225" i="98"/>
  <c r="I225" i="98"/>
  <c r="J224" i="98"/>
  <c r="I224" i="98"/>
  <c r="J223" i="98"/>
  <c r="I223" i="98"/>
  <c r="J222" i="98"/>
  <c r="I222" i="98"/>
  <c r="J221" i="98"/>
  <c r="I221" i="98"/>
  <c r="J220" i="98"/>
  <c r="I220" i="98"/>
  <c r="J219" i="98"/>
  <c r="I219" i="98"/>
  <c r="J218" i="98"/>
  <c r="I218" i="98"/>
  <c r="J217" i="98"/>
  <c r="I217" i="98"/>
  <c r="J216" i="98"/>
  <c r="I216" i="98"/>
  <c r="J215" i="98"/>
  <c r="I215" i="98"/>
  <c r="J214" i="98"/>
  <c r="I214" i="98"/>
  <c r="J213" i="98"/>
  <c r="I213" i="98"/>
  <c r="J212" i="98"/>
  <c r="I212" i="98"/>
  <c r="J211" i="98"/>
  <c r="I211" i="98"/>
  <c r="J210" i="98"/>
  <c r="I210" i="98"/>
  <c r="J209" i="98"/>
  <c r="I209" i="98"/>
  <c r="J208" i="98"/>
  <c r="I208" i="98"/>
  <c r="J207" i="98"/>
  <c r="I207" i="98"/>
  <c r="J206" i="98"/>
  <c r="I206" i="98"/>
  <c r="J205" i="98"/>
  <c r="I205" i="98"/>
  <c r="J204" i="98"/>
  <c r="I204" i="98"/>
  <c r="J203" i="98"/>
  <c r="I203" i="98"/>
  <c r="J202" i="98"/>
  <c r="I202" i="98"/>
  <c r="J201" i="98"/>
  <c r="I201" i="98"/>
  <c r="J200" i="98"/>
  <c r="I200" i="98"/>
  <c r="J199" i="98"/>
  <c r="I199" i="98"/>
  <c r="J198" i="98"/>
  <c r="I198" i="98"/>
  <c r="J197" i="98"/>
  <c r="I197" i="98"/>
  <c r="J196" i="98"/>
  <c r="I196" i="98"/>
  <c r="J195" i="98"/>
  <c r="I195" i="98"/>
  <c r="J194" i="98"/>
  <c r="I194" i="98"/>
  <c r="J193" i="98"/>
  <c r="I193" i="98"/>
  <c r="J192" i="98"/>
  <c r="I192" i="98"/>
  <c r="J191" i="98"/>
  <c r="I191" i="98"/>
  <c r="J190" i="98"/>
  <c r="I190" i="98"/>
  <c r="J189" i="98"/>
  <c r="I189" i="98"/>
  <c r="J188" i="98"/>
  <c r="I188" i="98"/>
  <c r="J187" i="98"/>
  <c r="I187" i="98"/>
  <c r="J186" i="98"/>
  <c r="I186" i="98"/>
  <c r="J185" i="98"/>
  <c r="I185" i="98"/>
  <c r="J184" i="98"/>
  <c r="I184" i="98"/>
  <c r="J183" i="98"/>
  <c r="I183" i="98"/>
  <c r="J182" i="98"/>
  <c r="I182" i="98"/>
  <c r="J181" i="98"/>
  <c r="I181" i="98"/>
  <c r="J180" i="98"/>
  <c r="I180" i="98"/>
  <c r="J179" i="98"/>
  <c r="I179" i="98"/>
  <c r="J178" i="98"/>
  <c r="I178" i="98"/>
  <c r="J177" i="98"/>
  <c r="I177" i="98"/>
  <c r="J176" i="98"/>
  <c r="I176" i="98"/>
  <c r="J175" i="98"/>
  <c r="I175" i="98"/>
  <c r="J174" i="98"/>
  <c r="I174" i="98"/>
  <c r="J173" i="98"/>
  <c r="I173" i="98"/>
  <c r="J172" i="98"/>
  <c r="I172" i="98"/>
  <c r="J171" i="98"/>
  <c r="I171" i="98"/>
  <c r="J170" i="98"/>
  <c r="I170" i="98"/>
  <c r="J169" i="98"/>
  <c r="I169" i="98"/>
  <c r="J168" i="98"/>
  <c r="I168" i="98"/>
  <c r="J167" i="98"/>
  <c r="I167" i="98"/>
  <c r="J166" i="98"/>
  <c r="I166" i="98"/>
  <c r="J165" i="98"/>
  <c r="I165" i="98"/>
  <c r="J164" i="98"/>
  <c r="I164" i="98"/>
  <c r="J163" i="98"/>
  <c r="I163" i="98"/>
  <c r="J162" i="98"/>
  <c r="I162" i="98"/>
  <c r="J161" i="98"/>
  <c r="I161" i="98"/>
  <c r="J160" i="98"/>
  <c r="I160" i="98"/>
  <c r="J159" i="98"/>
  <c r="I159" i="98"/>
  <c r="J158" i="98"/>
  <c r="I158" i="98"/>
  <c r="J157" i="98"/>
  <c r="I157" i="98"/>
  <c r="J156" i="98"/>
  <c r="I156" i="98"/>
  <c r="J155" i="98"/>
  <c r="I155" i="98"/>
  <c r="J154" i="98"/>
  <c r="I154" i="98"/>
  <c r="J153" i="98"/>
  <c r="I153" i="98"/>
  <c r="J152" i="98"/>
  <c r="I152" i="98"/>
  <c r="J151" i="98"/>
  <c r="I151" i="98"/>
  <c r="J150" i="98"/>
  <c r="I150" i="98"/>
  <c r="J149" i="98"/>
  <c r="I149" i="98"/>
  <c r="J148" i="98"/>
  <c r="I148" i="98"/>
  <c r="J147" i="98"/>
  <c r="I147" i="98"/>
  <c r="J146" i="98"/>
  <c r="I146" i="98"/>
  <c r="J145" i="98"/>
  <c r="I145" i="98"/>
  <c r="J144" i="98"/>
  <c r="I144" i="98"/>
  <c r="J143" i="98"/>
  <c r="I143" i="98"/>
  <c r="J142" i="98"/>
  <c r="I142" i="98"/>
  <c r="J141" i="98"/>
  <c r="I141" i="98"/>
  <c r="J140" i="98"/>
  <c r="I140" i="98"/>
  <c r="J139" i="98"/>
  <c r="I139" i="98"/>
  <c r="J138" i="98"/>
  <c r="I138" i="98"/>
  <c r="J137" i="98"/>
  <c r="I137" i="98"/>
  <c r="J136" i="98"/>
  <c r="I136" i="98"/>
  <c r="J135" i="98"/>
  <c r="I135" i="98"/>
  <c r="J134" i="98"/>
  <c r="I134" i="98"/>
  <c r="J133" i="98"/>
  <c r="I133" i="98"/>
  <c r="J132" i="98"/>
  <c r="I132" i="98"/>
  <c r="J131" i="98"/>
  <c r="I131" i="98"/>
  <c r="J130" i="98"/>
  <c r="I130" i="98"/>
  <c r="J129" i="98"/>
  <c r="I129" i="98"/>
  <c r="J128" i="98"/>
  <c r="I128" i="98"/>
  <c r="J127" i="98"/>
  <c r="I127" i="98"/>
  <c r="J126" i="98"/>
  <c r="I126" i="98"/>
  <c r="J125" i="98"/>
  <c r="I125" i="98"/>
  <c r="J124" i="98"/>
  <c r="I124" i="98"/>
  <c r="J123" i="98"/>
  <c r="I123" i="98"/>
  <c r="J122" i="98"/>
  <c r="I122" i="98"/>
  <c r="J121" i="98"/>
  <c r="I121" i="98"/>
  <c r="J120" i="98"/>
  <c r="I120" i="98"/>
  <c r="J119" i="98"/>
  <c r="I119" i="98"/>
  <c r="J118" i="98"/>
  <c r="I118" i="98"/>
  <c r="J117" i="98"/>
  <c r="I117" i="98"/>
  <c r="J116" i="98"/>
  <c r="I116" i="98"/>
  <c r="J115" i="98"/>
  <c r="I115" i="98"/>
  <c r="J114" i="98"/>
  <c r="I114" i="98"/>
  <c r="J113" i="98"/>
  <c r="I113" i="98"/>
  <c r="J112" i="98"/>
  <c r="I112" i="98"/>
  <c r="J111" i="98"/>
  <c r="I111" i="98"/>
  <c r="J110" i="98"/>
  <c r="I110" i="98"/>
  <c r="J109" i="98"/>
  <c r="I109" i="98"/>
  <c r="J108" i="98"/>
  <c r="I108" i="98"/>
  <c r="J107" i="98"/>
  <c r="I107" i="98"/>
  <c r="J106" i="98"/>
  <c r="I106" i="98"/>
  <c r="J105" i="98"/>
  <c r="I105" i="98"/>
  <c r="J104" i="98"/>
  <c r="I104" i="98"/>
  <c r="J103" i="98"/>
  <c r="I103" i="98"/>
  <c r="J102" i="98"/>
  <c r="I102" i="98"/>
  <c r="J101" i="98"/>
  <c r="I101" i="98"/>
  <c r="J100" i="98"/>
  <c r="I100" i="98"/>
  <c r="J99" i="98"/>
  <c r="I99" i="98"/>
  <c r="J98" i="98"/>
  <c r="I98" i="98"/>
  <c r="J97" i="98"/>
  <c r="I97" i="98"/>
  <c r="J96" i="98"/>
  <c r="I96" i="98"/>
  <c r="J95" i="98"/>
  <c r="I95" i="98"/>
  <c r="J94" i="98"/>
  <c r="I94" i="98"/>
  <c r="J93" i="98"/>
  <c r="I93" i="98"/>
  <c r="J92" i="98"/>
  <c r="I92" i="98"/>
  <c r="J91" i="98"/>
  <c r="I91" i="98"/>
  <c r="J90" i="98"/>
  <c r="I90" i="98"/>
  <c r="J89" i="98"/>
  <c r="I89" i="98"/>
  <c r="J88" i="98"/>
  <c r="I88" i="98"/>
  <c r="J87" i="98"/>
  <c r="I87" i="98"/>
  <c r="J86" i="98"/>
  <c r="I86" i="98"/>
  <c r="J85" i="98"/>
  <c r="I85" i="98"/>
  <c r="J84" i="98"/>
  <c r="I84" i="98"/>
  <c r="J83" i="98"/>
  <c r="I83" i="98"/>
  <c r="J82" i="98"/>
  <c r="I82" i="98"/>
  <c r="J81" i="98"/>
  <c r="I81" i="98"/>
  <c r="J80" i="98"/>
  <c r="I80" i="98"/>
  <c r="J79" i="98"/>
  <c r="I79" i="98"/>
  <c r="J78" i="98"/>
  <c r="I78" i="98"/>
  <c r="J77" i="98"/>
  <c r="I77" i="98"/>
  <c r="J76" i="98"/>
  <c r="I76" i="98"/>
  <c r="J75" i="98"/>
  <c r="I75" i="98"/>
  <c r="J74" i="98"/>
  <c r="I74" i="98"/>
  <c r="J73" i="98"/>
  <c r="I73" i="98"/>
  <c r="J72" i="98"/>
  <c r="I72" i="98"/>
  <c r="J71" i="98"/>
  <c r="I71" i="98"/>
  <c r="J70" i="98"/>
  <c r="I70" i="98"/>
  <c r="J69" i="98"/>
  <c r="I69" i="98"/>
  <c r="J68" i="98"/>
  <c r="I68" i="98"/>
  <c r="J67" i="98"/>
  <c r="I67" i="98"/>
  <c r="J66" i="98"/>
  <c r="I66" i="98"/>
  <c r="J65" i="98"/>
  <c r="I65" i="98"/>
  <c r="J64" i="98"/>
  <c r="I64" i="98"/>
  <c r="J63" i="98"/>
  <c r="I63" i="98"/>
  <c r="J62" i="98"/>
  <c r="I62" i="98"/>
  <c r="J61" i="98"/>
  <c r="I61" i="98"/>
  <c r="J60" i="98"/>
  <c r="I60" i="98"/>
  <c r="J59" i="98"/>
  <c r="I59" i="98"/>
  <c r="J58" i="98"/>
  <c r="I58" i="98"/>
  <c r="J57" i="98"/>
  <c r="I57" i="98"/>
  <c r="J56" i="98"/>
  <c r="I56" i="98"/>
  <c r="J55" i="98"/>
  <c r="I55" i="98"/>
  <c r="J54" i="98"/>
  <c r="I54" i="98"/>
  <c r="J53" i="98"/>
  <c r="I53" i="98"/>
  <c r="J52" i="98"/>
  <c r="I52" i="98"/>
  <c r="J51" i="98"/>
  <c r="I51" i="98"/>
  <c r="J50" i="98"/>
  <c r="I50" i="98"/>
  <c r="J49" i="98"/>
  <c r="I49" i="98"/>
  <c r="J48" i="98"/>
  <c r="I48" i="98"/>
  <c r="J47" i="98"/>
  <c r="I47" i="98"/>
  <c r="J46" i="98"/>
  <c r="I46" i="98"/>
  <c r="J45" i="98"/>
  <c r="I45" i="98"/>
  <c r="J44" i="98"/>
  <c r="I44" i="98"/>
  <c r="J43" i="98"/>
  <c r="I43" i="98"/>
  <c r="J42" i="98"/>
  <c r="I42" i="98"/>
  <c r="J41" i="98"/>
  <c r="I41" i="98"/>
  <c r="J40" i="98"/>
  <c r="I40" i="98"/>
  <c r="J39" i="98"/>
  <c r="I39" i="98"/>
  <c r="J38" i="98"/>
  <c r="I38" i="98"/>
  <c r="J37" i="98"/>
  <c r="I37" i="98"/>
  <c r="J36" i="98"/>
  <c r="I36" i="98"/>
  <c r="J35" i="98"/>
  <c r="I35" i="98"/>
  <c r="J34" i="98"/>
  <c r="I34" i="98"/>
  <c r="J33" i="98"/>
  <c r="I33" i="98"/>
  <c r="J32" i="98"/>
  <c r="I32" i="98"/>
  <c r="J31" i="98"/>
  <c r="I31" i="98"/>
  <c r="J30" i="98"/>
  <c r="I30" i="98"/>
  <c r="J29" i="98"/>
  <c r="I29" i="98"/>
  <c r="J28" i="98"/>
  <c r="I28" i="98"/>
  <c r="J27" i="98"/>
  <c r="I27" i="98"/>
  <c r="J26" i="98"/>
  <c r="I26" i="98"/>
  <c r="J25" i="98"/>
  <c r="I25" i="98"/>
  <c r="J24" i="98"/>
  <c r="I24" i="98"/>
  <c r="J23" i="98"/>
  <c r="I23" i="98"/>
  <c r="J22" i="98"/>
  <c r="I22" i="98"/>
  <c r="J21" i="98"/>
  <c r="I21" i="98"/>
  <c r="J20" i="98"/>
  <c r="I20" i="98"/>
  <c r="J19" i="98"/>
  <c r="I19" i="98"/>
  <c r="J18" i="98"/>
  <c r="I18" i="98"/>
  <c r="J17" i="98"/>
  <c r="I17" i="98"/>
  <c r="J16" i="98"/>
  <c r="I16" i="98"/>
  <c r="J15" i="98"/>
  <c r="I15" i="98"/>
  <c r="J14" i="98"/>
  <c r="I14" i="98"/>
  <c r="J13" i="98"/>
  <c r="I13" i="98"/>
  <c r="J12" i="98"/>
  <c r="I12" i="98"/>
  <c r="J11" i="98"/>
  <c r="I11" i="98"/>
  <c r="J10" i="98"/>
  <c r="I10" i="98"/>
  <c r="J9" i="98"/>
  <c r="I9" i="98"/>
  <c r="J8" i="98"/>
  <c r="I8" i="98"/>
  <c r="J7" i="98"/>
  <c r="I7" i="98"/>
  <c r="J6" i="98"/>
  <c r="I6" i="98"/>
  <c r="J5" i="98"/>
  <c r="I5" i="98"/>
  <c r="J4" i="98"/>
  <c r="I4" i="98"/>
  <c r="J3" i="98"/>
  <c r="I3" i="98"/>
  <c r="I2" i="98"/>
  <c r="J390" i="97"/>
  <c r="I390" i="97"/>
  <c r="J389" i="97"/>
  <c r="I389" i="97"/>
  <c r="J388" i="97"/>
  <c r="I388" i="97"/>
  <c r="J387" i="97"/>
  <c r="I387" i="97"/>
  <c r="J386" i="97"/>
  <c r="I386" i="97"/>
  <c r="J385" i="97"/>
  <c r="I385" i="97"/>
  <c r="J384" i="97"/>
  <c r="I384" i="97"/>
  <c r="J383" i="97"/>
  <c r="I383" i="97"/>
  <c r="J382" i="97"/>
  <c r="I382" i="97"/>
  <c r="J381" i="97"/>
  <c r="I381" i="97"/>
  <c r="J380" i="97"/>
  <c r="I380" i="97"/>
  <c r="J379" i="97"/>
  <c r="I379" i="97"/>
  <c r="J378" i="97"/>
  <c r="I378" i="97"/>
  <c r="J377" i="97"/>
  <c r="I377" i="97"/>
  <c r="J376" i="97"/>
  <c r="I376" i="97"/>
  <c r="J375" i="97"/>
  <c r="I375" i="97"/>
  <c r="J374" i="97"/>
  <c r="I374" i="97"/>
  <c r="J373" i="97"/>
  <c r="I373" i="97"/>
  <c r="J372" i="97"/>
  <c r="I372" i="97"/>
  <c r="J371" i="97"/>
  <c r="I371" i="97"/>
  <c r="J370" i="97"/>
  <c r="I370" i="97"/>
  <c r="J369" i="97"/>
  <c r="I369" i="97"/>
  <c r="J368" i="97"/>
  <c r="I368" i="97"/>
  <c r="J367" i="97"/>
  <c r="I367" i="97"/>
  <c r="J366" i="97"/>
  <c r="I366" i="97"/>
  <c r="J365" i="97"/>
  <c r="I365" i="97"/>
  <c r="J364" i="97"/>
  <c r="I364" i="97"/>
  <c r="J363" i="97"/>
  <c r="I363" i="97"/>
  <c r="J362" i="97"/>
  <c r="I362" i="97"/>
  <c r="J361" i="97"/>
  <c r="I361" i="97"/>
  <c r="J360" i="97"/>
  <c r="I360" i="97"/>
  <c r="J359" i="97"/>
  <c r="I359" i="97"/>
  <c r="J358" i="97"/>
  <c r="I358" i="97"/>
  <c r="J357" i="97"/>
  <c r="I357" i="97"/>
  <c r="J356" i="97"/>
  <c r="I356" i="97"/>
  <c r="J355" i="97"/>
  <c r="I355" i="97"/>
  <c r="J354" i="97"/>
  <c r="I354" i="97"/>
  <c r="J353" i="97"/>
  <c r="I353" i="97"/>
  <c r="J352" i="97"/>
  <c r="I352" i="97"/>
  <c r="J351" i="97"/>
  <c r="I351" i="97"/>
  <c r="J350" i="97"/>
  <c r="I350" i="97"/>
  <c r="J349" i="97"/>
  <c r="I349" i="97"/>
  <c r="J348" i="97"/>
  <c r="I348" i="97"/>
  <c r="J347" i="97"/>
  <c r="I347" i="97"/>
  <c r="J346" i="97"/>
  <c r="I346" i="97"/>
  <c r="J345" i="97"/>
  <c r="I345" i="97"/>
  <c r="J344" i="97"/>
  <c r="I344" i="97"/>
  <c r="J343" i="97"/>
  <c r="I343" i="97"/>
  <c r="J342" i="97"/>
  <c r="I342" i="97"/>
  <c r="J341" i="97"/>
  <c r="I341" i="97"/>
  <c r="J340" i="97"/>
  <c r="I340" i="97"/>
  <c r="J339" i="97"/>
  <c r="I339" i="97"/>
  <c r="J338" i="97"/>
  <c r="I338" i="97"/>
  <c r="J337" i="97"/>
  <c r="I337" i="97"/>
  <c r="J336" i="97"/>
  <c r="I336" i="97"/>
  <c r="J335" i="97"/>
  <c r="I335" i="97"/>
  <c r="J334" i="97"/>
  <c r="I334" i="97"/>
  <c r="J333" i="97"/>
  <c r="I333" i="97"/>
  <c r="J332" i="97"/>
  <c r="I332" i="97"/>
  <c r="J331" i="97"/>
  <c r="I331" i="97"/>
  <c r="J330" i="97"/>
  <c r="I330" i="97"/>
  <c r="J329" i="97"/>
  <c r="I329" i="97"/>
  <c r="J328" i="97"/>
  <c r="I328" i="97"/>
  <c r="J327" i="97"/>
  <c r="I327" i="97"/>
  <c r="J326" i="97"/>
  <c r="I326" i="97"/>
  <c r="J325" i="97"/>
  <c r="I325" i="97"/>
  <c r="J324" i="97"/>
  <c r="I324" i="97"/>
  <c r="J323" i="97"/>
  <c r="I323" i="97"/>
  <c r="J322" i="97"/>
  <c r="I322" i="97"/>
  <c r="J321" i="97"/>
  <c r="I321" i="97"/>
  <c r="J320" i="97"/>
  <c r="I320" i="97"/>
  <c r="J319" i="97"/>
  <c r="I319" i="97"/>
  <c r="J318" i="97"/>
  <c r="I318" i="97"/>
  <c r="J317" i="97"/>
  <c r="I317" i="97"/>
  <c r="J316" i="97"/>
  <c r="I316" i="97"/>
  <c r="J315" i="97"/>
  <c r="I315" i="97"/>
  <c r="J314" i="97"/>
  <c r="I314" i="97"/>
  <c r="J313" i="97"/>
  <c r="I313" i="97"/>
  <c r="J312" i="97"/>
  <c r="I312" i="97"/>
  <c r="J311" i="97"/>
  <c r="I311" i="97"/>
  <c r="J310" i="97"/>
  <c r="I310" i="97"/>
  <c r="J309" i="97"/>
  <c r="I309" i="97"/>
  <c r="J308" i="97"/>
  <c r="I308" i="97"/>
  <c r="J307" i="97"/>
  <c r="I307" i="97"/>
  <c r="J306" i="97"/>
  <c r="I306" i="97"/>
  <c r="J305" i="97"/>
  <c r="I305" i="97"/>
  <c r="J304" i="97"/>
  <c r="I304" i="97"/>
  <c r="J303" i="97"/>
  <c r="I303" i="97"/>
  <c r="J302" i="97"/>
  <c r="I302" i="97"/>
  <c r="J301" i="97"/>
  <c r="I301" i="97"/>
  <c r="J300" i="97"/>
  <c r="I300" i="97"/>
  <c r="J299" i="97"/>
  <c r="I299" i="97"/>
  <c r="J298" i="97"/>
  <c r="I298" i="97"/>
  <c r="J297" i="97"/>
  <c r="I297" i="97"/>
  <c r="J296" i="97"/>
  <c r="I296" i="97"/>
  <c r="J295" i="97"/>
  <c r="I295" i="97"/>
  <c r="J294" i="97"/>
  <c r="I294" i="97"/>
  <c r="J293" i="97"/>
  <c r="I293" i="97"/>
  <c r="J292" i="97"/>
  <c r="I292" i="97"/>
  <c r="J291" i="97"/>
  <c r="I291" i="97"/>
  <c r="J290" i="97"/>
  <c r="I290" i="97"/>
  <c r="J289" i="97"/>
  <c r="I289" i="97"/>
  <c r="J288" i="97"/>
  <c r="I288" i="97"/>
  <c r="J287" i="97"/>
  <c r="I287" i="97"/>
  <c r="J286" i="97"/>
  <c r="I286" i="97"/>
  <c r="J285" i="97"/>
  <c r="I285" i="97"/>
  <c r="J284" i="97"/>
  <c r="I284" i="97"/>
  <c r="J283" i="97"/>
  <c r="I283" i="97"/>
  <c r="J282" i="97"/>
  <c r="I282" i="97"/>
  <c r="J281" i="97"/>
  <c r="I281" i="97"/>
  <c r="J280" i="97"/>
  <c r="I280" i="97"/>
  <c r="J279" i="97"/>
  <c r="I279" i="97"/>
  <c r="J278" i="97"/>
  <c r="I278" i="97"/>
  <c r="J277" i="97"/>
  <c r="I277" i="97"/>
  <c r="J276" i="97"/>
  <c r="I276" i="97"/>
  <c r="J275" i="97"/>
  <c r="I275" i="97"/>
  <c r="J274" i="97"/>
  <c r="I274" i="97"/>
  <c r="J273" i="97"/>
  <c r="I273" i="97"/>
  <c r="J272" i="97"/>
  <c r="I272" i="97"/>
  <c r="J271" i="97"/>
  <c r="I271" i="97"/>
  <c r="J270" i="97"/>
  <c r="I270" i="97"/>
  <c r="J269" i="97"/>
  <c r="I269" i="97"/>
  <c r="J268" i="97"/>
  <c r="I268" i="97"/>
  <c r="J267" i="97"/>
  <c r="I267" i="97"/>
  <c r="J266" i="97"/>
  <c r="I266" i="97"/>
  <c r="J265" i="97"/>
  <c r="I265" i="97"/>
  <c r="J264" i="97"/>
  <c r="I264" i="97"/>
  <c r="J263" i="97"/>
  <c r="I263" i="97"/>
  <c r="J262" i="97"/>
  <c r="I262" i="97"/>
  <c r="J261" i="97"/>
  <c r="I261" i="97"/>
  <c r="J260" i="97"/>
  <c r="I260" i="97"/>
  <c r="J259" i="97"/>
  <c r="I259" i="97"/>
  <c r="J258" i="97"/>
  <c r="I258" i="97"/>
  <c r="J257" i="97"/>
  <c r="I257" i="97"/>
  <c r="J256" i="97"/>
  <c r="I256" i="97"/>
  <c r="J255" i="97"/>
  <c r="I255" i="97"/>
  <c r="J254" i="97"/>
  <c r="I254" i="97"/>
  <c r="J253" i="97"/>
  <c r="I253" i="97"/>
  <c r="J252" i="97"/>
  <c r="I252" i="97"/>
  <c r="J251" i="97"/>
  <c r="I251" i="97"/>
  <c r="J250" i="97"/>
  <c r="I250" i="97"/>
  <c r="J249" i="97"/>
  <c r="I249" i="97"/>
  <c r="J248" i="97"/>
  <c r="I248" i="97"/>
  <c r="J247" i="97"/>
  <c r="I247" i="97"/>
  <c r="J246" i="97"/>
  <c r="I246" i="97"/>
  <c r="J245" i="97"/>
  <c r="I245" i="97"/>
  <c r="J244" i="97"/>
  <c r="I244" i="97"/>
  <c r="J243" i="97"/>
  <c r="I243" i="97"/>
  <c r="J242" i="97"/>
  <c r="I242" i="97"/>
  <c r="J241" i="97"/>
  <c r="I241" i="97"/>
  <c r="J240" i="97"/>
  <c r="I240" i="97"/>
  <c r="J239" i="97"/>
  <c r="I239" i="97"/>
  <c r="J238" i="97"/>
  <c r="I238" i="97"/>
  <c r="J237" i="97"/>
  <c r="I237" i="97"/>
  <c r="J236" i="97"/>
  <c r="I236" i="97"/>
  <c r="J235" i="97"/>
  <c r="I235" i="97"/>
  <c r="J234" i="97"/>
  <c r="I234" i="97"/>
  <c r="J233" i="97"/>
  <c r="I233" i="97"/>
  <c r="J232" i="97"/>
  <c r="I232" i="97"/>
  <c r="J231" i="97"/>
  <c r="I231" i="97"/>
  <c r="J230" i="97"/>
  <c r="I230" i="97"/>
  <c r="J229" i="97"/>
  <c r="I229" i="97"/>
  <c r="J228" i="97"/>
  <c r="I228" i="97"/>
  <c r="J227" i="97"/>
  <c r="I227" i="97"/>
  <c r="J226" i="97"/>
  <c r="I226" i="97"/>
  <c r="J225" i="97"/>
  <c r="I225" i="97"/>
  <c r="J224" i="97"/>
  <c r="I224" i="97"/>
  <c r="J223" i="97"/>
  <c r="I223" i="97"/>
  <c r="J222" i="97"/>
  <c r="I222" i="97"/>
  <c r="J221" i="97"/>
  <c r="I221" i="97"/>
  <c r="J220" i="97"/>
  <c r="I220" i="97"/>
  <c r="J219" i="97"/>
  <c r="I219" i="97"/>
  <c r="J218" i="97"/>
  <c r="I218" i="97"/>
  <c r="J217" i="97"/>
  <c r="I217" i="97"/>
  <c r="J216" i="97"/>
  <c r="I216" i="97"/>
  <c r="J215" i="97"/>
  <c r="I215" i="97"/>
  <c r="J214" i="97"/>
  <c r="I214" i="97"/>
  <c r="J213" i="97"/>
  <c r="I213" i="97"/>
  <c r="J212" i="97"/>
  <c r="I212" i="97"/>
  <c r="J211" i="97"/>
  <c r="I211" i="97"/>
  <c r="J210" i="97"/>
  <c r="I210" i="97"/>
  <c r="J209" i="97"/>
  <c r="I209" i="97"/>
  <c r="J208" i="97"/>
  <c r="I208" i="97"/>
  <c r="J207" i="97"/>
  <c r="I207" i="97"/>
  <c r="J206" i="97"/>
  <c r="I206" i="97"/>
  <c r="J205" i="97"/>
  <c r="I205" i="97"/>
  <c r="J204" i="97"/>
  <c r="I204" i="97"/>
  <c r="J203" i="97"/>
  <c r="I203" i="97"/>
  <c r="J202" i="97"/>
  <c r="I202" i="97"/>
  <c r="J201" i="97"/>
  <c r="I201" i="97"/>
  <c r="J200" i="97"/>
  <c r="I200" i="97"/>
  <c r="J199" i="97"/>
  <c r="I199" i="97"/>
  <c r="J198" i="97"/>
  <c r="I198" i="97"/>
  <c r="J197" i="97"/>
  <c r="I197" i="97"/>
  <c r="J196" i="97"/>
  <c r="I196" i="97"/>
  <c r="J195" i="97"/>
  <c r="I195" i="97"/>
  <c r="J194" i="97"/>
  <c r="I194" i="97"/>
  <c r="J193" i="97"/>
  <c r="I193" i="97"/>
  <c r="J192" i="97"/>
  <c r="I192" i="97"/>
  <c r="J191" i="97"/>
  <c r="I191" i="97"/>
  <c r="J190" i="97"/>
  <c r="I190" i="97"/>
  <c r="J189" i="97"/>
  <c r="I189" i="97"/>
  <c r="J188" i="97"/>
  <c r="I188" i="97"/>
  <c r="J187" i="97"/>
  <c r="I187" i="97"/>
  <c r="J186" i="97"/>
  <c r="I186" i="97"/>
  <c r="J185" i="97"/>
  <c r="I185" i="97"/>
  <c r="J184" i="97"/>
  <c r="I184" i="97"/>
  <c r="J183" i="97"/>
  <c r="I183" i="97"/>
  <c r="J182" i="97"/>
  <c r="I182" i="97"/>
  <c r="J181" i="97"/>
  <c r="I181" i="97"/>
  <c r="J180" i="97"/>
  <c r="I180" i="97"/>
  <c r="J179" i="97"/>
  <c r="I179" i="97"/>
  <c r="J178" i="97"/>
  <c r="I178" i="97"/>
  <c r="J177" i="97"/>
  <c r="I177" i="97"/>
  <c r="J176" i="97"/>
  <c r="I176" i="97"/>
  <c r="J175" i="97"/>
  <c r="I175" i="97"/>
  <c r="J174" i="97"/>
  <c r="I174" i="97"/>
  <c r="J173" i="97"/>
  <c r="I173" i="97"/>
  <c r="J172" i="97"/>
  <c r="I172" i="97"/>
  <c r="J171" i="97"/>
  <c r="I171" i="97"/>
  <c r="J170" i="97"/>
  <c r="I170" i="97"/>
  <c r="J169" i="97"/>
  <c r="I169" i="97"/>
  <c r="J168" i="97"/>
  <c r="I168" i="97"/>
  <c r="J167" i="97"/>
  <c r="I167" i="97"/>
  <c r="J166" i="97"/>
  <c r="I166" i="97"/>
  <c r="J165" i="97"/>
  <c r="I165" i="97"/>
  <c r="J164" i="97"/>
  <c r="I164" i="97"/>
  <c r="J163" i="97"/>
  <c r="I163" i="97"/>
  <c r="J162" i="97"/>
  <c r="I162" i="97"/>
  <c r="J161" i="97"/>
  <c r="I161" i="97"/>
  <c r="J160" i="97"/>
  <c r="I160" i="97"/>
  <c r="J159" i="97"/>
  <c r="I159" i="97"/>
  <c r="J158" i="97"/>
  <c r="I158" i="97"/>
  <c r="J157" i="97"/>
  <c r="I157" i="97"/>
  <c r="J156" i="97"/>
  <c r="I156" i="97"/>
  <c r="J155" i="97"/>
  <c r="I155" i="97"/>
  <c r="J154" i="97"/>
  <c r="I154" i="97"/>
  <c r="J153" i="97"/>
  <c r="I153" i="97"/>
  <c r="J152" i="97"/>
  <c r="I152" i="97"/>
  <c r="J151" i="97"/>
  <c r="I151" i="97"/>
  <c r="J150" i="97"/>
  <c r="I150" i="97"/>
  <c r="J149" i="97"/>
  <c r="I149" i="97"/>
  <c r="J148" i="97"/>
  <c r="I148" i="97"/>
  <c r="J147" i="97"/>
  <c r="I147" i="97"/>
  <c r="J146" i="97"/>
  <c r="I146" i="97"/>
  <c r="J145" i="97"/>
  <c r="I145" i="97"/>
  <c r="J144" i="97"/>
  <c r="I144" i="97"/>
  <c r="J143" i="97"/>
  <c r="I143" i="97"/>
  <c r="J142" i="97"/>
  <c r="I142" i="97"/>
  <c r="J141" i="97"/>
  <c r="I141" i="97"/>
  <c r="J140" i="97"/>
  <c r="I140" i="97"/>
  <c r="J139" i="97"/>
  <c r="I139" i="97"/>
  <c r="J138" i="97"/>
  <c r="I138" i="97"/>
  <c r="J137" i="97"/>
  <c r="I137" i="97"/>
  <c r="J136" i="97"/>
  <c r="I136" i="97"/>
  <c r="J135" i="97"/>
  <c r="I135" i="97"/>
  <c r="J134" i="97"/>
  <c r="I134" i="97"/>
  <c r="J133" i="97"/>
  <c r="I133" i="97"/>
  <c r="J132" i="97"/>
  <c r="I132" i="97"/>
  <c r="J131" i="97"/>
  <c r="I131" i="97"/>
  <c r="J130" i="97"/>
  <c r="I130" i="97"/>
  <c r="J129" i="97"/>
  <c r="I129" i="97"/>
  <c r="J128" i="97"/>
  <c r="I128" i="97"/>
  <c r="J127" i="97"/>
  <c r="I127" i="97"/>
  <c r="J126" i="97"/>
  <c r="I126" i="97"/>
  <c r="J125" i="97"/>
  <c r="I125" i="97"/>
  <c r="J124" i="97"/>
  <c r="I124" i="97"/>
  <c r="J123" i="97"/>
  <c r="I123" i="97"/>
  <c r="J122" i="97"/>
  <c r="I122" i="97"/>
  <c r="J121" i="97"/>
  <c r="I121" i="97"/>
  <c r="J120" i="97"/>
  <c r="I120" i="97"/>
  <c r="J119" i="97"/>
  <c r="I119" i="97"/>
  <c r="J118" i="97"/>
  <c r="I118" i="97"/>
  <c r="J117" i="97"/>
  <c r="I117" i="97"/>
  <c r="J116" i="97"/>
  <c r="I116" i="97"/>
  <c r="J115" i="97"/>
  <c r="I115" i="97"/>
  <c r="J114" i="97"/>
  <c r="I114" i="97"/>
  <c r="J113" i="97"/>
  <c r="I113" i="97"/>
  <c r="J112" i="97"/>
  <c r="I112" i="97"/>
  <c r="J111" i="97"/>
  <c r="I111" i="97"/>
  <c r="J110" i="97"/>
  <c r="I110" i="97"/>
  <c r="J109" i="97"/>
  <c r="I109" i="97"/>
  <c r="J108" i="97"/>
  <c r="I108" i="97"/>
  <c r="J107" i="97"/>
  <c r="I107" i="97"/>
  <c r="J106" i="97"/>
  <c r="I106" i="97"/>
  <c r="J105" i="97"/>
  <c r="I105" i="97"/>
  <c r="J104" i="97"/>
  <c r="I104" i="97"/>
  <c r="J103" i="97"/>
  <c r="I103" i="97"/>
  <c r="J102" i="97"/>
  <c r="I102" i="97"/>
  <c r="J101" i="97"/>
  <c r="I101" i="97"/>
  <c r="J100" i="97"/>
  <c r="I100" i="97"/>
  <c r="J99" i="97"/>
  <c r="I99" i="97"/>
  <c r="J98" i="97"/>
  <c r="I98" i="97"/>
  <c r="J97" i="97"/>
  <c r="I97" i="97"/>
  <c r="J96" i="97"/>
  <c r="I96" i="97"/>
  <c r="J95" i="97"/>
  <c r="I95" i="97"/>
  <c r="J94" i="97"/>
  <c r="I94" i="97"/>
  <c r="J93" i="97"/>
  <c r="I93" i="97"/>
  <c r="J92" i="97"/>
  <c r="I92" i="97"/>
  <c r="J91" i="97"/>
  <c r="I91" i="97"/>
  <c r="J90" i="97"/>
  <c r="I90" i="97"/>
  <c r="J89" i="97"/>
  <c r="I89" i="97"/>
  <c r="J88" i="97"/>
  <c r="I88" i="97"/>
  <c r="J87" i="97"/>
  <c r="I87" i="97"/>
  <c r="J86" i="97"/>
  <c r="I86" i="97"/>
  <c r="J85" i="97"/>
  <c r="I85" i="97"/>
  <c r="J84" i="97"/>
  <c r="I84" i="97"/>
  <c r="J83" i="97"/>
  <c r="I83" i="97"/>
  <c r="J82" i="97"/>
  <c r="I82" i="97"/>
  <c r="J81" i="97"/>
  <c r="I81" i="97"/>
  <c r="J80" i="97"/>
  <c r="I80" i="97"/>
  <c r="J79" i="97"/>
  <c r="I79" i="97"/>
  <c r="J78" i="97"/>
  <c r="I78" i="97"/>
  <c r="J77" i="97"/>
  <c r="I77" i="97"/>
  <c r="J76" i="97"/>
  <c r="I76" i="97"/>
  <c r="J75" i="97"/>
  <c r="I75" i="97"/>
  <c r="J74" i="97"/>
  <c r="I74" i="97"/>
  <c r="J73" i="97"/>
  <c r="I73" i="97"/>
  <c r="J72" i="97"/>
  <c r="I72" i="97"/>
  <c r="J71" i="97"/>
  <c r="I71" i="97"/>
  <c r="J70" i="97"/>
  <c r="I70" i="97"/>
  <c r="J69" i="97"/>
  <c r="I69" i="97"/>
  <c r="J68" i="97"/>
  <c r="I68" i="97"/>
  <c r="J67" i="97"/>
  <c r="I67" i="97"/>
  <c r="J66" i="97"/>
  <c r="I66" i="97"/>
  <c r="J65" i="97"/>
  <c r="I65" i="97"/>
  <c r="J64" i="97"/>
  <c r="I64" i="97"/>
  <c r="J63" i="97"/>
  <c r="I63" i="97"/>
  <c r="J62" i="97"/>
  <c r="I62" i="97"/>
  <c r="J61" i="97"/>
  <c r="I61" i="97"/>
  <c r="J60" i="97"/>
  <c r="I60" i="97"/>
  <c r="J59" i="97"/>
  <c r="I59" i="97"/>
  <c r="J58" i="97"/>
  <c r="I58" i="97"/>
  <c r="J57" i="97"/>
  <c r="I57" i="97"/>
  <c r="J56" i="97"/>
  <c r="I56" i="97"/>
  <c r="J55" i="97"/>
  <c r="I55" i="97"/>
  <c r="J54" i="97"/>
  <c r="I54" i="97"/>
  <c r="J53" i="97"/>
  <c r="I53" i="97"/>
  <c r="J52" i="97"/>
  <c r="I52" i="97"/>
  <c r="J51" i="97"/>
  <c r="I51" i="97"/>
  <c r="J50" i="97"/>
  <c r="I50" i="97"/>
  <c r="J49" i="97"/>
  <c r="I49" i="97"/>
  <c r="J48" i="97"/>
  <c r="I48" i="97"/>
  <c r="J47" i="97"/>
  <c r="I47" i="97"/>
  <c r="J46" i="97"/>
  <c r="I46" i="97"/>
  <c r="J45" i="97"/>
  <c r="I45" i="97"/>
  <c r="J44" i="97"/>
  <c r="I44" i="97"/>
  <c r="J43" i="97"/>
  <c r="I43" i="97"/>
  <c r="J42" i="97"/>
  <c r="I42" i="97"/>
  <c r="J41" i="97"/>
  <c r="I41" i="97"/>
  <c r="J40" i="97"/>
  <c r="I40" i="97"/>
  <c r="J39" i="97"/>
  <c r="I39" i="97"/>
  <c r="J38" i="97"/>
  <c r="I38" i="97"/>
  <c r="J37" i="97"/>
  <c r="I37" i="97"/>
  <c r="J35" i="97"/>
  <c r="I35" i="97"/>
  <c r="J34" i="97"/>
  <c r="I34" i="97"/>
  <c r="J33" i="97"/>
  <c r="I33" i="97"/>
  <c r="J32" i="97"/>
  <c r="I32" i="97"/>
  <c r="J31" i="97"/>
  <c r="I31" i="97"/>
  <c r="J30" i="97"/>
  <c r="I30" i="97"/>
  <c r="J29" i="97"/>
  <c r="I29" i="97"/>
  <c r="J28" i="97"/>
  <c r="I28" i="97"/>
  <c r="J27" i="97"/>
  <c r="I27" i="97"/>
  <c r="J26" i="97"/>
  <c r="I26" i="97"/>
  <c r="J25" i="97"/>
  <c r="I25" i="97"/>
  <c r="J24" i="97"/>
  <c r="I24" i="97"/>
  <c r="J23" i="97"/>
  <c r="I23" i="97"/>
  <c r="J22" i="97"/>
  <c r="I22" i="97"/>
  <c r="J21" i="97"/>
  <c r="I21" i="97"/>
  <c r="J20" i="97"/>
  <c r="I20" i="97"/>
  <c r="J19" i="97"/>
  <c r="I19" i="97"/>
  <c r="J18" i="97"/>
  <c r="I18" i="97"/>
  <c r="J17" i="97"/>
  <c r="I17" i="97"/>
  <c r="J16" i="97"/>
  <c r="I16" i="97"/>
  <c r="J15" i="97"/>
  <c r="I15" i="97"/>
  <c r="J14" i="97"/>
  <c r="I14" i="97"/>
  <c r="J13" i="97"/>
  <c r="I13" i="97"/>
  <c r="J12" i="97"/>
  <c r="I12" i="97"/>
  <c r="J11" i="97"/>
  <c r="I11" i="97"/>
  <c r="J10" i="97"/>
  <c r="I10" i="97"/>
  <c r="J9" i="97"/>
  <c r="I9" i="97"/>
  <c r="J8" i="97"/>
  <c r="I8" i="97"/>
  <c r="J7" i="97"/>
  <c r="I7" i="97"/>
  <c r="J6" i="97"/>
  <c r="I6" i="97"/>
  <c r="J5" i="97"/>
  <c r="I5" i="97"/>
  <c r="J4" i="97"/>
  <c r="I4" i="97"/>
  <c r="J3" i="97"/>
  <c r="I3" i="97"/>
  <c r="I2" i="97"/>
  <c r="N13" i="106" l="1"/>
  <c r="L14" i="11" s="1"/>
  <c r="N10" i="112"/>
  <c r="R11" i="11" s="1"/>
  <c r="N21" i="113"/>
  <c r="N21" i="114"/>
  <c r="N18" i="116"/>
  <c r="V19" i="11" s="1"/>
  <c r="N21" i="104"/>
  <c r="N4" i="98"/>
  <c r="D5" i="11" s="1"/>
  <c r="N21" i="105"/>
  <c r="N4" i="109"/>
  <c r="O5" i="11" s="1"/>
  <c r="N21" i="120"/>
  <c r="Z22" i="11" s="1"/>
  <c r="N4" i="101"/>
  <c r="G5" i="11" s="1"/>
  <c r="N5" i="105"/>
  <c r="K6" i="11" s="1"/>
  <c r="N21" i="106"/>
  <c r="N13" i="103"/>
  <c r="I14" i="11" s="1"/>
  <c r="N20" i="103"/>
  <c r="I21" i="11" s="1"/>
  <c r="N21" i="109"/>
  <c r="O22" i="11" s="1"/>
  <c r="N15" i="119"/>
  <c r="Y16" i="11" s="1"/>
  <c r="N17" i="122"/>
  <c r="AB18" i="11" s="1"/>
  <c r="N13" i="99"/>
  <c r="E14" i="11" s="1"/>
  <c r="N21" i="100"/>
  <c r="N21" i="107"/>
  <c r="M22" i="11" s="1"/>
  <c r="N21" i="108"/>
  <c r="N19" i="114"/>
  <c r="T20" i="11" s="1"/>
  <c r="N7" i="115"/>
  <c r="U8" i="11" s="1"/>
  <c r="N3" i="116"/>
  <c r="V4" i="11" s="1"/>
  <c r="N21" i="101"/>
  <c r="G22" i="11" s="1"/>
  <c r="N2" i="118"/>
  <c r="X3" i="11" s="1"/>
  <c r="F50" i="94"/>
  <c r="I81" i="94"/>
  <c r="T22" i="11"/>
  <c r="N16" i="111"/>
  <c r="Q17" i="11" s="1"/>
  <c r="N21" i="116"/>
  <c r="N17" i="118"/>
  <c r="X18" i="11" s="1"/>
  <c r="N18" i="118"/>
  <c r="X19" i="11" s="1"/>
  <c r="N11" i="120"/>
  <c r="Z12" i="11" s="1"/>
  <c r="N13" i="101"/>
  <c r="N21" i="102"/>
  <c r="N9" i="104"/>
  <c r="J10" i="11" s="1"/>
  <c r="N17" i="106"/>
  <c r="L18" i="11" s="1"/>
  <c r="N16" i="109"/>
  <c r="O17" i="11" s="1"/>
  <c r="N20" i="111"/>
  <c r="Q21" i="11" s="1"/>
  <c r="N11" i="112"/>
  <c r="R12" i="11" s="1"/>
  <c r="N21" i="112"/>
  <c r="N17" i="120"/>
  <c r="Z18" i="11" s="1"/>
  <c r="N17" i="100"/>
  <c r="F18" i="11" s="1"/>
  <c r="N20" i="104"/>
  <c r="J21" i="11" s="1"/>
  <c r="N9" i="105"/>
  <c r="K10" i="11" s="1"/>
  <c r="N17" i="98"/>
  <c r="D18" i="11" s="1"/>
  <c r="N20" i="101"/>
  <c r="G21" i="11" s="1"/>
  <c r="N13" i="104"/>
  <c r="J14" i="11" s="1"/>
  <c r="N20" i="109"/>
  <c r="O21" i="11" s="1"/>
  <c r="N14" i="115"/>
  <c r="U15" i="11" s="1"/>
  <c r="N22" i="117"/>
  <c r="W23" i="11" s="1"/>
  <c r="N18" i="119"/>
  <c r="Y19" i="11" s="1"/>
  <c r="N3" i="120"/>
  <c r="Z4" i="11" s="1"/>
  <c r="N22" i="121"/>
  <c r="AA23" i="11" s="1"/>
  <c r="N18" i="98"/>
  <c r="D19" i="11" s="1"/>
  <c r="N4" i="103"/>
  <c r="I5" i="11" s="1"/>
  <c r="N2" i="98"/>
  <c r="D3" i="11" s="1"/>
  <c r="N21" i="99"/>
  <c r="N17" i="102"/>
  <c r="H18" i="11" s="1"/>
  <c r="N21" i="103"/>
  <c r="N14" i="119"/>
  <c r="Y15" i="11" s="1"/>
  <c r="N16" i="123"/>
  <c r="AC17" i="11" s="1"/>
  <c r="N21" i="98"/>
  <c r="N18" i="105"/>
  <c r="K19" i="11" s="1"/>
  <c r="N4" i="111"/>
  <c r="Q5" i="11" s="1"/>
  <c r="N20" i="112"/>
  <c r="R21" i="11" s="1"/>
  <c r="N15" i="113"/>
  <c r="S16" i="11" s="1"/>
  <c r="N21" i="115"/>
  <c r="N5" i="104"/>
  <c r="J6" i="11" s="1"/>
  <c r="N5" i="106"/>
  <c r="L6" i="11" s="1"/>
  <c r="N16" i="107"/>
  <c r="M17" i="11" s="1"/>
  <c r="N21" i="110"/>
  <c r="N6" i="115"/>
  <c r="U7" i="11" s="1"/>
  <c r="N21" i="117"/>
  <c r="N6" i="117"/>
  <c r="W7" i="11" s="1"/>
  <c r="N21" i="119"/>
  <c r="N15" i="121"/>
  <c r="AA16" i="11" s="1"/>
  <c r="N7" i="121"/>
  <c r="AA8" i="11" s="1"/>
  <c r="N21" i="122"/>
  <c r="J22" i="11"/>
  <c r="N22" i="11"/>
  <c r="S22" i="11"/>
  <c r="N22" i="115"/>
  <c r="U23" i="11" s="1"/>
  <c r="N21" i="97"/>
  <c r="N17" i="107"/>
  <c r="M18" i="11" s="1"/>
  <c r="N20" i="110"/>
  <c r="P21" i="11" s="1"/>
  <c r="N21" i="111"/>
  <c r="N11" i="116"/>
  <c r="V12" i="11" s="1"/>
  <c r="N16" i="117"/>
  <c r="W17" i="11" s="1"/>
  <c r="N16" i="119"/>
  <c r="Y17" i="11" s="1"/>
  <c r="N20" i="120"/>
  <c r="Z21" i="11" s="1"/>
  <c r="N16" i="121"/>
  <c r="AA17" i="11" s="1"/>
  <c r="N6" i="123"/>
  <c r="AC7" i="11" s="1"/>
  <c r="N20" i="106"/>
  <c r="L21" i="11" s="1"/>
  <c r="N20" i="108"/>
  <c r="N21" i="11" s="1"/>
  <c r="N18" i="112"/>
  <c r="R19" i="11" s="1"/>
  <c r="N10" i="118"/>
  <c r="X11" i="11" s="1"/>
  <c r="N21" i="118"/>
  <c r="N7" i="119"/>
  <c r="Y8" i="11" s="1"/>
  <c r="N18" i="123"/>
  <c r="AC19" i="11" s="1"/>
  <c r="N22" i="123"/>
  <c r="AC23" i="11" s="1"/>
  <c r="N21" i="123"/>
  <c r="N20" i="122"/>
  <c r="AB21" i="11" s="1"/>
  <c r="N2" i="122"/>
  <c r="AB3" i="11" s="1"/>
  <c r="N3" i="122"/>
  <c r="AB4" i="11" s="1"/>
  <c r="N11" i="122"/>
  <c r="AB12" i="11" s="1"/>
  <c r="N21" i="121"/>
  <c r="N10" i="121"/>
  <c r="AA11" i="11" s="1"/>
  <c r="N20" i="114"/>
  <c r="T21" i="11" s="1"/>
  <c r="N12" i="114"/>
  <c r="T13" i="11" s="1"/>
  <c r="N14" i="114"/>
  <c r="T15" i="11" s="1"/>
  <c r="N22" i="114"/>
  <c r="T23" i="11" s="1"/>
  <c r="N6" i="114"/>
  <c r="T7" i="11" s="1"/>
  <c r="N4" i="114"/>
  <c r="T5" i="11" s="1"/>
  <c r="N3" i="112"/>
  <c r="R4" i="11" s="1"/>
  <c r="N6" i="113"/>
  <c r="S7" i="11" s="1"/>
  <c r="N2" i="114"/>
  <c r="T3" i="11" s="1"/>
  <c r="N18" i="115"/>
  <c r="U19" i="11" s="1"/>
  <c r="N15" i="115"/>
  <c r="U16" i="11" s="1"/>
  <c r="N14" i="117"/>
  <c r="W15" i="11" s="1"/>
  <c r="N16" i="113"/>
  <c r="S17" i="11" s="1"/>
  <c r="N7" i="117"/>
  <c r="W8" i="11" s="1"/>
  <c r="N14" i="113"/>
  <c r="S15" i="11" s="1"/>
  <c r="N17" i="114"/>
  <c r="T18" i="11" s="1"/>
  <c r="N10" i="114"/>
  <c r="T11" i="11" s="1"/>
  <c r="N20" i="116"/>
  <c r="V21" i="11" s="1"/>
  <c r="N4" i="116"/>
  <c r="V5" i="11" s="1"/>
  <c r="N22" i="116"/>
  <c r="V23" i="11" s="1"/>
  <c r="N12" i="116"/>
  <c r="N14" i="116"/>
  <c r="V15" i="11" s="1"/>
  <c r="N6" i="116"/>
  <c r="V7" i="11" s="1"/>
  <c r="N19" i="116"/>
  <c r="V20" i="11" s="1"/>
  <c r="N7" i="113"/>
  <c r="S8" i="11" s="1"/>
  <c r="N3" i="114"/>
  <c r="T4" i="11" s="1"/>
  <c r="N2" i="116"/>
  <c r="V3" i="11" s="1"/>
  <c r="N10" i="117"/>
  <c r="W11" i="11" s="1"/>
  <c r="N15" i="117"/>
  <c r="W16" i="11" s="1"/>
  <c r="N22" i="112"/>
  <c r="R23" i="11" s="1"/>
  <c r="N14" i="112"/>
  <c r="R15" i="11" s="1"/>
  <c r="N6" i="112"/>
  <c r="R7" i="11" s="1"/>
  <c r="N19" i="112"/>
  <c r="R20" i="11" s="1"/>
  <c r="N22" i="113"/>
  <c r="S23" i="11" s="1"/>
  <c r="N18" i="114"/>
  <c r="T19" i="11" s="1"/>
  <c r="N16" i="115"/>
  <c r="U17" i="11" s="1"/>
  <c r="N20" i="118"/>
  <c r="X21" i="11" s="1"/>
  <c r="N12" i="118"/>
  <c r="N4" i="118"/>
  <c r="X5" i="11" s="1"/>
  <c r="N6" i="118"/>
  <c r="X7" i="11" s="1"/>
  <c r="N3" i="118"/>
  <c r="X4" i="11" s="1"/>
  <c r="N19" i="118"/>
  <c r="X20" i="11" s="1"/>
  <c r="N13" i="118"/>
  <c r="X14" i="11" s="1"/>
  <c r="N5" i="118"/>
  <c r="X6" i="11" s="1"/>
  <c r="N22" i="118"/>
  <c r="X23" i="11" s="1"/>
  <c r="N14" i="118"/>
  <c r="X15" i="11" s="1"/>
  <c r="N11" i="118"/>
  <c r="N2" i="112"/>
  <c r="R3" i="11" s="1"/>
  <c r="N10" i="113"/>
  <c r="N11" i="114"/>
  <c r="N17" i="116"/>
  <c r="V18" i="11" s="1"/>
  <c r="N10" i="116"/>
  <c r="V11" i="11" s="1"/>
  <c r="N2" i="117"/>
  <c r="W3" i="11" s="1"/>
  <c r="N2" i="113"/>
  <c r="S3" i="11" s="1"/>
  <c r="N18" i="113"/>
  <c r="S19" i="11" s="1"/>
  <c r="N19" i="120"/>
  <c r="Z20" i="11" s="1"/>
  <c r="N19" i="122"/>
  <c r="AB20" i="11" s="1"/>
  <c r="N2" i="115"/>
  <c r="U3" i="11" s="1"/>
  <c r="N18" i="117"/>
  <c r="W19" i="11" s="1"/>
  <c r="N2" i="119"/>
  <c r="Y3" i="11" s="1"/>
  <c r="N10" i="119"/>
  <c r="Y11" i="11" s="1"/>
  <c r="N6" i="120"/>
  <c r="Z7" i="11" s="1"/>
  <c r="N2" i="121"/>
  <c r="AA3" i="11" s="1"/>
  <c r="N18" i="121"/>
  <c r="AA19" i="11" s="1"/>
  <c r="N6" i="122"/>
  <c r="AB7" i="11" s="1"/>
  <c r="N22" i="122"/>
  <c r="AB23" i="11" s="1"/>
  <c r="N2" i="123"/>
  <c r="AC3" i="11" s="1"/>
  <c r="N10" i="123"/>
  <c r="AC11" i="11" s="1"/>
  <c r="N8" i="115"/>
  <c r="U9" i="11" s="1"/>
  <c r="N7" i="112"/>
  <c r="R8" i="11" s="1"/>
  <c r="N15" i="112"/>
  <c r="R16" i="11" s="1"/>
  <c r="N3" i="113"/>
  <c r="S4" i="11" s="1"/>
  <c r="N11" i="113"/>
  <c r="S12" i="11" s="1"/>
  <c r="N19" i="113"/>
  <c r="S20" i="11" s="1"/>
  <c r="N7" i="114"/>
  <c r="T8" i="11" s="1"/>
  <c r="N15" i="114"/>
  <c r="T16" i="11" s="1"/>
  <c r="N3" i="115"/>
  <c r="U4" i="11" s="1"/>
  <c r="N11" i="115"/>
  <c r="U12" i="11" s="1"/>
  <c r="N19" i="115"/>
  <c r="U20" i="11" s="1"/>
  <c r="N7" i="116"/>
  <c r="V8" i="11" s="1"/>
  <c r="N15" i="116"/>
  <c r="V16" i="11" s="1"/>
  <c r="N3" i="117"/>
  <c r="W4" i="11" s="1"/>
  <c r="N11" i="117"/>
  <c r="W12" i="11" s="1"/>
  <c r="N19" i="117"/>
  <c r="W20" i="11" s="1"/>
  <c r="N7" i="118"/>
  <c r="X8" i="11" s="1"/>
  <c r="N15" i="118"/>
  <c r="X16" i="11" s="1"/>
  <c r="N3" i="119"/>
  <c r="Y4" i="11" s="1"/>
  <c r="N11" i="119"/>
  <c r="Y12" i="11" s="1"/>
  <c r="N19" i="119"/>
  <c r="Y20" i="11" s="1"/>
  <c r="N7" i="120"/>
  <c r="Z8" i="11" s="1"/>
  <c r="N15" i="120"/>
  <c r="Z16" i="11" s="1"/>
  <c r="N3" i="121"/>
  <c r="AA4" i="11" s="1"/>
  <c r="N11" i="121"/>
  <c r="AA12" i="11" s="1"/>
  <c r="N19" i="121"/>
  <c r="AA20" i="11" s="1"/>
  <c r="N7" i="122"/>
  <c r="AB8" i="11" s="1"/>
  <c r="N15" i="122"/>
  <c r="AB16" i="11" s="1"/>
  <c r="N3" i="123"/>
  <c r="AC4" i="11" s="1"/>
  <c r="N11" i="123"/>
  <c r="AC12" i="11" s="1"/>
  <c r="N19" i="123"/>
  <c r="AC20" i="11" s="1"/>
  <c r="N6" i="119"/>
  <c r="Y7" i="11" s="1"/>
  <c r="N22" i="119"/>
  <c r="Y23" i="11" s="1"/>
  <c r="N2" i="120"/>
  <c r="Z3" i="11" s="1"/>
  <c r="N6" i="121"/>
  <c r="AA7" i="11" s="1"/>
  <c r="N14" i="121"/>
  <c r="AA15" i="11" s="1"/>
  <c r="N10" i="122"/>
  <c r="AB11" i="11" s="1"/>
  <c r="N18" i="122"/>
  <c r="AB19" i="11" s="1"/>
  <c r="N14" i="123"/>
  <c r="AC15" i="11" s="1"/>
  <c r="N5" i="112"/>
  <c r="R6" i="11" s="1"/>
  <c r="N13" i="112"/>
  <c r="R14" i="11" s="1"/>
  <c r="N9" i="113"/>
  <c r="S10" i="11" s="1"/>
  <c r="N17" i="113"/>
  <c r="S18" i="11" s="1"/>
  <c r="N5" i="114"/>
  <c r="T6" i="11" s="1"/>
  <c r="N13" i="114"/>
  <c r="T14" i="11" s="1"/>
  <c r="N9" i="115"/>
  <c r="U10" i="11" s="1"/>
  <c r="N17" i="115"/>
  <c r="U18" i="11" s="1"/>
  <c r="N5" i="116"/>
  <c r="V6" i="11" s="1"/>
  <c r="N13" i="116"/>
  <c r="V14" i="11" s="1"/>
  <c r="N9" i="117"/>
  <c r="W10" i="11" s="1"/>
  <c r="N17" i="117"/>
  <c r="W18" i="11" s="1"/>
  <c r="N9" i="119"/>
  <c r="Y10" i="11" s="1"/>
  <c r="N17" i="119"/>
  <c r="Y18" i="11" s="1"/>
  <c r="N5" i="120"/>
  <c r="Z6" i="11" s="1"/>
  <c r="N13" i="120"/>
  <c r="Z14" i="11" s="1"/>
  <c r="N9" i="121"/>
  <c r="AA10" i="11" s="1"/>
  <c r="N17" i="121"/>
  <c r="AA18" i="11" s="1"/>
  <c r="N5" i="122"/>
  <c r="AB6" i="11" s="1"/>
  <c r="N13" i="122"/>
  <c r="AB14" i="11" s="1"/>
  <c r="N9" i="123"/>
  <c r="AC10" i="11" s="1"/>
  <c r="N17" i="123"/>
  <c r="AC18" i="11" s="1"/>
  <c r="N10" i="120"/>
  <c r="Z11" i="11" s="1"/>
  <c r="N18" i="120"/>
  <c r="Z19" i="11" s="1"/>
  <c r="N8" i="112"/>
  <c r="R9" i="11" s="1"/>
  <c r="N16" i="112"/>
  <c r="R17" i="11" s="1"/>
  <c r="N4" i="113"/>
  <c r="S5" i="11" s="1"/>
  <c r="N12" i="113"/>
  <c r="S13" i="11" s="1"/>
  <c r="N20" i="113"/>
  <c r="S21" i="11" s="1"/>
  <c r="N8" i="114"/>
  <c r="T9" i="11" s="1"/>
  <c r="N16" i="114"/>
  <c r="T17" i="11" s="1"/>
  <c r="N4" i="115"/>
  <c r="U5" i="11" s="1"/>
  <c r="N12" i="115"/>
  <c r="U13" i="11" s="1"/>
  <c r="N20" i="115"/>
  <c r="U21" i="11" s="1"/>
  <c r="N8" i="116"/>
  <c r="V9" i="11" s="1"/>
  <c r="N16" i="116"/>
  <c r="V17" i="11" s="1"/>
  <c r="N4" i="117"/>
  <c r="W5" i="11" s="1"/>
  <c r="N12" i="117"/>
  <c r="W13" i="11" s="1"/>
  <c r="N20" i="117"/>
  <c r="W21" i="11" s="1"/>
  <c r="N8" i="118"/>
  <c r="X9" i="11" s="1"/>
  <c r="N16" i="118"/>
  <c r="X17" i="11" s="1"/>
  <c r="N4" i="119"/>
  <c r="Y5" i="11" s="1"/>
  <c r="N12" i="119"/>
  <c r="Y13" i="11" s="1"/>
  <c r="N20" i="119"/>
  <c r="Y21" i="11" s="1"/>
  <c r="N8" i="120"/>
  <c r="Z9" i="11" s="1"/>
  <c r="N16" i="120"/>
  <c r="Z17" i="11" s="1"/>
  <c r="N4" i="121"/>
  <c r="AA5" i="11" s="1"/>
  <c r="N12" i="121"/>
  <c r="AA13" i="11" s="1"/>
  <c r="N20" i="121"/>
  <c r="AA21" i="11" s="1"/>
  <c r="N8" i="122"/>
  <c r="AB9" i="11" s="1"/>
  <c r="N16" i="122"/>
  <c r="AB17" i="11" s="1"/>
  <c r="N4" i="123"/>
  <c r="AC5" i="11" s="1"/>
  <c r="N12" i="123"/>
  <c r="AC13" i="11" s="1"/>
  <c r="N20" i="123"/>
  <c r="AC21" i="11" s="1"/>
  <c r="N7" i="123"/>
  <c r="AC8" i="11" s="1"/>
  <c r="N15" i="123"/>
  <c r="AC16" i="11" s="1"/>
  <c r="N10" i="115"/>
  <c r="N14" i="120"/>
  <c r="Z15" i="11" s="1"/>
  <c r="N9" i="112"/>
  <c r="R10" i="11" s="1"/>
  <c r="N17" i="112"/>
  <c r="R18" i="11" s="1"/>
  <c r="N5" i="113"/>
  <c r="S6" i="11" s="1"/>
  <c r="N13" i="113"/>
  <c r="S14" i="11" s="1"/>
  <c r="N9" i="114"/>
  <c r="T10" i="11" s="1"/>
  <c r="N5" i="115"/>
  <c r="U6" i="11" s="1"/>
  <c r="N13" i="115"/>
  <c r="N9" i="116"/>
  <c r="V10" i="11" s="1"/>
  <c r="N5" i="117"/>
  <c r="W6" i="11" s="1"/>
  <c r="N13" i="117"/>
  <c r="N9" i="118"/>
  <c r="X10" i="11" s="1"/>
  <c r="N5" i="119"/>
  <c r="Y6" i="11" s="1"/>
  <c r="N13" i="119"/>
  <c r="Y14" i="11" s="1"/>
  <c r="N9" i="120"/>
  <c r="Z10" i="11" s="1"/>
  <c r="N5" i="121"/>
  <c r="AA6" i="11" s="1"/>
  <c r="N13" i="121"/>
  <c r="N9" i="122"/>
  <c r="AB10" i="11" s="1"/>
  <c r="N5" i="123"/>
  <c r="AC6" i="11" s="1"/>
  <c r="N13" i="123"/>
  <c r="AC14" i="11" s="1"/>
  <c r="N22" i="120"/>
  <c r="Z23" i="11" s="1"/>
  <c r="N14" i="122"/>
  <c r="AB15" i="11" s="1"/>
  <c r="N4" i="112"/>
  <c r="R5" i="11" s="1"/>
  <c r="N12" i="112"/>
  <c r="N8" i="113"/>
  <c r="S9" i="11" s="1"/>
  <c r="N8" i="117"/>
  <c r="W9" i="11" s="1"/>
  <c r="N8" i="119"/>
  <c r="Y9" i="11" s="1"/>
  <c r="N4" i="120"/>
  <c r="Z5" i="11" s="1"/>
  <c r="N12" i="120"/>
  <c r="N8" i="121"/>
  <c r="AA9" i="11" s="1"/>
  <c r="N4" i="122"/>
  <c r="N12" i="122"/>
  <c r="AB13" i="11" s="1"/>
  <c r="N8" i="123"/>
  <c r="AC9" i="11" s="1"/>
  <c r="N17" i="104"/>
  <c r="J18" i="11" s="1"/>
  <c r="N9" i="106"/>
  <c r="L10" i="11" s="1"/>
  <c r="N13" i="107"/>
  <c r="M14" i="11" s="1"/>
  <c r="N3" i="107"/>
  <c r="M4" i="11" s="1"/>
  <c r="N11" i="107"/>
  <c r="M12" i="11" s="1"/>
  <c r="N19" i="107"/>
  <c r="M20" i="11" s="1"/>
  <c r="N7" i="108"/>
  <c r="N8" i="11" s="1"/>
  <c r="N15" i="108"/>
  <c r="N16" i="11" s="1"/>
  <c r="N3" i="109"/>
  <c r="O4" i="11" s="1"/>
  <c r="N11" i="109"/>
  <c r="O12" i="11" s="1"/>
  <c r="N19" i="109"/>
  <c r="O20" i="11" s="1"/>
  <c r="N7" i="110"/>
  <c r="P8" i="11" s="1"/>
  <c r="N15" i="110"/>
  <c r="P16" i="11" s="1"/>
  <c r="N3" i="111"/>
  <c r="Q4" i="11" s="1"/>
  <c r="N11" i="111"/>
  <c r="Q12" i="11" s="1"/>
  <c r="N19" i="111"/>
  <c r="Q20" i="11" s="1"/>
  <c r="N13" i="105"/>
  <c r="K14" i="11" s="1"/>
  <c r="N5" i="107"/>
  <c r="M6" i="11" s="1"/>
  <c r="N8" i="105"/>
  <c r="K9" i="11" s="1"/>
  <c r="N16" i="105"/>
  <c r="K17" i="11" s="1"/>
  <c r="N7" i="104"/>
  <c r="J8" i="11" s="1"/>
  <c r="N15" i="104"/>
  <c r="J16" i="11" s="1"/>
  <c r="N3" i="105"/>
  <c r="K4" i="11" s="1"/>
  <c r="N11" i="105"/>
  <c r="K12" i="11" s="1"/>
  <c r="N19" i="105"/>
  <c r="K20" i="11" s="1"/>
  <c r="N7" i="106"/>
  <c r="L8" i="11" s="1"/>
  <c r="N15" i="106"/>
  <c r="L16" i="11" s="1"/>
  <c r="N2" i="104"/>
  <c r="J3" i="11" s="1"/>
  <c r="N10" i="104"/>
  <c r="J11" i="11" s="1"/>
  <c r="N18" i="104"/>
  <c r="J19" i="11" s="1"/>
  <c r="N6" i="105"/>
  <c r="K7" i="11" s="1"/>
  <c r="N14" i="105"/>
  <c r="K15" i="11" s="1"/>
  <c r="N22" i="105"/>
  <c r="K23" i="11" s="1"/>
  <c r="N2" i="106"/>
  <c r="L3" i="11" s="1"/>
  <c r="N10" i="106"/>
  <c r="L11" i="11" s="1"/>
  <c r="N18" i="106"/>
  <c r="L19" i="11" s="1"/>
  <c r="N6" i="107"/>
  <c r="M7" i="11" s="1"/>
  <c r="N14" i="107"/>
  <c r="M15" i="11" s="1"/>
  <c r="N22" i="107"/>
  <c r="M23" i="11" s="1"/>
  <c r="N2" i="108"/>
  <c r="N3" i="11" s="1"/>
  <c r="N10" i="108"/>
  <c r="N11" i="11" s="1"/>
  <c r="N18" i="108"/>
  <c r="N19" i="11" s="1"/>
  <c r="N6" i="109"/>
  <c r="O7" i="11" s="1"/>
  <c r="N14" i="109"/>
  <c r="O15" i="11" s="1"/>
  <c r="N22" i="109"/>
  <c r="O23" i="11" s="1"/>
  <c r="N2" i="110"/>
  <c r="P3" i="11" s="1"/>
  <c r="N10" i="110"/>
  <c r="P11" i="11" s="1"/>
  <c r="N18" i="110"/>
  <c r="P19" i="11" s="1"/>
  <c r="N6" i="111"/>
  <c r="Q7" i="11" s="1"/>
  <c r="N14" i="111"/>
  <c r="Q15" i="11" s="1"/>
  <c r="N22" i="111"/>
  <c r="Q23" i="11" s="1"/>
  <c r="N5" i="108"/>
  <c r="N6" i="11" s="1"/>
  <c r="N13" i="108"/>
  <c r="N14" i="11" s="1"/>
  <c r="N9" i="109"/>
  <c r="O10" i="11" s="1"/>
  <c r="N17" i="109"/>
  <c r="O18" i="11" s="1"/>
  <c r="N5" i="110"/>
  <c r="P6" i="11" s="1"/>
  <c r="N13" i="110"/>
  <c r="P14" i="11" s="1"/>
  <c r="N9" i="111"/>
  <c r="Q10" i="11" s="1"/>
  <c r="N17" i="111"/>
  <c r="Q18" i="11" s="1"/>
  <c r="N9" i="107"/>
  <c r="M10" i="11" s="1"/>
  <c r="N12" i="105"/>
  <c r="K13" i="11" s="1"/>
  <c r="N4" i="107"/>
  <c r="M5" i="11" s="1"/>
  <c r="N12" i="107"/>
  <c r="M13" i="11" s="1"/>
  <c r="N20" i="107"/>
  <c r="M21" i="11" s="1"/>
  <c r="N8" i="108"/>
  <c r="N9" i="11" s="1"/>
  <c r="N16" i="108"/>
  <c r="N17" i="11" s="1"/>
  <c r="N12" i="109"/>
  <c r="O13" i="11" s="1"/>
  <c r="N8" i="110"/>
  <c r="P9" i="11" s="1"/>
  <c r="N16" i="110"/>
  <c r="P17" i="11" s="1"/>
  <c r="N12" i="111"/>
  <c r="Q13" i="11" s="1"/>
  <c r="N7" i="107"/>
  <c r="M8" i="11" s="1"/>
  <c r="N15" i="107"/>
  <c r="M16" i="11" s="1"/>
  <c r="N3" i="108"/>
  <c r="N4" i="11" s="1"/>
  <c r="N11" i="108"/>
  <c r="N12" i="11" s="1"/>
  <c r="N19" i="108"/>
  <c r="N20" i="11" s="1"/>
  <c r="N7" i="109"/>
  <c r="O8" i="11" s="1"/>
  <c r="N15" i="109"/>
  <c r="O16" i="11" s="1"/>
  <c r="N3" i="110"/>
  <c r="P4" i="11" s="1"/>
  <c r="N11" i="110"/>
  <c r="P12" i="11" s="1"/>
  <c r="N19" i="110"/>
  <c r="P20" i="11" s="1"/>
  <c r="N7" i="111"/>
  <c r="Q8" i="11" s="1"/>
  <c r="N15" i="111"/>
  <c r="Q16" i="11" s="1"/>
  <c r="N8" i="104"/>
  <c r="J9" i="11" s="1"/>
  <c r="N16" i="104"/>
  <c r="J17" i="11" s="1"/>
  <c r="N4" i="105"/>
  <c r="K5" i="11" s="1"/>
  <c r="N20" i="105"/>
  <c r="K21" i="11" s="1"/>
  <c r="N8" i="106"/>
  <c r="L9" i="11" s="1"/>
  <c r="N16" i="106"/>
  <c r="L17" i="11" s="1"/>
  <c r="N3" i="104"/>
  <c r="J4" i="11" s="1"/>
  <c r="N11" i="104"/>
  <c r="J12" i="11" s="1"/>
  <c r="N19" i="104"/>
  <c r="J20" i="11" s="1"/>
  <c r="N7" i="105"/>
  <c r="K8" i="11" s="1"/>
  <c r="N15" i="105"/>
  <c r="K16" i="11" s="1"/>
  <c r="N3" i="106"/>
  <c r="L4" i="11" s="1"/>
  <c r="N11" i="106"/>
  <c r="L12" i="11" s="1"/>
  <c r="N19" i="106"/>
  <c r="L20" i="11" s="1"/>
  <c r="N6" i="104"/>
  <c r="J7" i="11" s="1"/>
  <c r="N14" i="104"/>
  <c r="J15" i="11" s="1"/>
  <c r="N22" i="104"/>
  <c r="J23" i="11" s="1"/>
  <c r="N2" i="105"/>
  <c r="K3" i="11" s="1"/>
  <c r="N10" i="105"/>
  <c r="N6" i="106"/>
  <c r="L7" i="11" s="1"/>
  <c r="N14" i="106"/>
  <c r="N22" i="106"/>
  <c r="L23" i="11" s="1"/>
  <c r="N2" i="107"/>
  <c r="M3" i="11" s="1"/>
  <c r="N10" i="107"/>
  <c r="M11" i="11" s="1"/>
  <c r="N18" i="107"/>
  <c r="M19" i="11" s="1"/>
  <c r="N6" i="108"/>
  <c r="N7" i="11" s="1"/>
  <c r="N14" i="108"/>
  <c r="N15" i="11" s="1"/>
  <c r="N22" i="108"/>
  <c r="N23" i="11" s="1"/>
  <c r="N2" i="109"/>
  <c r="O3" i="11" s="1"/>
  <c r="N10" i="109"/>
  <c r="O11" i="11" s="1"/>
  <c r="N18" i="109"/>
  <c r="O19" i="11" s="1"/>
  <c r="N6" i="110"/>
  <c r="P7" i="11" s="1"/>
  <c r="N14" i="110"/>
  <c r="P15" i="11" s="1"/>
  <c r="N22" i="110"/>
  <c r="P23" i="11" s="1"/>
  <c r="N2" i="111"/>
  <c r="Q3" i="11" s="1"/>
  <c r="N10" i="111"/>
  <c r="N18" i="111"/>
  <c r="Q19" i="11" s="1"/>
  <c r="N9" i="108"/>
  <c r="N10" i="11" s="1"/>
  <c r="N17" i="108"/>
  <c r="N18" i="11" s="1"/>
  <c r="N5" i="109"/>
  <c r="O6" i="11" s="1"/>
  <c r="N13" i="109"/>
  <c r="O14" i="11" s="1"/>
  <c r="N9" i="110"/>
  <c r="P10" i="11" s="1"/>
  <c r="N17" i="110"/>
  <c r="P18" i="11" s="1"/>
  <c r="N5" i="111"/>
  <c r="Q6" i="11" s="1"/>
  <c r="N13" i="111"/>
  <c r="Q14" i="11" s="1"/>
  <c r="N17" i="105"/>
  <c r="K18" i="11" s="1"/>
  <c r="N4" i="104"/>
  <c r="J5" i="11" s="1"/>
  <c r="N12" i="104"/>
  <c r="J13" i="11" s="1"/>
  <c r="N4" i="106"/>
  <c r="L5" i="11" s="1"/>
  <c r="N12" i="106"/>
  <c r="L13" i="11" s="1"/>
  <c r="N8" i="107"/>
  <c r="M9" i="11" s="1"/>
  <c r="N4" i="108"/>
  <c r="N5" i="11" s="1"/>
  <c r="N12" i="108"/>
  <c r="N13" i="11" s="1"/>
  <c r="N8" i="109"/>
  <c r="O9" i="11" s="1"/>
  <c r="N4" i="110"/>
  <c r="P5" i="11" s="1"/>
  <c r="N12" i="110"/>
  <c r="P13" i="11" s="1"/>
  <c r="N8" i="111"/>
  <c r="Q9" i="11" s="1"/>
  <c r="N16" i="100"/>
  <c r="F17" i="11" s="1"/>
  <c r="N12" i="101"/>
  <c r="G13" i="11" s="1"/>
  <c r="N4" i="102"/>
  <c r="H5" i="11" s="1"/>
  <c r="N12" i="102"/>
  <c r="H13" i="11" s="1"/>
  <c r="N20" i="102"/>
  <c r="H21" i="11" s="1"/>
  <c r="N8" i="103"/>
  <c r="I9" i="11" s="1"/>
  <c r="N16" i="103"/>
  <c r="I17" i="11" s="1"/>
  <c r="N7" i="100"/>
  <c r="F8" i="11" s="1"/>
  <c r="N15" i="100"/>
  <c r="F16" i="11" s="1"/>
  <c r="N3" i="101"/>
  <c r="G4" i="11" s="1"/>
  <c r="N11" i="101"/>
  <c r="N19" i="101"/>
  <c r="G20" i="11" s="1"/>
  <c r="N7" i="102"/>
  <c r="H8" i="11" s="1"/>
  <c r="N15" i="102"/>
  <c r="H16" i="11" s="1"/>
  <c r="N3" i="103"/>
  <c r="I4" i="11" s="1"/>
  <c r="N11" i="103"/>
  <c r="I12" i="11" s="1"/>
  <c r="N19" i="103"/>
  <c r="I20" i="11" s="1"/>
  <c r="N20" i="100"/>
  <c r="F21" i="11" s="1"/>
  <c r="N16" i="101"/>
  <c r="G17" i="11" s="1"/>
  <c r="N2" i="100"/>
  <c r="F3" i="11" s="1"/>
  <c r="N18" i="100"/>
  <c r="F19" i="11" s="1"/>
  <c r="N8" i="100"/>
  <c r="F9" i="11" s="1"/>
  <c r="N4" i="100"/>
  <c r="F5" i="11" s="1"/>
  <c r="N12" i="100"/>
  <c r="F13" i="11" s="1"/>
  <c r="N8" i="101"/>
  <c r="G9" i="11" s="1"/>
  <c r="N10" i="100"/>
  <c r="F11" i="11" s="1"/>
  <c r="N6" i="101"/>
  <c r="G7" i="11" s="1"/>
  <c r="N14" i="101"/>
  <c r="G15" i="11" s="1"/>
  <c r="N22" i="101"/>
  <c r="G23" i="11" s="1"/>
  <c r="N2" i="102"/>
  <c r="H3" i="11" s="1"/>
  <c r="N10" i="102"/>
  <c r="H11" i="11" s="1"/>
  <c r="N18" i="102"/>
  <c r="H19" i="11" s="1"/>
  <c r="N6" i="103"/>
  <c r="I7" i="11" s="1"/>
  <c r="N14" i="103"/>
  <c r="I15" i="11" s="1"/>
  <c r="N22" i="103"/>
  <c r="I23" i="11" s="1"/>
  <c r="N5" i="100"/>
  <c r="F6" i="11" s="1"/>
  <c r="N13" i="100"/>
  <c r="F14" i="11" s="1"/>
  <c r="N9" i="101"/>
  <c r="G10" i="11" s="1"/>
  <c r="N17" i="101"/>
  <c r="G18" i="11" s="1"/>
  <c r="N5" i="102"/>
  <c r="H6" i="11" s="1"/>
  <c r="N13" i="102"/>
  <c r="H14" i="11" s="1"/>
  <c r="N9" i="103"/>
  <c r="I10" i="11" s="1"/>
  <c r="N17" i="103"/>
  <c r="I18" i="11" s="1"/>
  <c r="N3" i="100"/>
  <c r="F4" i="11" s="1"/>
  <c r="N11" i="100"/>
  <c r="N19" i="100"/>
  <c r="F20" i="11" s="1"/>
  <c r="N7" i="101"/>
  <c r="G8" i="11" s="1"/>
  <c r="N15" i="101"/>
  <c r="G16" i="11" s="1"/>
  <c r="N3" i="102"/>
  <c r="H4" i="11" s="1"/>
  <c r="N11" i="102"/>
  <c r="H12" i="11" s="1"/>
  <c r="N19" i="102"/>
  <c r="H20" i="11" s="1"/>
  <c r="N7" i="103"/>
  <c r="I8" i="11" s="1"/>
  <c r="N15" i="103"/>
  <c r="I16" i="11" s="1"/>
  <c r="N8" i="102"/>
  <c r="H9" i="11" s="1"/>
  <c r="N16" i="102"/>
  <c r="H17" i="11" s="1"/>
  <c r="N12" i="103"/>
  <c r="I13" i="11" s="1"/>
  <c r="N6" i="100"/>
  <c r="F7" i="11" s="1"/>
  <c r="N14" i="100"/>
  <c r="F15" i="11" s="1"/>
  <c r="N22" i="100"/>
  <c r="F23" i="11" s="1"/>
  <c r="N2" i="101"/>
  <c r="N10" i="101"/>
  <c r="N18" i="101"/>
  <c r="G19" i="11" s="1"/>
  <c r="N6" i="102"/>
  <c r="H7" i="11" s="1"/>
  <c r="N14" i="102"/>
  <c r="H15" i="11" s="1"/>
  <c r="N22" i="102"/>
  <c r="H23" i="11" s="1"/>
  <c r="N2" i="103"/>
  <c r="I3" i="11" s="1"/>
  <c r="N10" i="103"/>
  <c r="I11" i="11" s="1"/>
  <c r="N18" i="103"/>
  <c r="I19" i="11" s="1"/>
  <c r="N9" i="100"/>
  <c r="F10" i="11" s="1"/>
  <c r="N5" i="101"/>
  <c r="G6" i="11" s="1"/>
  <c r="N9" i="102"/>
  <c r="H10" i="11" s="1"/>
  <c r="N5" i="103"/>
  <c r="I6" i="11" s="1"/>
  <c r="N7" i="98"/>
  <c r="D8" i="11" s="1"/>
  <c r="N15" i="98"/>
  <c r="D16" i="11" s="1"/>
  <c r="N3" i="99"/>
  <c r="E4" i="11" s="1"/>
  <c r="N11" i="99"/>
  <c r="E12" i="11" s="1"/>
  <c r="N19" i="99"/>
  <c r="E20" i="11" s="1"/>
  <c r="N5" i="98"/>
  <c r="D6" i="11" s="1"/>
  <c r="N13" i="98"/>
  <c r="D14" i="11" s="1"/>
  <c r="N9" i="99"/>
  <c r="E10" i="11" s="1"/>
  <c r="N17" i="99"/>
  <c r="E18" i="11" s="1"/>
  <c r="N12" i="98"/>
  <c r="D13" i="11" s="1"/>
  <c r="N20" i="98"/>
  <c r="D21" i="11" s="1"/>
  <c r="N8" i="99"/>
  <c r="E9" i="11" s="1"/>
  <c r="N6" i="99"/>
  <c r="E7" i="11" s="1"/>
  <c r="N22" i="99"/>
  <c r="E23" i="11" s="1"/>
  <c r="N8" i="98"/>
  <c r="D9" i="11" s="1"/>
  <c r="N4" i="99"/>
  <c r="E5" i="11" s="1"/>
  <c r="N12" i="99"/>
  <c r="E13" i="11" s="1"/>
  <c r="N20" i="99"/>
  <c r="E21" i="11" s="1"/>
  <c r="N3" i="98"/>
  <c r="D4" i="11" s="1"/>
  <c r="N11" i="98"/>
  <c r="D12" i="11" s="1"/>
  <c r="N19" i="98"/>
  <c r="D20" i="11" s="1"/>
  <c r="N7" i="99"/>
  <c r="E8" i="11" s="1"/>
  <c r="N15" i="99"/>
  <c r="E16" i="11" s="1"/>
  <c r="N16" i="99"/>
  <c r="E17" i="11" s="1"/>
  <c r="N10" i="98"/>
  <c r="D11" i="11" s="1"/>
  <c r="N14" i="99"/>
  <c r="E15" i="11" s="1"/>
  <c r="N16" i="98"/>
  <c r="D17" i="11" s="1"/>
  <c r="N6" i="98"/>
  <c r="D7" i="11" s="1"/>
  <c r="N14" i="98"/>
  <c r="D15" i="11" s="1"/>
  <c r="N22" i="98"/>
  <c r="D23" i="11" s="1"/>
  <c r="N2" i="99"/>
  <c r="E3" i="11" s="1"/>
  <c r="N10" i="99"/>
  <c r="E11" i="11" s="1"/>
  <c r="N18" i="99"/>
  <c r="E19" i="11" s="1"/>
  <c r="N9" i="98"/>
  <c r="D10" i="11" s="1"/>
  <c r="N5" i="99"/>
  <c r="E6" i="11" s="1"/>
  <c r="N16" i="97"/>
  <c r="C17" i="11" s="1"/>
  <c r="N20" i="97"/>
  <c r="C21" i="11" s="1"/>
  <c r="N3" i="97"/>
  <c r="C4" i="11" s="1"/>
  <c r="N11" i="97"/>
  <c r="C12" i="11" s="1"/>
  <c r="N19" i="97"/>
  <c r="C20" i="11" s="1"/>
  <c r="N6" i="97"/>
  <c r="C7" i="11" s="1"/>
  <c r="N14" i="97"/>
  <c r="C15" i="11" s="1"/>
  <c r="N22" i="97"/>
  <c r="C23" i="11" s="1"/>
  <c r="N9" i="97"/>
  <c r="C10" i="11" s="1"/>
  <c r="N17" i="97"/>
  <c r="C18" i="11" s="1"/>
  <c r="N7" i="97"/>
  <c r="C8" i="11" s="1"/>
  <c r="N15" i="97"/>
  <c r="C16" i="11" s="1"/>
  <c r="N2" i="97"/>
  <c r="C3" i="11" s="1"/>
  <c r="N10" i="97"/>
  <c r="C11" i="11" s="1"/>
  <c r="N18" i="97"/>
  <c r="C19" i="11" s="1"/>
  <c r="N5" i="97"/>
  <c r="C6" i="11" s="1"/>
  <c r="N13" i="97"/>
  <c r="C14" i="11" s="1"/>
  <c r="N4" i="97"/>
  <c r="C5" i="11" s="1"/>
  <c r="N12" i="97"/>
  <c r="C13" i="11" s="1"/>
  <c r="N8" i="97"/>
  <c r="C9" i="11" s="1"/>
  <c r="J390" i="4"/>
  <c r="I390" i="4"/>
  <c r="J389" i="4"/>
  <c r="I389" i="4"/>
  <c r="J388" i="4"/>
  <c r="I388" i="4"/>
  <c r="J387" i="4"/>
  <c r="I387" i="4"/>
  <c r="J386" i="4"/>
  <c r="I386" i="4"/>
  <c r="J385" i="4"/>
  <c r="I385" i="4"/>
  <c r="J384" i="4"/>
  <c r="I384" i="4"/>
  <c r="J383" i="4"/>
  <c r="I383" i="4"/>
  <c r="J382" i="4"/>
  <c r="I382" i="4"/>
  <c r="J381" i="4"/>
  <c r="I381" i="4"/>
  <c r="J380" i="4"/>
  <c r="I380" i="4"/>
  <c r="J379" i="4"/>
  <c r="I379" i="4"/>
  <c r="J378" i="4"/>
  <c r="I378" i="4"/>
  <c r="J377" i="4"/>
  <c r="I377" i="4"/>
  <c r="J376" i="4"/>
  <c r="I376" i="4"/>
  <c r="J375" i="4"/>
  <c r="I375" i="4"/>
  <c r="J374" i="4"/>
  <c r="I374" i="4"/>
  <c r="J373" i="4"/>
  <c r="I373" i="4"/>
  <c r="J372" i="4"/>
  <c r="I372" i="4"/>
  <c r="J371" i="4"/>
  <c r="I371" i="4"/>
  <c r="J370" i="4"/>
  <c r="I370" i="4"/>
  <c r="J369" i="4"/>
  <c r="I369" i="4"/>
  <c r="J368" i="4"/>
  <c r="I368" i="4"/>
  <c r="J367" i="4"/>
  <c r="I367" i="4"/>
  <c r="J366" i="4"/>
  <c r="I366" i="4"/>
  <c r="J365" i="4"/>
  <c r="I365" i="4"/>
  <c r="J364" i="4"/>
  <c r="I364" i="4"/>
  <c r="J363" i="4"/>
  <c r="I363" i="4"/>
  <c r="J362" i="4"/>
  <c r="I362" i="4"/>
  <c r="J361" i="4"/>
  <c r="I361" i="4"/>
  <c r="J360" i="4"/>
  <c r="I360" i="4"/>
  <c r="J359" i="4"/>
  <c r="I359" i="4"/>
  <c r="J358" i="4"/>
  <c r="I358" i="4"/>
  <c r="J357" i="4"/>
  <c r="I357" i="4"/>
  <c r="J356" i="4"/>
  <c r="I356" i="4"/>
  <c r="J355" i="4"/>
  <c r="I355" i="4"/>
  <c r="J354" i="4"/>
  <c r="I354" i="4"/>
  <c r="J353" i="4"/>
  <c r="I353" i="4"/>
  <c r="J352" i="4"/>
  <c r="I352" i="4"/>
  <c r="J351" i="4"/>
  <c r="I351" i="4"/>
  <c r="J350" i="4"/>
  <c r="I350" i="4"/>
  <c r="J349" i="4"/>
  <c r="I349" i="4"/>
  <c r="J348" i="4"/>
  <c r="I348" i="4"/>
  <c r="J347" i="4"/>
  <c r="I347" i="4"/>
  <c r="J346" i="4"/>
  <c r="I346" i="4"/>
  <c r="J345" i="4"/>
  <c r="I345" i="4"/>
  <c r="J344" i="4"/>
  <c r="I344" i="4"/>
  <c r="J343" i="4"/>
  <c r="I343" i="4"/>
  <c r="J342" i="4"/>
  <c r="I342" i="4"/>
  <c r="J341" i="4"/>
  <c r="I341" i="4"/>
  <c r="J340" i="4"/>
  <c r="I340" i="4"/>
  <c r="J339" i="4"/>
  <c r="I339" i="4"/>
  <c r="J338" i="4"/>
  <c r="I338" i="4"/>
  <c r="J337" i="4"/>
  <c r="I337" i="4"/>
  <c r="J336" i="4"/>
  <c r="I336" i="4"/>
  <c r="J335" i="4"/>
  <c r="I335" i="4"/>
  <c r="J334" i="4"/>
  <c r="I334" i="4"/>
  <c r="J333" i="4"/>
  <c r="I333" i="4"/>
  <c r="J332" i="4"/>
  <c r="I332" i="4"/>
  <c r="J331" i="4"/>
  <c r="I331" i="4"/>
  <c r="J330" i="4"/>
  <c r="I330" i="4"/>
  <c r="J329" i="4"/>
  <c r="I329" i="4"/>
  <c r="J328" i="4"/>
  <c r="I328" i="4"/>
  <c r="J327" i="4"/>
  <c r="I327" i="4"/>
  <c r="J326" i="4"/>
  <c r="I326" i="4"/>
  <c r="J325" i="4"/>
  <c r="I325" i="4"/>
  <c r="J324" i="4"/>
  <c r="I324" i="4"/>
  <c r="J323" i="4"/>
  <c r="I323" i="4"/>
  <c r="J322" i="4"/>
  <c r="I322" i="4"/>
  <c r="J321" i="4"/>
  <c r="I321" i="4"/>
  <c r="J320" i="4"/>
  <c r="I320" i="4"/>
  <c r="J319" i="4"/>
  <c r="I319" i="4"/>
  <c r="J318" i="4"/>
  <c r="I318" i="4"/>
  <c r="J317" i="4"/>
  <c r="I317" i="4"/>
  <c r="J316" i="4"/>
  <c r="I316" i="4"/>
  <c r="J315" i="4"/>
  <c r="I315" i="4"/>
  <c r="J314" i="4"/>
  <c r="I314" i="4"/>
  <c r="J313" i="4"/>
  <c r="I313" i="4"/>
  <c r="J312" i="4"/>
  <c r="I312" i="4"/>
  <c r="J311" i="4"/>
  <c r="I311" i="4"/>
  <c r="J310" i="4"/>
  <c r="I310" i="4"/>
  <c r="J309" i="4"/>
  <c r="I309" i="4"/>
  <c r="J308" i="4"/>
  <c r="I308" i="4"/>
  <c r="J307" i="4"/>
  <c r="I307" i="4"/>
  <c r="J306" i="4"/>
  <c r="I306" i="4"/>
  <c r="J305" i="4"/>
  <c r="I305" i="4"/>
  <c r="J304" i="4"/>
  <c r="I304" i="4"/>
  <c r="J303" i="4"/>
  <c r="I303" i="4"/>
  <c r="J302" i="4"/>
  <c r="I302" i="4"/>
  <c r="J301" i="4"/>
  <c r="I301" i="4"/>
  <c r="J300" i="4"/>
  <c r="I300" i="4"/>
  <c r="J299" i="4"/>
  <c r="I299" i="4"/>
  <c r="J298" i="4"/>
  <c r="I298" i="4"/>
  <c r="J297" i="4"/>
  <c r="I297" i="4"/>
  <c r="J296" i="4"/>
  <c r="I296" i="4"/>
  <c r="J295" i="4"/>
  <c r="I295" i="4"/>
  <c r="J294" i="4"/>
  <c r="I294" i="4"/>
  <c r="J293" i="4"/>
  <c r="I293" i="4"/>
  <c r="J292" i="4"/>
  <c r="I292" i="4"/>
  <c r="J291" i="4"/>
  <c r="I291" i="4"/>
  <c r="J290" i="4"/>
  <c r="I290" i="4"/>
  <c r="J289" i="4"/>
  <c r="I289" i="4"/>
  <c r="J288" i="4"/>
  <c r="I288" i="4"/>
  <c r="J287" i="4"/>
  <c r="I287" i="4"/>
  <c r="J286" i="4"/>
  <c r="I286" i="4"/>
  <c r="J285" i="4"/>
  <c r="I285" i="4"/>
  <c r="J284" i="4"/>
  <c r="I284" i="4"/>
  <c r="J283" i="4"/>
  <c r="I283" i="4"/>
  <c r="J282" i="4"/>
  <c r="I282" i="4"/>
  <c r="J281" i="4"/>
  <c r="I281" i="4"/>
  <c r="J280" i="4"/>
  <c r="I280" i="4"/>
  <c r="J279" i="4"/>
  <c r="I279" i="4"/>
  <c r="J278" i="4"/>
  <c r="I278" i="4"/>
  <c r="J277" i="4"/>
  <c r="I277" i="4"/>
  <c r="J276" i="4"/>
  <c r="I276" i="4"/>
  <c r="J275" i="4"/>
  <c r="I275" i="4"/>
  <c r="J274" i="4"/>
  <c r="I274" i="4"/>
  <c r="J273" i="4"/>
  <c r="I273" i="4"/>
  <c r="J272" i="4"/>
  <c r="I272" i="4"/>
  <c r="J271" i="4"/>
  <c r="I271" i="4"/>
  <c r="J270" i="4"/>
  <c r="I270" i="4"/>
  <c r="J269" i="4"/>
  <c r="I269" i="4"/>
  <c r="J268" i="4"/>
  <c r="I268" i="4"/>
  <c r="J267" i="4"/>
  <c r="I267" i="4"/>
  <c r="J266" i="4"/>
  <c r="I266" i="4"/>
  <c r="J265" i="4"/>
  <c r="I265" i="4"/>
  <c r="J264" i="4"/>
  <c r="I264" i="4"/>
  <c r="J263" i="4"/>
  <c r="I263" i="4"/>
  <c r="J262" i="4"/>
  <c r="I262" i="4"/>
  <c r="J261" i="4"/>
  <c r="I261" i="4"/>
  <c r="J260" i="4"/>
  <c r="I260" i="4"/>
  <c r="J259" i="4"/>
  <c r="I259" i="4"/>
  <c r="J258" i="4"/>
  <c r="I258" i="4"/>
  <c r="J257" i="4"/>
  <c r="I257" i="4"/>
  <c r="J256" i="4"/>
  <c r="I256" i="4"/>
  <c r="J255" i="4"/>
  <c r="I255" i="4"/>
  <c r="J254" i="4"/>
  <c r="I254" i="4"/>
  <c r="J253" i="4"/>
  <c r="I253" i="4"/>
  <c r="J252" i="4"/>
  <c r="I252" i="4"/>
  <c r="J251" i="4"/>
  <c r="I251" i="4"/>
  <c r="J250" i="4"/>
  <c r="I250" i="4"/>
  <c r="J249" i="4"/>
  <c r="I249" i="4"/>
  <c r="J248" i="4"/>
  <c r="I248" i="4"/>
  <c r="J247" i="4"/>
  <c r="I247" i="4"/>
  <c r="J246" i="4"/>
  <c r="I246" i="4"/>
  <c r="J245" i="4"/>
  <c r="I245" i="4"/>
  <c r="J244" i="4"/>
  <c r="I244" i="4"/>
  <c r="J243" i="4"/>
  <c r="I243" i="4"/>
  <c r="J242" i="4"/>
  <c r="I242" i="4"/>
  <c r="J241" i="4"/>
  <c r="I241" i="4"/>
  <c r="J240" i="4"/>
  <c r="I240" i="4"/>
  <c r="J239" i="4"/>
  <c r="I239" i="4"/>
  <c r="J238" i="4"/>
  <c r="I238" i="4"/>
  <c r="J237" i="4"/>
  <c r="I237" i="4"/>
  <c r="J236" i="4"/>
  <c r="I236" i="4"/>
  <c r="J235" i="4"/>
  <c r="I235" i="4"/>
  <c r="J234" i="4"/>
  <c r="I234" i="4"/>
  <c r="J233" i="4"/>
  <c r="I233" i="4"/>
  <c r="J232" i="4"/>
  <c r="I232" i="4"/>
  <c r="J231" i="4"/>
  <c r="I231" i="4"/>
  <c r="J230" i="4"/>
  <c r="I230" i="4"/>
  <c r="J229" i="4"/>
  <c r="I229" i="4"/>
  <c r="J228" i="4"/>
  <c r="I228" i="4"/>
  <c r="J227" i="4"/>
  <c r="I227" i="4"/>
  <c r="J226" i="4"/>
  <c r="I226" i="4"/>
  <c r="J225" i="4"/>
  <c r="I225" i="4"/>
  <c r="J224" i="4"/>
  <c r="I224" i="4"/>
  <c r="J223" i="4"/>
  <c r="I223" i="4"/>
  <c r="J222" i="4"/>
  <c r="I222" i="4"/>
  <c r="J221" i="4"/>
  <c r="I221" i="4"/>
  <c r="J220" i="4"/>
  <c r="I220" i="4"/>
  <c r="J219" i="4"/>
  <c r="I219" i="4"/>
  <c r="J218" i="4"/>
  <c r="I218" i="4"/>
  <c r="J217" i="4"/>
  <c r="I217" i="4"/>
  <c r="J216" i="4"/>
  <c r="I216" i="4"/>
  <c r="J215" i="4"/>
  <c r="I215" i="4"/>
  <c r="J214" i="4"/>
  <c r="I214" i="4"/>
  <c r="J213" i="4"/>
  <c r="I213" i="4"/>
  <c r="J212" i="4"/>
  <c r="I212" i="4"/>
  <c r="J211" i="4"/>
  <c r="I211" i="4"/>
  <c r="J210" i="4"/>
  <c r="I210" i="4"/>
  <c r="J209" i="4"/>
  <c r="I209" i="4"/>
  <c r="J208" i="4"/>
  <c r="I208" i="4"/>
  <c r="J207" i="4"/>
  <c r="I207" i="4"/>
  <c r="J206" i="4"/>
  <c r="I206" i="4"/>
  <c r="J205" i="4"/>
  <c r="I205" i="4"/>
  <c r="J204" i="4"/>
  <c r="I204" i="4"/>
  <c r="J203" i="4"/>
  <c r="I203" i="4"/>
  <c r="J202" i="4"/>
  <c r="I202" i="4"/>
  <c r="J201" i="4"/>
  <c r="I201" i="4"/>
  <c r="J200" i="4"/>
  <c r="I200" i="4"/>
  <c r="J199" i="4"/>
  <c r="I199" i="4"/>
  <c r="J198" i="4"/>
  <c r="I198" i="4"/>
  <c r="J197" i="4"/>
  <c r="I197" i="4"/>
  <c r="J196" i="4"/>
  <c r="I196" i="4"/>
  <c r="J195" i="4"/>
  <c r="I195" i="4"/>
  <c r="J194" i="4"/>
  <c r="I194" i="4"/>
  <c r="J193" i="4"/>
  <c r="I193" i="4"/>
  <c r="J192" i="4"/>
  <c r="I192" i="4"/>
  <c r="J191" i="4"/>
  <c r="I191" i="4"/>
  <c r="J190" i="4"/>
  <c r="I190" i="4"/>
  <c r="J189" i="4"/>
  <c r="I189" i="4"/>
  <c r="J188" i="4"/>
  <c r="I188" i="4"/>
  <c r="J187" i="4"/>
  <c r="I187" i="4"/>
  <c r="J186" i="4"/>
  <c r="I186" i="4"/>
  <c r="J185" i="4"/>
  <c r="I185" i="4"/>
  <c r="J184" i="4"/>
  <c r="I184" i="4"/>
  <c r="J183" i="4"/>
  <c r="I183" i="4"/>
  <c r="J182" i="4"/>
  <c r="I182" i="4"/>
  <c r="J181" i="4"/>
  <c r="I181" i="4"/>
  <c r="J180" i="4"/>
  <c r="I180" i="4"/>
  <c r="J179" i="4"/>
  <c r="I179" i="4"/>
  <c r="J178" i="4"/>
  <c r="I178" i="4"/>
  <c r="J177" i="4"/>
  <c r="I177" i="4"/>
  <c r="J176" i="4"/>
  <c r="I176" i="4"/>
  <c r="J175" i="4"/>
  <c r="I175" i="4"/>
  <c r="J174" i="4"/>
  <c r="I174" i="4"/>
  <c r="J173" i="4"/>
  <c r="I173" i="4"/>
  <c r="J172" i="4"/>
  <c r="I172" i="4"/>
  <c r="J171" i="4"/>
  <c r="I171" i="4"/>
  <c r="J170" i="4"/>
  <c r="I170" i="4"/>
  <c r="J169" i="4"/>
  <c r="I169" i="4"/>
  <c r="J168" i="4"/>
  <c r="I168" i="4"/>
  <c r="J167" i="4"/>
  <c r="I167" i="4"/>
  <c r="J166" i="4"/>
  <c r="I166" i="4"/>
  <c r="J165" i="4"/>
  <c r="I165" i="4"/>
  <c r="J164" i="4"/>
  <c r="I164" i="4"/>
  <c r="J163" i="4"/>
  <c r="I163" i="4"/>
  <c r="J162" i="4"/>
  <c r="I162" i="4"/>
  <c r="J161" i="4"/>
  <c r="I161" i="4"/>
  <c r="J160" i="4"/>
  <c r="I160" i="4"/>
  <c r="J159" i="4"/>
  <c r="I159" i="4"/>
  <c r="J158" i="4"/>
  <c r="I158" i="4"/>
  <c r="J157" i="4"/>
  <c r="I157" i="4"/>
  <c r="J156" i="4"/>
  <c r="I156" i="4"/>
  <c r="J155" i="4"/>
  <c r="I155" i="4"/>
  <c r="J154" i="4"/>
  <c r="I154" i="4"/>
  <c r="J153" i="4"/>
  <c r="I153" i="4"/>
  <c r="J152" i="4"/>
  <c r="I152" i="4"/>
  <c r="J151" i="4"/>
  <c r="I151" i="4"/>
  <c r="J150" i="4"/>
  <c r="I150" i="4"/>
  <c r="J149" i="4"/>
  <c r="I149" i="4"/>
  <c r="J148" i="4"/>
  <c r="I148" i="4"/>
  <c r="J147" i="4"/>
  <c r="I147" i="4"/>
  <c r="J146" i="4"/>
  <c r="I146" i="4"/>
  <c r="J145" i="4"/>
  <c r="I145" i="4"/>
  <c r="J144" i="4"/>
  <c r="I144" i="4"/>
  <c r="J143" i="4"/>
  <c r="I143" i="4"/>
  <c r="J142" i="4"/>
  <c r="I142" i="4"/>
  <c r="J141" i="4"/>
  <c r="I141" i="4"/>
  <c r="J140" i="4"/>
  <c r="I140" i="4"/>
  <c r="J139" i="4"/>
  <c r="I139" i="4"/>
  <c r="J138" i="4"/>
  <c r="I138" i="4"/>
  <c r="J137" i="4"/>
  <c r="I137" i="4"/>
  <c r="J136" i="4"/>
  <c r="I136" i="4"/>
  <c r="J135" i="4"/>
  <c r="I135" i="4"/>
  <c r="J134" i="4"/>
  <c r="I134" i="4"/>
  <c r="J133" i="4"/>
  <c r="I133" i="4"/>
  <c r="J132" i="4"/>
  <c r="I132" i="4"/>
  <c r="J131" i="4"/>
  <c r="I131" i="4"/>
  <c r="J130" i="4"/>
  <c r="I130" i="4"/>
  <c r="J129" i="4"/>
  <c r="I129" i="4"/>
  <c r="J128" i="4"/>
  <c r="I128" i="4"/>
  <c r="J127" i="4"/>
  <c r="I127" i="4"/>
  <c r="J126" i="4"/>
  <c r="I126" i="4"/>
  <c r="J125" i="4"/>
  <c r="I125" i="4"/>
  <c r="J124" i="4"/>
  <c r="I124" i="4"/>
  <c r="J123" i="4"/>
  <c r="I123" i="4"/>
  <c r="J122" i="4"/>
  <c r="I122" i="4"/>
  <c r="J121" i="4"/>
  <c r="I121" i="4"/>
  <c r="J120" i="4"/>
  <c r="I120" i="4"/>
  <c r="J119" i="4"/>
  <c r="I119" i="4"/>
  <c r="J118" i="4"/>
  <c r="I118" i="4"/>
  <c r="J117" i="4"/>
  <c r="I117" i="4"/>
  <c r="J116" i="4"/>
  <c r="I116" i="4"/>
  <c r="J115" i="4"/>
  <c r="I115" i="4"/>
  <c r="J114" i="4"/>
  <c r="I114" i="4"/>
  <c r="J113" i="4"/>
  <c r="I113" i="4"/>
  <c r="J112" i="4"/>
  <c r="I112" i="4"/>
  <c r="J111" i="4"/>
  <c r="I111" i="4"/>
  <c r="J110" i="4"/>
  <c r="I110" i="4"/>
  <c r="J109" i="4"/>
  <c r="I109" i="4"/>
  <c r="J108" i="4"/>
  <c r="I108" i="4"/>
  <c r="J107" i="4"/>
  <c r="I107" i="4"/>
  <c r="J106" i="4"/>
  <c r="I106" i="4"/>
  <c r="J105" i="4"/>
  <c r="I105" i="4"/>
  <c r="J104" i="4"/>
  <c r="I104" i="4"/>
  <c r="J103" i="4"/>
  <c r="I103" i="4"/>
  <c r="J102" i="4"/>
  <c r="I102" i="4"/>
  <c r="J101" i="4"/>
  <c r="I101" i="4"/>
  <c r="J100" i="4"/>
  <c r="I100" i="4"/>
  <c r="J99" i="4"/>
  <c r="I99" i="4"/>
  <c r="J98" i="4"/>
  <c r="I98" i="4"/>
  <c r="J97" i="4"/>
  <c r="I97" i="4"/>
  <c r="J96" i="4"/>
  <c r="I96" i="4"/>
  <c r="J95" i="4"/>
  <c r="I95" i="4"/>
  <c r="J94" i="4"/>
  <c r="I94" i="4"/>
  <c r="J93" i="4"/>
  <c r="I93" i="4"/>
  <c r="J92" i="4"/>
  <c r="I92" i="4"/>
  <c r="J91" i="4"/>
  <c r="I91" i="4"/>
  <c r="J90" i="4"/>
  <c r="I90" i="4"/>
  <c r="J89" i="4"/>
  <c r="I89" i="4"/>
  <c r="J88" i="4"/>
  <c r="I88" i="4"/>
  <c r="J87" i="4"/>
  <c r="I87" i="4"/>
  <c r="J86" i="4"/>
  <c r="I86" i="4"/>
  <c r="J85" i="4"/>
  <c r="I85" i="4"/>
  <c r="J84" i="4"/>
  <c r="I84" i="4"/>
  <c r="J83" i="4"/>
  <c r="I83" i="4"/>
  <c r="J82" i="4"/>
  <c r="I82" i="4"/>
  <c r="J81" i="4"/>
  <c r="I81" i="4"/>
  <c r="J80" i="4"/>
  <c r="I80" i="4"/>
  <c r="J79" i="4"/>
  <c r="I79" i="4"/>
  <c r="J78" i="4"/>
  <c r="I78" i="4"/>
  <c r="J77" i="4"/>
  <c r="I77" i="4"/>
  <c r="J76" i="4"/>
  <c r="I76" i="4"/>
  <c r="J75" i="4"/>
  <c r="I75" i="4"/>
  <c r="J74" i="4"/>
  <c r="I74" i="4"/>
  <c r="J73" i="4"/>
  <c r="I73" i="4"/>
  <c r="J72" i="4"/>
  <c r="I72" i="4"/>
  <c r="J71" i="4"/>
  <c r="I71" i="4"/>
  <c r="J70" i="4"/>
  <c r="I70" i="4"/>
  <c r="J69" i="4"/>
  <c r="I69" i="4"/>
  <c r="J68" i="4"/>
  <c r="I68" i="4"/>
  <c r="J67" i="4"/>
  <c r="I67" i="4"/>
  <c r="J66" i="4"/>
  <c r="I66" i="4"/>
  <c r="J65" i="4"/>
  <c r="I65" i="4"/>
  <c r="J64" i="4"/>
  <c r="I64" i="4"/>
  <c r="J63" i="4"/>
  <c r="I63" i="4"/>
  <c r="J62" i="4"/>
  <c r="I62" i="4"/>
  <c r="J61" i="4"/>
  <c r="I61" i="4"/>
  <c r="J60" i="4"/>
  <c r="I60" i="4"/>
  <c r="J59" i="4"/>
  <c r="I59" i="4"/>
  <c r="J58" i="4"/>
  <c r="I58" i="4"/>
  <c r="J57" i="4"/>
  <c r="I57" i="4"/>
  <c r="J56" i="4"/>
  <c r="I56" i="4"/>
  <c r="J55" i="4"/>
  <c r="I55" i="4"/>
  <c r="J54" i="4"/>
  <c r="I54" i="4"/>
  <c r="J53" i="4"/>
  <c r="I53" i="4"/>
  <c r="J52" i="4"/>
  <c r="I52" i="4"/>
  <c r="J51" i="4"/>
  <c r="I51" i="4"/>
  <c r="J50" i="4"/>
  <c r="I50" i="4"/>
  <c r="J49" i="4"/>
  <c r="I49" i="4"/>
  <c r="J48" i="4"/>
  <c r="I48" i="4"/>
  <c r="J47" i="4"/>
  <c r="I47" i="4"/>
  <c r="J46" i="4"/>
  <c r="I46" i="4"/>
  <c r="L6" i="8"/>
  <c r="L7" i="8"/>
  <c r="L8" i="8"/>
  <c r="L9" i="8"/>
  <c r="L10" i="8"/>
  <c r="L11" i="8"/>
  <c r="K22" i="11" l="1"/>
  <c r="L22" i="11"/>
  <c r="F22" i="11"/>
  <c r="G11" i="11"/>
  <c r="F12" i="11"/>
  <c r="AA14" i="11"/>
  <c r="V13" i="11"/>
  <c r="G3" i="11"/>
  <c r="L15" i="11"/>
  <c r="R13" i="11"/>
  <c r="U14" i="11"/>
  <c r="U11" i="11"/>
  <c r="X22" i="11"/>
  <c r="G12" i="11"/>
  <c r="Q11" i="11"/>
  <c r="AB5" i="11"/>
  <c r="Y22" i="11"/>
  <c r="U22" i="11"/>
  <c r="I22" i="11"/>
  <c r="V22" i="11"/>
  <c r="K11" i="11"/>
  <c r="T12" i="11"/>
  <c r="Z13" i="11"/>
  <c r="S11" i="11"/>
  <c r="AC22" i="11"/>
  <c r="Q22" i="11"/>
  <c r="W22" i="11"/>
  <c r="E22" i="11"/>
  <c r="C22" i="11"/>
  <c r="H22" i="11"/>
  <c r="W14" i="11"/>
  <c r="X12" i="11"/>
  <c r="P22" i="11"/>
  <c r="G14" i="11"/>
  <c r="X13" i="11"/>
  <c r="AA22" i="11"/>
  <c r="AB22" i="11"/>
  <c r="D22" i="11"/>
  <c r="R22" i="11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E22" i="8" l="1"/>
  <c r="D22" i="8"/>
  <c r="C22" i="8"/>
  <c r="B22" i="8"/>
  <c r="A22" i="8"/>
  <c r="E24" i="8"/>
  <c r="D24" i="8"/>
  <c r="C24" i="8"/>
  <c r="B24" i="8"/>
  <c r="A24" i="8"/>
  <c r="E26" i="8"/>
  <c r="D26" i="8"/>
  <c r="C26" i="8"/>
  <c r="B26" i="8"/>
  <c r="A26" i="8"/>
  <c r="E28" i="8"/>
  <c r="D28" i="8"/>
  <c r="C28" i="8"/>
  <c r="B28" i="8"/>
  <c r="A28" i="8"/>
  <c r="E30" i="8"/>
  <c r="D30" i="8"/>
  <c r="C30" i="8"/>
  <c r="B30" i="8"/>
  <c r="A30" i="8"/>
  <c r="E85" i="8"/>
  <c r="D85" i="8"/>
  <c r="C85" i="8"/>
  <c r="B85" i="8"/>
  <c r="A85" i="8"/>
  <c r="E84" i="8"/>
  <c r="D84" i="8"/>
  <c r="C84" i="8"/>
  <c r="B84" i="8"/>
  <c r="A84" i="8"/>
  <c r="E83" i="8"/>
  <c r="D83" i="8"/>
  <c r="C83" i="8"/>
  <c r="B83" i="8"/>
  <c r="A83" i="8"/>
  <c r="E313" i="8"/>
  <c r="D313" i="8"/>
  <c r="C313" i="8"/>
  <c r="B313" i="8"/>
  <c r="A313" i="8"/>
  <c r="E312" i="8"/>
  <c r="D312" i="8"/>
  <c r="C312" i="8"/>
  <c r="B312" i="8"/>
  <c r="A312" i="8"/>
  <c r="E311" i="8"/>
  <c r="D311" i="8"/>
  <c r="C311" i="8"/>
  <c r="B311" i="8"/>
  <c r="A311" i="8"/>
  <c r="E21" i="8"/>
  <c r="D21" i="8"/>
  <c r="C21" i="8"/>
  <c r="B21" i="8"/>
  <c r="A21" i="8"/>
  <c r="E20" i="8"/>
  <c r="D20" i="8"/>
  <c r="C20" i="8"/>
  <c r="B20" i="8"/>
  <c r="A20" i="8"/>
  <c r="E19" i="8"/>
  <c r="D19" i="8"/>
  <c r="C19" i="8"/>
  <c r="B19" i="8"/>
  <c r="A19" i="8"/>
  <c r="E249" i="8"/>
  <c r="D249" i="8"/>
  <c r="C249" i="8"/>
  <c r="B249" i="8"/>
  <c r="A249" i="8"/>
  <c r="E250" i="8"/>
  <c r="D250" i="8"/>
  <c r="C250" i="8"/>
  <c r="B250" i="8"/>
  <c r="A250" i="8"/>
  <c r="E248" i="8"/>
  <c r="D248" i="8"/>
  <c r="C248" i="8"/>
  <c r="B248" i="8"/>
  <c r="A248" i="8"/>
  <c r="E266" i="8"/>
  <c r="D266" i="8"/>
  <c r="C266" i="8"/>
  <c r="B266" i="8"/>
  <c r="A266" i="8"/>
  <c r="E265" i="8"/>
  <c r="D265" i="8"/>
  <c r="C265" i="8"/>
  <c r="B265" i="8"/>
  <c r="A265" i="8"/>
  <c r="E264" i="8"/>
  <c r="D264" i="8"/>
  <c r="C264" i="8"/>
  <c r="B264" i="8"/>
  <c r="A264" i="8"/>
  <c r="E295" i="8"/>
  <c r="D295" i="8"/>
  <c r="C295" i="8"/>
  <c r="B295" i="8"/>
  <c r="A295" i="8"/>
  <c r="E294" i="8"/>
  <c r="D294" i="8"/>
  <c r="C294" i="8"/>
  <c r="B294" i="8"/>
  <c r="A294" i="8"/>
  <c r="E293" i="8"/>
  <c r="D293" i="8"/>
  <c r="C293" i="8"/>
  <c r="B293" i="8"/>
  <c r="A293" i="8"/>
  <c r="E167" i="8"/>
  <c r="D167" i="8"/>
  <c r="C167" i="8"/>
  <c r="B167" i="8"/>
  <c r="A167" i="8"/>
  <c r="E166" i="8"/>
  <c r="D166" i="8"/>
  <c r="C166" i="8"/>
  <c r="B166" i="8"/>
  <c r="A166" i="8"/>
  <c r="E165" i="8"/>
  <c r="D165" i="8"/>
  <c r="C165" i="8"/>
  <c r="B165" i="8"/>
  <c r="A165" i="8"/>
  <c r="E77" i="8"/>
  <c r="D77" i="8"/>
  <c r="C77" i="8"/>
  <c r="B77" i="8"/>
  <c r="A77" i="8"/>
  <c r="E76" i="8"/>
  <c r="D76" i="8"/>
  <c r="C76" i="8"/>
  <c r="B76" i="8"/>
  <c r="A76" i="8"/>
  <c r="E75" i="8"/>
  <c r="D75" i="8"/>
  <c r="C75" i="8"/>
  <c r="B75" i="8"/>
  <c r="A75" i="8"/>
  <c r="E68" i="8"/>
  <c r="D68" i="8"/>
  <c r="C68" i="8"/>
  <c r="B68" i="8"/>
  <c r="A68" i="8"/>
  <c r="E67" i="8"/>
  <c r="D67" i="8"/>
  <c r="C67" i="8"/>
  <c r="B67" i="8"/>
  <c r="A67" i="8"/>
  <c r="E66" i="8"/>
  <c r="D66" i="8"/>
  <c r="C66" i="8"/>
  <c r="B66" i="8"/>
  <c r="A66" i="8"/>
  <c r="E130" i="8"/>
  <c r="D130" i="8"/>
  <c r="C130" i="8"/>
  <c r="B130" i="8"/>
  <c r="A130" i="8"/>
  <c r="E129" i="8"/>
  <c r="D129" i="8"/>
  <c r="C129" i="8"/>
  <c r="B129" i="8"/>
  <c r="A129" i="8"/>
  <c r="E128" i="8"/>
  <c r="D128" i="8"/>
  <c r="C128" i="8"/>
  <c r="B128" i="8"/>
  <c r="A128" i="8"/>
  <c r="E121" i="8"/>
  <c r="D121" i="8"/>
  <c r="C121" i="8"/>
  <c r="B121" i="8"/>
  <c r="A121" i="8"/>
  <c r="E120" i="8"/>
  <c r="D120" i="8"/>
  <c r="C120" i="8"/>
  <c r="B120" i="8"/>
  <c r="A120" i="8"/>
  <c r="E119" i="8"/>
  <c r="D119" i="8"/>
  <c r="C119" i="8"/>
  <c r="B119" i="8"/>
  <c r="A119" i="8"/>
  <c r="E211" i="8"/>
  <c r="D211" i="8"/>
  <c r="C211" i="8"/>
  <c r="B211" i="8"/>
  <c r="A211" i="8"/>
  <c r="E210" i="8"/>
  <c r="D210" i="8"/>
  <c r="C210" i="8"/>
  <c r="B210" i="8"/>
  <c r="A210" i="8"/>
  <c r="E209" i="8"/>
  <c r="D209" i="8"/>
  <c r="C209" i="8"/>
  <c r="B209" i="8"/>
  <c r="A209" i="8"/>
  <c r="E291" i="8"/>
  <c r="D291" i="8"/>
  <c r="C291" i="8"/>
  <c r="B291" i="8"/>
  <c r="A291" i="8"/>
  <c r="E290" i="8"/>
  <c r="D290" i="8"/>
  <c r="C290" i="8"/>
  <c r="B290" i="8"/>
  <c r="A290" i="8"/>
  <c r="E289" i="8"/>
  <c r="D289" i="8"/>
  <c r="C289" i="8"/>
  <c r="B289" i="8"/>
  <c r="A289" i="8"/>
  <c r="E317" i="8"/>
  <c r="D317" i="8"/>
  <c r="C317" i="8"/>
  <c r="B317" i="8"/>
  <c r="A317" i="8"/>
  <c r="E316" i="8"/>
  <c r="D316" i="8"/>
  <c r="C316" i="8"/>
  <c r="B316" i="8"/>
  <c r="A316" i="8"/>
  <c r="E315" i="8"/>
  <c r="D315" i="8"/>
  <c r="C315" i="8"/>
  <c r="B315" i="8"/>
  <c r="A315" i="8"/>
  <c r="E107" i="8"/>
  <c r="D107" i="8"/>
  <c r="C107" i="8"/>
  <c r="B107" i="8"/>
  <c r="A107" i="8"/>
  <c r="E106" i="8"/>
  <c r="D106" i="8"/>
  <c r="C106" i="8"/>
  <c r="B106" i="8"/>
  <c r="A106" i="8"/>
  <c r="E105" i="8"/>
  <c r="D105" i="8"/>
  <c r="C105" i="8"/>
  <c r="B105" i="8"/>
  <c r="A105" i="8"/>
  <c r="E49" i="8"/>
  <c r="D49" i="8"/>
  <c r="C49" i="8"/>
  <c r="B49" i="8"/>
  <c r="A49" i="8"/>
  <c r="E48" i="8"/>
  <c r="D48" i="8"/>
  <c r="C48" i="8"/>
  <c r="B48" i="8"/>
  <c r="A48" i="8"/>
  <c r="E47" i="8"/>
  <c r="D47" i="8"/>
  <c r="C47" i="8"/>
  <c r="B47" i="8"/>
  <c r="A47" i="8"/>
  <c r="E43" i="8"/>
  <c r="D43" i="8"/>
  <c r="C43" i="8"/>
  <c r="B43" i="8"/>
  <c r="A43" i="8"/>
  <c r="E42" i="8"/>
  <c r="D42" i="8"/>
  <c r="C42" i="8"/>
  <c r="B42" i="8"/>
  <c r="A42" i="8"/>
  <c r="E41" i="8"/>
  <c r="D41" i="8"/>
  <c r="C41" i="8"/>
  <c r="B41" i="8"/>
  <c r="A41" i="8"/>
  <c r="E194" i="8"/>
  <c r="D194" i="8"/>
  <c r="C194" i="8"/>
  <c r="B194" i="8"/>
  <c r="A194" i="8"/>
  <c r="E193" i="8"/>
  <c r="D193" i="8"/>
  <c r="C193" i="8"/>
  <c r="B193" i="8"/>
  <c r="A193" i="8"/>
  <c r="E192" i="8"/>
  <c r="D192" i="8"/>
  <c r="C192" i="8"/>
  <c r="B192" i="8"/>
  <c r="A192" i="8"/>
  <c r="E62" i="8"/>
  <c r="D62" i="8"/>
  <c r="C62" i="8"/>
  <c r="B62" i="8"/>
  <c r="A62" i="8"/>
  <c r="E61" i="8"/>
  <c r="D61" i="8"/>
  <c r="C61" i="8"/>
  <c r="B61" i="8"/>
  <c r="A61" i="8"/>
  <c r="E60" i="8"/>
  <c r="D60" i="8"/>
  <c r="C60" i="8"/>
  <c r="B60" i="8"/>
  <c r="A60" i="8"/>
  <c r="E282" i="8"/>
  <c r="D282" i="8"/>
  <c r="C282" i="8"/>
  <c r="B282" i="8"/>
  <c r="A282" i="8"/>
  <c r="E281" i="8"/>
  <c r="D281" i="8"/>
  <c r="C281" i="8"/>
  <c r="B281" i="8"/>
  <c r="A281" i="8"/>
  <c r="E280" i="8"/>
  <c r="D280" i="8"/>
  <c r="C280" i="8"/>
  <c r="B280" i="8"/>
  <c r="A280" i="8"/>
  <c r="E240" i="8"/>
  <c r="D240" i="8"/>
  <c r="C240" i="8"/>
  <c r="B240" i="8"/>
  <c r="A240" i="8"/>
  <c r="E239" i="8"/>
  <c r="D239" i="8"/>
  <c r="C239" i="8"/>
  <c r="B239" i="8"/>
  <c r="A239" i="8"/>
  <c r="E238" i="8"/>
  <c r="D238" i="8"/>
  <c r="C238" i="8"/>
  <c r="B238" i="8"/>
  <c r="A238" i="8"/>
  <c r="E139" i="8"/>
  <c r="D139" i="8"/>
  <c r="C139" i="8"/>
  <c r="B139" i="8"/>
  <c r="A139" i="8"/>
  <c r="E138" i="8"/>
  <c r="D138" i="8"/>
  <c r="C138" i="8"/>
  <c r="B138" i="8"/>
  <c r="A138" i="8"/>
  <c r="E137" i="8"/>
  <c r="D137" i="8"/>
  <c r="C137" i="8"/>
  <c r="B137" i="8"/>
  <c r="A137" i="8"/>
  <c r="E39" i="8"/>
  <c r="D39" i="8"/>
  <c r="C39" i="8"/>
  <c r="B39" i="8"/>
  <c r="A39" i="8"/>
  <c r="E38" i="8"/>
  <c r="D38" i="8"/>
  <c r="C38" i="8"/>
  <c r="B38" i="8"/>
  <c r="A38" i="8"/>
  <c r="E37" i="8"/>
  <c r="D37" i="8"/>
  <c r="C37" i="8"/>
  <c r="B37" i="8"/>
  <c r="A37" i="8"/>
  <c r="E34" i="8"/>
  <c r="D34" i="8"/>
  <c r="C34" i="8"/>
  <c r="B34" i="8"/>
  <c r="A34" i="8"/>
  <c r="E33" i="8"/>
  <c r="D33" i="8"/>
  <c r="C33" i="8"/>
  <c r="B33" i="8"/>
  <c r="A33" i="8"/>
  <c r="E32" i="8"/>
  <c r="D32" i="8"/>
  <c r="C32" i="8"/>
  <c r="B32" i="8"/>
  <c r="A32" i="8"/>
  <c r="E81" i="8"/>
  <c r="D81" i="8"/>
  <c r="C81" i="8"/>
  <c r="B81" i="8"/>
  <c r="A81" i="8"/>
  <c r="E80" i="8"/>
  <c r="D80" i="8"/>
  <c r="C80" i="8"/>
  <c r="B80" i="8"/>
  <c r="A80" i="8"/>
  <c r="E79" i="8"/>
  <c r="D79" i="8"/>
  <c r="C79" i="8"/>
  <c r="B79" i="8"/>
  <c r="A79" i="8"/>
  <c r="E94" i="8"/>
  <c r="D94" i="8"/>
  <c r="C94" i="8"/>
  <c r="B94" i="8"/>
  <c r="A94" i="8"/>
  <c r="E93" i="8"/>
  <c r="D93" i="8"/>
  <c r="C93" i="8"/>
  <c r="B93" i="8"/>
  <c r="A93" i="8"/>
  <c r="E92" i="8"/>
  <c r="D92" i="8"/>
  <c r="C92" i="8"/>
  <c r="B92" i="8"/>
  <c r="A92" i="8"/>
  <c r="E205" i="8"/>
  <c r="D205" i="8"/>
  <c r="C205" i="8"/>
  <c r="B205" i="8"/>
  <c r="A205" i="8"/>
  <c r="E204" i="8"/>
  <c r="D204" i="8"/>
  <c r="C204" i="8"/>
  <c r="B204" i="8"/>
  <c r="A204" i="8"/>
  <c r="E203" i="8"/>
  <c r="D203" i="8"/>
  <c r="C203" i="8"/>
  <c r="B203" i="8"/>
  <c r="A203" i="8"/>
  <c r="E287" i="8"/>
  <c r="D287" i="8"/>
  <c r="C287" i="8"/>
  <c r="B287" i="8"/>
  <c r="A287" i="8"/>
  <c r="E286" i="8"/>
  <c r="D286" i="8"/>
  <c r="C286" i="8"/>
  <c r="B286" i="8"/>
  <c r="A286" i="8"/>
  <c r="E285" i="8"/>
  <c r="D285" i="8"/>
  <c r="C285" i="8"/>
  <c r="B285" i="8"/>
  <c r="A285" i="8"/>
  <c r="E345" i="8"/>
  <c r="D345" i="8"/>
  <c r="C345" i="8"/>
  <c r="B345" i="8"/>
  <c r="A345" i="8"/>
  <c r="E57" i="8"/>
  <c r="D57" i="8"/>
  <c r="C57" i="8"/>
  <c r="B57" i="8"/>
  <c r="A57" i="8"/>
  <c r="E56" i="8"/>
  <c r="D56" i="8"/>
  <c r="C56" i="8"/>
  <c r="B56" i="8"/>
  <c r="A56" i="8"/>
  <c r="E55" i="8"/>
  <c r="D55" i="8"/>
  <c r="C55" i="8"/>
  <c r="B55" i="8"/>
  <c r="A55" i="8"/>
  <c r="E157" i="8"/>
  <c r="D157" i="8"/>
  <c r="C157" i="8"/>
  <c r="B157" i="8"/>
  <c r="A157" i="8"/>
  <c r="E156" i="8"/>
  <c r="D156" i="8"/>
  <c r="C156" i="8"/>
  <c r="B156" i="8"/>
  <c r="A156" i="8"/>
  <c r="E155" i="8"/>
  <c r="D155" i="8"/>
  <c r="C155" i="8"/>
  <c r="B155" i="8"/>
  <c r="A155" i="8"/>
  <c r="E385" i="8"/>
  <c r="D385" i="8"/>
  <c r="C385" i="8"/>
  <c r="B385" i="8"/>
  <c r="A385" i="8"/>
  <c r="E384" i="8"/>
  <c r="D384" i="8"/>
  <c r="C384" i="8"/>
  <c r="B384" i="8"/>
  <c r="A384" i="8"/>
  <c r="E383" i="8"/>
  <c r="D383" i="8"/>
  <c r="C383" i="8"/>
  <c r="B383" i="8"/>
  <c r="A383" i="8"/>
  <c r="E371" i="8"/>
  <c r="D371" i="8"/>
  <c r="C371" i="8"/>
  <c r="B371" i="8"/>
  <c r="A371" i="8"/>
  <c r="E369" i="8"/>
  <c r="D369" i="8"/>
  <c r="C369" i="8"/>
  <c r="B369" i="8"/>
  <c r="A369" i="8"/>
  <c r="E368" i="8"/>
  <c r="D368" i="8"/>
  <c r="C368" i="8"/>
  <c r="B368" i="8"/>
  <c r="A368" i="8"/>
  <c r="E367" i="8"/>
  <c r="D367" i="8"/>
  <c r="C367" i="8"/>
  <c r="B367" i="8"/>
  <c r="A367" i="8"/>
  <c r="E373" i="8"/>
  <c r="D373" i="8"/>
  <c r="C373" i="8"/>
  <c r="B373" i="8"/>
  <c r="A373" i="8"/>
  <c r="E372" i="8"/>
  <c r="D372" i="8"/>
  <c r="C372" i="8"/>
  <c r="B372" i="8"/>
  <c r="A372" i="8"/>
  <c r="E364" i="8"/>
  <c r="D364" i="8"/>
  <c r="C364" i="8"/>
  <c r="B364" i="8"/>
  <c r="A364" i="8"/>
  <c r="E308" i="8"/>
  <c r="D308" i="8"/>
  <c r="C308" i="8"/>
  <c r="B308" i="8"/>
  <c r="A308" i="8"/>
  <c r="E307" i="8"/>
  <c r="D307" i="8"/>
  <c r="C307" i="8"/>
  <c r="B307" i="8"/>
  <c r="A307" i="8"/>
  <c r="E306" i="8"/>
  <c r="D306" i="8"/>
  <c r="C306" i="8"/>
  <c r="B306" i="8"/>
  <c r="A306" i="8"/>
  <c r="E303" i="8"/>
  <c r="D303" i="8"/>
  <c r="C303" i="8"/>
  <c r="B303" i="8"/>
  <c r="A303" i="8"/>
  <c r="E302" i="8"/>
  <c r="D302" i="8"/>
  <c r="C302" i="8"/>
  <c r="B302" i="8"/>
  <c r="A302" i="8"/>
  <c r="E301" i="8"/>
  <c r="D301" i="8"/>
  <c r="C301" i="8"/>
  <c r="B301" i="8"/>
  <c r="A301" i="8"/>
  <c r="E278" i="8"/>
  <c r="D278" i="8"/>
  <c r="C278" i="8"/>
  <c r="B278" i="8"/>
  <c r="A278" i="8"/>
  <c r="E277" i="8"/>
  <c r="D277" i="8"/>
  <c r="C277" i="8"/>
  <c r="B277" i="8"/>
  <c r="A277" i="8"/>
  <c r="E276" i="8"/>
  <c r="D276" i="8"/>
  <c r="C276" i="8"/>
  <c r="B276" i="8"/>
  <c r="A276" i="8"/>
  <c r="E186" i="8"/>
  <c r="D186" i="8"/>
  <c r="C186" i="8"/>
  <c r="B186" i="8"/>
  <c r="A186" i="8"/>
  <c r="E185" i="8"/>
  <c r="D185" i="8"/>
  <c r="C185" i="8"/>
  <c r="B185" i="8"/>
  <c r="A185" i="8"/>
  <c r="E184" i="8"/>
  <c r="D184" i="8"/>
  <c r="C184" i="8"/>
  <c r="B184" i="8"/>
  <c r="A184" i="8"/>
  <c r="E174" i="8"/>
  <c r="D174" i="8"/>
  <c r="C174" i="8"/>
  <c r="B174" i="8"/>
  <c r="A174" i="8"/>
  <c r="E173" i="8"/>
  <c r="D173" i="8"/>
  <c r="C173" i="8"/>
  <c r="B173" i="8"/>
  <c r="A173" i="8"/>
  <c r="E172" i="8"/>
  <c r="D172" i="8"/>
  <c r="C172" i="8"/>
  <c r="B172" i="8"/>
  <c r="A172" i="8"/>
  <c r="E180" i="8"/>
  <c r="D180" i="8"/>
  <c r="C180" i="8"/>
  <c r="B180" i="8"/>
  <c r="A180" i="8"/>
  <c r="E179" i="8"/>
  <c r="D179" i="8"/>
  <c r="C179" i="8"/>
  <c r="B179" i="8"/>
  <c r="A179" i="8"/>
  <c r="E178" i="8"/>
  <c r="D178" i="8"/>
  <c r="C178" i="8"/>
  <c r="B178" i="8"/>
  <c r="A178" i="8"/>
  <c r="E164" i="8"/>
  <c r="D164" i="8"/>
  <c r="C164" i="8"/>
  <c r="B164" i="8"/>
  <c r="A164" i="8"/>
  <c r="E163" i="8"/>
  <c r="D163" i="8"/>
  <c r="C163" i="8"/>
  <c r="B163" i="8"/>
  <c r="A163" i="8"/>
  <c r="E162" i="8"/>
  <c r="D162" i="8"/>
  <c r="C162" i="8"/>
  <c r="B162" i="8"/>
  <c r="A162" i="8"/>
  <c r="E146" i="8"/>
  <c r="D146" i="8"/>
  <c r="C146" i="8"/>
  <c r="B146" i="8"/>
  <c r="A146" i="8"/>
  <c r="E145" i="8"/>
  <c r="D145" i="8"/>
  <c r="C145" i="8"/>
  <c r="B145" i="8"/>
  <c r="A145" i="8"/>
  <c r="E144" i="8"/>
  <c r="D144" i="8"/>
  <c r="C144" i="8"/>
  <c r="B144" i="8"/>
  <c r="A144" i="8"/>
  <c r="E101" i="8"/>
  <c r="D101" i="8"/>
  <c r="C101" i="8"/>
  <c r="B101" i="8"/>
  <c r="A101" i="8"/>
  <c r="E100" i="8"/>
  <c r="D100" i="8"/>
  <c r="C100" i="8"/>
  <c r="B100" i="8"/>
  <c r="A100" i="8"/>
  <c r="E99" i="8"/>
  <c r="D99" i="8"/>
  <c r="C99" i="8"/>
  <c r="B99" i="8"/>
  <c r="A99" i="8"/>
  <c r="E53" i="8"/>
  <c r="D53" i="8"/>
  <c r="C53" i="8"/>
  <c r="B53" i="8"/>
  <c r="A53" i="8"/>
  <c r="E52" i="8"/>
  <c r="D52" i="8"/>
  <c r="C52" i="8"/>
  <c r="B52" i="8"/>
  <c r="A52" i="8"/>
  <c r="E51" i="8"/>
  <c r="D51" i="8"/>
  <c r="C51" i="8"/>
  <c r="B51" i="8"/>
  <c r="A51" i="8"/>
  <c r="E409" i="8"/>
  <c r="D409" i="8"/>
  <c r="C409" i="8"/>
  <c r="B409" i="8"/>
  <c r="A409" i="8"/>
  <c r="E410" i="8"/>
  <c r="D410" i="8"/>
  <c r="C410" i="8"/>
  <c r="B410" i="8"/>
  <c r="A410" i="8"/>
  <c r="E411" i="8"/>
  <c r="D411" i="8"/>
  <c r="C411" i="8"/>
  <c r="B411" i="8"/>
  <c r="A411" i="8"/>
  <c r="E272" i="8"/>
  <c r="D272" i="8"/>
  <c r="C272" i="8"/>
  <c r="B272" i="8"/>
  <c r="A272" i="8"/>
  <c r="E403" i="8"/>
  <c r="D403" i="8"/>
  <c r="C403" i="8"/>
  <c r="B403" i="8"/>
  <c r="A403" i="8"/>
  <c r="E402" i="8"/>
  <c r="D402" i="8"/>
  <c r="C402" i="8"/>
  <c r="B402" i="8"/>
  <c r="A402" i="8"/>
  <c r="E401" i="8"/>
  <c r="D401" i="8"/>
  <c r="C401" i="8"/>
  <c r="B401" i="8"/>
  <c r="A401" i="8"/>
  <c r="E271" i="8"/>
  <c r="D271" i="8"/>
  <c r="C271" i="8"/>
  <c r="B271" i="8"/>
  <c r="A271" i="8"/>
  <c r="E270" i="8"/>
  <c r="D270" i="8"/>
  <c r="C270" i="8"/>
  <c r="B270" i="8"/>
  <c r="A270" i="8"/>
  <c r="E13" i="8"/>
  <c r="D13" i="8"/>
  <c r="C13" i="8"/>
  <c r="B13" i="8"/>
  <c r="A13" i="8"/>
  <c r="E424" i="8"/>
  <c r="D424" i="8"/>
  <c r="C424" i="8"/>
  <c r="B424" i="8"/>
  <c r="A424" i="8"/>
  <c r="E421" i="8"/>
  <c r="D421" i="8"/>
  <c r="C421" i="8"/>
  <c r="B421" i="8"/>
  <c r="A421" i="8"/>
  <c r="E435" i="8"/>
  <c r="D435" i="8"/>
  <c r="C435" i="8"/>
  <c r="B435" i="8"/>
  <c r="A435" i="8"/>
  <c r="E434" i="8"/>
  <c r="D434" i="8"/>
  <c r="C434" i="8"/>
  <c r="B434" i="8"/>
  <c r="A434" i="8"/>
  <c r="E418" i="8"/>
  <c r="D418" i="8"/>
  <c r="C418" i="8"/>
  <c r="B418" i="8"/>
  <c r="A418" i="8"/>
  <c r="E419" i="8"/>
  <c r="D419" i="8"/>
  <c r="C419" i="8"/>
  <c r="B419" i="8"/>
  <c r="A419" i="8"/>
  <c r="E420" i="8"/>
  <c r="D420" i="8"/>
  <c r="C420" i="8"/>
  <c r="B420" i="8"/>
  <c r="A420" i="8"/>
  <c r="E396" i="8"/>
  <c r="D396" i="8"/>
  <c r="C396" i="8"/>
  <c r="B396" i="8"/>
  <c r="A396" i="8"/>
  <c r="E387" i="8"/>
  <c r="D387" i="8"/>
  <c r="C387" i="8"/>
  <c r="B387" i="8"/>
  <c r="A387" i="8"/>
  <c r="E432" i="8"/>
  <c r="D432" i="8"/>
  <c r="C432" i="8"/>
  <c r="B432" i="8"/>
  <c r="A432" i="8"/>
  <c r="E398" i="8"/>
  <c r="D398" i="8"/>
  <c r="C398" i="8"/>
  <c r="B398" i="8"/>
  <c r="A398" i="8"/>
  <c r="E392" i="8"/>
  <c r="D392" i="8"/>
  <c r="C392" i="8"/>
  <c r="B392" i="8"/>
  <c r="A392" i="8"/>
  <c r="E394" i="8"/>
  <c r="D394" i="8"/>
  <c r="C394" i="8"/>
  <c r="B394" i="8"/>
  <c r="A394" i="8"/>
  <c r="E395" i="8"/>
  <c r="D395" i="8"/>
  <c r="C395" i="8"/>
  <c r="B395" i="8"/>
  <c r="A395" i="8"/>
  <c r="E376" i="8"/>
  <c r="D376" i="8"/>
  <c r="C376" i="8"/>
  <c r="B376" i="8"/>
  <c r="A376" i="8"/>
  <c r="E377" i="8"/>
  <c r="D377" i="8"/>
  <c r="C377" i="8"/>
  <c r="B377" i="8"/>
  <c r="A377" i="8"/>
  <c r="E339" i="8"/>
  <c r="D339" i="8"/>
  <c r="C339" i="8"/>
  <c r="B339" i="8"/>
  <c r="A339" i="8"/>
  <c r="E340" i="8"/>
  <c r="D340" i="8"/>
  <c r="C340" i="8"/>
  <c r="B340" i="8"/>
  <c r="A340" i="8"/>
  <c r="E380" i="8"/>
  <c r="D380" i="8"/>
  <c r="C380" i="8"/>
  <c r="B380" i="8"/>
  <c r="A380" i="8"/>
  <c r="E423" i="8"/>
  <c r="D423" i="8"/>
  <c r="C423" i="8"/>
  <c r="B423" i="8"/>
  <c r="A423" i="8"/>
  <c r="E382" i="8"/>
  <c r="D382" i="8"/>
  <c r="C382" i="8"/>
  <c r="B382" i="8"/>
  <c r="A382" i="8"/>
  <c r="E386" i="8"/>
  <c r="D386" i="8"/>
  <c r="C386" i="8"/>
  <c r="B386" i="8"/>
  <c r="A386" i="8"/>
  <c r="E351" i="8"/>
  <c r="D351" i="8"/>
  <c r="C351" i="8"/>
  <c r="B351" i="8"/>
  <c r="A351" i="8"/>
  <c r="E353" i="8"/>
  <c r="D353" i="8"/>
  <c r="C353" i="8"/>
  <c r="B353" i="8"/>
  <c r="A353" i="8"/>
  <c r="E354" i="8"/>
  <c r="D354" i="8"/>
  <c r="C354" i="8"/>
  <c r="B354" i="8"/>
  <c r="A354" i="8"/>
  <c r="E397" i="8"/>
  <c r="D397" i="8"/>
  <c r="C397" i="8"/>
  <c r="B397" i="8"/>
  <c r="A397" i="8"/>
  <c r="E391" i="8"/>
  <c r="D391" i="8"/>
  <c r="C391" i="8"/>
  <c r="B391" i="8"/>
  <c r="A391" i="8"/>
  <c r="E422" i="8"/>
  <c r="D422" i="8"/>
  <c r="C422" i="8"/>
  <c r="B422" i="8"/>
  <c r="A422" i="8"/>
  <c r="E393" i="8"/>
  <c r="D393" i="8"/>
  <c r="C393" i="8"/>
  <c r="B393" i="8"/>
  <c r="A393" i="8"/>
  <c r="E390" i="8"/>
  <c r="D390" i="8"/>
  <c r="C390" i="8"/>
  <c r="B390" i="8"/>
  <c r="A390" i="8"/>
  <c r="E431" i="8"/>
  <c r="D431" i="8"/>
  <c r="C431" i="8"/>
  <c r="B431" i="8"/>
  <c r="A431" i="8"/>
  <c r="E360" i="8"/>
  <c r="D360" i="8"/>
  <c r="C360" i="8"/>
  <c r="B360" i="8"/>
  <c r="A360" i="8"/>
  <c r="E361" i="8"/>
  <c r="D361" i="8"/>
  <c r="C361" i="8"/>
  <c r="B361" i="8"/>
  <c r="A361" i="8"/>
  <c r="E338" i="8"/>
  <c r="D338" i="8"/>
  <c r="C338" i="8"/>
  <c r="B338" i="8"/>
  <c r="A338" i="8"/>
  <c r="E258" i="8"/>
  <c r="D258" i="8"/>
  <c r="C258" i="8"/>
  <c r="B258" i="8"/>
  <c r="A258" i="8"/>
  <c r="E381" i="8"/>
  <c r="D381" i="8"/>
  <c r="C381" i="8"/>
  <c r="B381" i="8"/>
  <c r="A381" i="8"/>
  <c r="E257" i="8"/>
  <c r="D257" i="8"/>
  <c r="C257" i="8"/>
  <c r="B257" i="8"/>
  <c r="A257" i="8"/>
  <c r="E327" i="8"/>
  <c r="D327" i="8"/>
  <c r="C327" i="8"/>
  <c r="B327" i="8"/>
  <c r="A327" i="8"/>
  <c r="E344" i="8"/>
  <c r="D344" i="8"/>
  <c r="C344" i="8"/>
  <c r="B344" i="8"/>
  <c r="A344" i="8"/>
  <c r="E322" i="8"/>
  <c r="D322" i="8"/>
  <c r="C322" i="8"/>
  <c r="B322" i="8"/>
  <c r="A322" i="8"/>
  <c r="E350" i="8"/>
  <c r="D350" i="8"/>
  <c r="C350" i="8"/>
  <c r="B350" i="8"/>
  <c r="A350" i="8"/>
  <c r="E417" i="8"/>
  <c r="D417" i="8"/>
  <c r="C417" i="8"/>
  <c r="B417" i="8"/>
  <c r="A417" i="8"/>
  <c r="E343" i="8"/>
  <c r="D343" i="8"/>
  <c r="C343" i="8"/>
  <c r="B343" i="8"/>
  <c r="A343" i="8"/>
  <c r="E352" i="8"/>
  <c r="D352" i="8"/>
  <c r="C352" i="8"/>
  <c r="B352" i="8"/>
  <c r="A352" i="8"/>
  <c r="E324" i="8"/>
  <c r="D324" i="8"/>
  <c r="C324" i="8"/>
  <c r="B324" i="8"/>
  <c r="A324" i="8"/>
  <c r="E325" i="8"/>
  <c r="D325" i="8"/>
  <c r="C325" i="8"/>
  <c r="B325" i="8"/>
  <c r="A325" i="8"/>
  <c r="E433" i="8"/>
  <c r="D433" i="8"/>
  <c r="C433" i="8"/>
  <c r="B433" i="8"/>
  <c r="A433" i="8"/>
  <c r="E259" i="8"/>
  <c r="D259" i="8"/>
  <c r="C259" i="8"/>
  <c r="B259" i="8"/>
  <c r="A259" i="8"/>
  <c r="E310" i="8"/>
  <c r="D310" i="8"/>
  <c r="C310" i="8"/>
  <c r="B310" i="8"/>
  <c r="A310" i="8"/>
  <c r="E346" i="8"/>
  <c r="D346" i="8"/>
  <c r="C346" i="8"/>
  <c r="B346" i="8"/>
  <c r="A346" i="8"/>
  <c r="E416" i="8"/>
  <c r="D416" i="8"/>
  <c r="C416" i="8"/>
  <c r="B416" i="8"/>
  <c r="A416" i="8"/>
  <c r="E337" i="8"/>
  <c r="D337" i="8"/>
  <c r="C337" i="8"/>
  <c r="B337" i="8"/>
  <c r="A337" i="8"/>
  <c r="E300" i="8"/>
  <c r="D300" i="8"/>
  <c r="C300" i="8"/>
  <c r="B300" i="8"/>
  <c r="A300" i="8"/>
  <c r="E415" i="8"/>
  <c r="D415" i="8"/>
  <c r="C415" i="8"/>
  <c r="B415" i="8"/>
  <c r="A415" i="8"/>
  <c r="E305" i="8"/>
  <c r="D305" i="8"/>
  <c r="C305" i="8"/>
  <c r="B305" i="8"/>
  <c r="A305" i="8"/>
  <c r="E299" i="8"/>
  <c r="D299" i="8"/>
  <c r="C299" i="8"/>
  <c r="B299" i="8"/>
  <c r="A299" i="8"/>
  <c r="E225" i="8"/>
  <c r="D225" i="8"/>
  <c r="C225" i="8"/>
  <c r="B225" i="8"/>
  <c r="A225" i="8"/>
  <c r="E309" i="8"/>
  <c r="D309" i="8"/>
  <c r="C309" i="8"/>
  <c r="B309" i="8"/>
  <c r="A309" i="8"/>
  <c r="E298" i="8"/>
  <c r="D298" i="8"/>
  <c r="C298" i="8"/>
  <c r="B298" i="8"/>
  <c r="A298" i="8"/>
  <c r="E304" i="8"/>
  <c r="D304" i="8"/>
  <c r="C304" i="8"/>
  <c r="B304" i="8"/>
  <c r="A304" i="8"/>
  <c r="E219" i="8"/>
  <c r="D219" i="8"/>
  <c r="C219" i="8"/>
  <c r="B219" i="8"/>
  <c r="A219" i="8"/>
  <c r="E400" i="8"/>
  <c r="D400" i="8"/>
  <c r="C400" i="8"/>
  <c r="B400" i="8"/>
  <c r="A400" i="8"/>
  <c r="E221" i="8"/>
  <c r="D221" i="8"/>
  <c r="C221" i="8"/>
  <c r="B221" i="8"/>
  <c r="A221" i="8"/>
  <c r="E399" i="8"/>
  <c r="D399" i="8"/>
  <c r="C399" i="8"/>
  <c r="B399" i="8"/>
  <c r="A399" i="8"/>
  <c r="E222" i="8"/>
  <c r="D222" i="8"/>
  <c r="C222" i="8"/>
  <c r="B222" i="8"/>
  <c r="A222" i="8"/>
  <c r="E356" i="8"/>
  <c r="D356" i="8"/>
  <c r="C356" i="8"/>
  <c r="B356" i="8"/>
  <c r="A356" i="8"/>
  <c r="E357" i="8"/>
  <c r="D357" i="8"/>
  <c r="C357" i="8"/>
  <c r="B357" i="8"/>
  <c r="A357" i="8"/>
  <c r="E326" i="8"/>
  <c r="D326" i="8"/>
  <c r="C326" i="8"/>
  <c r="B326" i="8"/>
  <c r="A326" i="8"/>
  <c r="E348" i="8"/>
  <c r="D348" i="8"/>
  <c r="C348" i="8"/>
  <c r="B348" i="8"/>
  <c r="A348" i="8"/>
  <c r="E430" i="8"/>
  <c r="D430" i="8"/>
  <c r="C430" i="8"/>
  <c r="B430" i="8"/>
  <c r="A430" i="8"/>
  <c r="E342" i="8"/>
  <c r="D342" i="8"/>
  <c r="C342" i="8"/>
  <c r="B342" i="8"/>
  <c r="A342" i="8"/>
  <c r="E349" i="8"/>
  <c r="D349" i="8"/>
  <c r="C349" i="8"/>
  <c r="B349" i="8"/>
  <c r="A349" i="8"/>
  <c r="E321" i="8"/>
  <c r="D321" i="8"/>
  <c r="C321" i="8"/>
  <c r="B321" i="8"/>
  <c r="A321" i="8"/>
  <c r="E414" i="8"/>
  <c r="D414" i="8"/>
  <c r="C414" i="8"/>
  <c r="B414" i="8"/>
  <c r="A414" i="8"/>
  <c r="E320" i="8"/>
  <c r="D320" i="8"/>
  <c r="C320" i="8"/>
  <c r="B320" i="8"/>
  <c r="A320" i="8"/>
  <c r="E323" i="8"/>
  <c r="D323" i="8"/>
  <c r="C323" i="8"/>
  <c r="B323" i="8"/>
  <c r="A323" i="8"/>
  <c r="E252" i="8"/>
  <c r="D252" i="8"/>
  <c r="C252" i="8"/>
  <c r="B252" i="8"/>
  <c r="A252" i="8"/>
  <c r="E243" i="8"/>
  <c r="D243" i="8"/>
  <c r="C243" i="8"/>
  <c r="B243" i="8"/>
  <c r="A243" i="8"/>
  <c r="E255" i="8"/>
  <c r="D255" i="8"/>
  <c r="C255" i="8"/>
  <c r="B255" i="8"/>
  <c r="A255" i="8"/>
  <c r="E247" i="8"/>
  <c r="D247" i="8"/>
  <c r="C247" i="8"/>
  <c r="B247" i="8"/>
  <c r="A247" i="8"/>
  <c r="E234" i="8"/>
  <c r="D234" i="8"/>
  <c r="C234" i="8"/>
  <c r="B234" i="8"/>
  <c r="A234" i="8"/>
  <c r="E251" i="8"/>
  <c r="D251" i="8"/>
  <c r="C251" i="8"/>
  <c r="B251" i="8"/>
  <c r="A251" i="8"/>
  <c r="E236" i="8"/>
  <c r="D236" i="8"/>
  <c r="C236" i="8"/>
  <c r="B236" i="8"/>
  <c r="A236" i="8"/>
  <c r="E389" i="8"/>
  <c r="D389" i="8"/>
  <c r="C389" i="8"/>
  <c r="B389" i="8"/>
  <c r="A389" i="8"/>
  <c r="E237" i="8"/>
  <c r="D237" i="8"/>
  <c r="C237" i="8"/>
  <c r="B237" i="8"/>
  <c r="A237" i="8"/>
  <c r="E358" i="8"/>
  <c r="D358" i="8"/>
  <c r="C358" i="8"/>
  <c r="B358" i="8"/>
  <c r="A358" i="8"/>
  <c r="E341" i="8"/>
  <c r="D341" i="8"/>
  <c r="C341" i="8"/>
  <c r="B341" i="8"/>
  <c r="A341" i="8"/>
  <c r="E333" i="8"/>
  <c r="D333" i="8"/>
  <c r="C333" i="8"/>
  <c r="B333" i="8"/>
  <c r="A333" i="8"/>
  <c r="E429" i="8"/>
  <c r="D429" i="8"/>
  <c r="C429" i="8"/>
  <c r="B429" i="8"/>
  <c r="A429" i="8"/>
  <c r="E336" i="8"/>
  <c r="D336" i="8"/>
  <c r="C336" i="8"/>
  <c r="B336" i="8"/>
  <c r="A336" i="8"/>
  <c r="E331" i="8"/>
  <c r="D331" i="8"/>
  <c r="C331" i="8"/>
  <c r="B331" i="8"/>
  <c r="A331" i="8"/>
  <c r="E332" i="8"/>
  <c r="D332" i="8"/>
  <c r="C332" i="8"/>
  <c r="B332" i="8"/>
  <c r="A332" i="8"/>
  <c r="E330" i="8"/>
  <c r="D330" i="8"/>
  <c r="C330" i="8"/>
  <c r="B330" i="8"/>
  <c r="A330" i="8"/>
  <c r="E413" i="8"/>
  <c r="D413" i="8"/>
  <c r="C413" i="8"/>
  <c r="B413" i="8"/>
  <c r="A413" i="8"/>
  <c r="E224" i="8"/>
  <c r="D224" i="8"/>
  <c r="C224" i="8"/>
  <c r="B224" i="8"/>
  <c r="A224" i="8"/>
  <c r="E231" i="8"/>
  <c r="D231" i="8"/>
  <c r="C231" i="8"/>
  <c r="B231" i="8"/>
  <c r="A231" i="8"/>
  <c r="E218" i="8"/>
  <c r="D218" i="8"/>
  <c r="C218" i="8"/>
  <c r="B218" i="8"/>
  <c r="A218" i="8"/>
  <c r="E388" i="8"/>
  <c r="D388" i="8"/>
  <c r="C388" i="8"/>
  <c r="B388" i="8"/>
  <c r="A388" i="8"/>
  <c r="E230" i="8"/>
  <c r="D230" i="8"/>
  <c r="C230" i="8"/>
  <c r="B230" i="8"/>
  <c r="A230" i="8"/>
  <c r="E220" i="8"/>
  <c r="D220" i="8"/>
  <c r="C220" i="8"/>
  <c r="B220" i="8"/>
  <c r="A220" i="8"/>
  <c r="E379" i="8"/>
  <c r="D379" i="8"/>
  <c r="C379" i="8"/>
  <c r="B379" i="8"/>
  <c r="A379" i="8"/>
  <c r="E359" i="8"/>
  <c r="D359" i="8"/>
  <c r="C359" i="8"/>
  <c r="B359" i="8"/>
  <c r="A359" i="8"/>
  <c r="E127" i="8"/>
  <c r="D127" i="8"/>
  <c r="C127" i="8"/>
  <c r="B127" i="8"/>
  <c r="A127" i="8"/>
  <c r="E355" i="8"/>
  <c r="D355" i="8"/>
  <c r="C355" i="8"/>
  <c r="B355" i="8"/>
  <c r="A355" i="8"/>
  <c r="E125" i="8"/>
  <c r="D125" i="8"/>
  <c r="C125" i="8"/>
  <c r="B125" i="8"/>
  <c r="A125" i="8"/>
  <c r="E347" i="8"/>
  <c r="D347" i="8"/>
  <c r="C347" i="8"/>
  <c r="B347" i="8"/>
  <c r="A347" i="8"/>
  <c r="E124" i="8"/>
  <c r="D124" i="8"/>
  <c r="C124" i="8"/>
  <c r="B124" i="8"/>
  <c r="A124" i="8"/>
  <c r="E126" i="8"/>
  <c r="D126" i="8"/>
  <c r="C126" i="8"/>
  <c r="B126" i="8"/>
  <c r="A126" i="8"/>
  <c r="E329" i="8"/>
  <c r="D329" i="8"/>
  <c r="C329" i="8"/>
  <c r="B329" i="8"/>
  <c r="A329" i="8"/>
  <c r="E428" i="8"/>
  <c r="D428" i="8"/>
  <c r="C428" i="8"/>
  <c r="B428" i="8"/>
  <c r="A428" i="8"/>
  <c r="E256" i="8"/>
  <c r="D256" i="8"/>
  <c r="C256" i="8"/>
  <c r="B256" i="8"/>
  <c r="A256" i="8"/>
  <c r="E242" i="8"/>
  <c r="D242" i="8"/>
  <c r="C242" i="8"/>
  <c r="B242" i="8"/>
  <c r="A242" i="8"/>
  <c r="E412" i="8"/>
  <c r="D412" i="8"/>
  <c r="C412" i="8"/>
  <c r="B412" i="8"/>
  <c r="A412" i="8"/>
  <c r="E228" i="8"/>
  <c r="D228" i="8"/>
  <c r="C228" i="8"/>
  <c r="B228" i="8"/>
  <c r="A228" i="8"/>
  <c r="E246" i="8"/>
  <c r="D246" i="8"/>
  <c r="C246" i="8"/>
  <c r="B246" i="8"/>
  <c r="A246" i="8"/>
  <c r="E233" i="8"/>
  <c r="D233" i="8"/>
  <c r="C233" i="8"/>
  <c r="B233" i="8"/>
  <c r="A233" i="8"/>
  <c r="E201" i="8"/>
  <c r="D201" i="8"/>
  <c r="C201" i="8"/>
  <c r="B201" i="8"/>
  <c r="A201" i="8"/>
  <c r="E408" i="8"/>
  <c r="D408" i="8"/>
  <c r="C408" i="8"/>
  <c r="B408" i="8"/>
  <c r="A408" i="8"/>
  <c r="E227" i="8"/>
  <c r="D227" i="8"/>
  <c r="C227" i="8"/>
  <c r="B227" i="8"/>
  <c r="A227" i="8"/>
  <c r="E235" i="8"/>
  <c r="D235" i="8"/>
  <c r="C235" i="8"/>
  <c r="B235" i="8"/>
  <c r="A235" i="8"/>
  <c r="E198" i="8"/>
  <c r="D198" i="8"/>
  <c r="C198" i="8"/>
  <c r="B198" i="8"/>
  <c r="A198" i="8"/>
  <c r="E378" i="8"/>
  <c r="D378" i="8"/>
  <c r="C378" i="8"/>
  <c r="B378" i="8"/>
  <c r="A378" i="8"/>
  <c r="E199" i="8"/>
  <c r="D199" i="8"/>
  <c r="C199" i="8"/>
  <c r="B199" i="8"/>
  <c r="A199" i="8"/>
  <c r="E375" i="8"/>
  <c r="D375" i="8"/>
  <c r="C375" i="8"/>
  <c r="B375" i="8"/>
  <c r="A375" i="8"/>
  <c r="E335" i="8"/>
  <c r="D335" i="8"/>
  <c r="C335" i="8"/>
  <c r="B335" i="8"/>
  <c r="A335" i="8"/>
  <c r="E328" i="8"/>
  <c r="D328" i="8"/>
  <c r="C328" i="8"/>
  <c r="B328" i="8"/>
  <c r="A328" i="8"/>
  <c r="E427" i="8"/>
  <c r="D427" i="8"/>
  <c r="C427" i="8"/>
  <c r="B427" i="8"/>
  <c r="A427" i="8"/>
  <c r="E269" i="8"/>
  <c r="D269" i="8"/>
  <c r="C269" i="8"/>
  <c r="B269" i="8"/>
  <c r="A269" i="8"/>
  <c r="E426" i="8"/>
  <c r="D426" i="8"/>
  <c r="C426" i="8"/>
  <c r="B426" i="8"/>
  <c r="A426" i="8"/>
  <c r="E254" i="8"/>
  <c r="D254" i="8"/>
  <c r="C254" i="8"/>
  <c r="B254" i="8"/>
  <c r="A254" i="8"/>
  <c r="E263" i="8"/>
  <c r="D263" i="8"/>
  <c r="C263" i="8"/>
  <c r="B263" i="8"/>
  <c r="A263" i="8"/>
  <c r="E223" i="8"/>
  <c r="D223" i="8"/>
  <c r="C223" i="8"/>
  <c r="B223" i="8"/>
  <c r="A223" i="8"/>
  <c r="E214" i="8"/>
  <c r="D214" i="8"/>
  <c r="C214" i="8"/>
  <c r="B214" i="8"/>
  <c r="A214" i="8"/>
  <c r="E407" i="8"/>
  <c r="D407" i="8"/>
  <c r="C407" i="8"/>
  <c r="B407" i="8"/>
  <c r="A407" i="8"/>
  <c r="E267" i="8"/>
  <c r="D267" i="8"/>
  <c r="C267" i="8"/>
  <c r="B267" i="8"/>
  <c r="A267" i="8"/>
  <c r="E229" i="8"/>
  <c r="D229" i="8"/>
  <c r="C229" i="8"/>
  <c r="B229" i="8"/>
  <c r="A229" i="8"/>
  <c r="E217" i="8"/>
  <c r="D217" i="8"/>
  <c r="C217" i="8"/>
  <c r="B217" i="8"/>
  <c r="A217" i="8"/>
  <c r="E208" i="8"/>
  <c r="D208" i="8"/>
  <c r="C208" i="8"/>
  <c r="B208" i="8"/>
  <c r="A208" i="8"/>
  <c r="E177" i="8"/>
  <c r="D177" i="8"/>
  <c r="C177" i="8"/>
  <c r="B177" i="8"/>
  <c r="A177" i="8"/>
  <c r="E171" i="8"/>
  <c r="D171" i="8"/>
  <c r="C171" i="8"/>
  <c r="B171" i="8"/>
  <c r="A171" i="8"/>
  <c r="E212" i="8"/>
  <c r="D212" i="8"/>
  <c r="C212" i="8"/>
  <c r="B212" i="8"/>
  <c r="A212" i="8"/>
  <c r="E374" i="8"/>
  <c r="D374" i="8"/>
  <c r="C374" i="8"/>
  <c r="B374" i="8"/>
  <c r="A374" i="8"/>
  <c r="E175" i="8"/>
  <c r="D175" i="8"/>
  <c r="C175" i="8"/>
  <c r="B175" i="8"/>
  <c r="A175" i="8"/>
  <c r="E116" i="8"/>
  <c r="D116" i="8"/>
  <c r="C116" i="8"/>
  <c r="B116" i="8"/>
  <c r="A116" i="8"/>
  <c r="E113" i="8"/>
  <c r="D113" i="8"/>
  <c r="C113" i="8"/>
  <c r="B113" i="8"/>
  <c r="A113" i="8"/>
  <c r="E370" i="8"/>
  <c r="D370" i="8"/>
  <c r="C370" i="8"/>
  <c r="B370" i="8"/>
  <c r="A370" i="8"/>
  <c r="E334" i="8"/>
  <c r="D334" i="8"/>
  <c r="C334" i="8"/>
  <c r="B334" i="8"/>
  <c r="A334" i="8"/>
  <c r="E114" i="8"/>
  <c r="D114" i="8"/>
  <c r="C114" i="8"/>
  <c r="B114" i="8"/>
  <c r="A114" i="8"/>
  <c r="E9" i="8"/>
  <c r="D9" i="8"/>
  <c r="C9" i="8"/>
  <c r="B9" i="8"/>
  <c r="A9" i="8"/>
  <c r="E319" i="8"/>
  <c r="D319" i="8"/>
  <c r="C319" i="8"/>
  <c r="B319" i="8"/>
  <c r="A319" i="8"/>
  <c r="E314" i="8"/>
  <c r="D314" i="8"/>
  <c r="C314" i="8"/>
  <c r="B314" i="8"/>
  <c r="A314" i="8"/>
  <c r="E425" i="8"/>
  <c r="D425" i="8"/>
  <c r="C425" i="8"/>
  <c r="B425" i="8"/>
  <c r="A425" i="8"/>
  <c r="E253" i="8"/>
  <c r="D253" i="8"/>
  <c r="C253" i="8"/>
  <c r="B253" i="8"/>
  <c r="A253" i="8"/>
  <c r="E275" i="8"/>
  <c r="D275" i="8"/>
  <c r="C275" i="8"/>
  <c r="B275" i="8"/>
  <c r="A275" i="8"/>
  <c r="E245" i="8"/>
  <c r="D245" i="8"/>
  <c r="C245" i="8"/>
  <c r="B245" i="8"/>
  <c r="A245" i="8"/>
  <c r="E241" i="8"/>
  <c r="D241" i="8"/>
  <c r="C241" i="8"/>
  <c r="B241" i="8"/>
  <c r="A241" i="8"/>
  <c r="E274" i="8"/>
  <c r="D274" i="8"/>
  <c r="C274" i="8"/>
  <c r="B274" i="8"/>
  <c r="A274" i="8"/>
  <c r="E226" i="8"/>
  <c r="D226" i="8"/>
  <c r="C226" i="8"/>
  <c r="B226" i="8"/>
  <c r="A226" i="8"/>
  <c r="E232" i="8"/>
  <c r="D232" i="8"/>
  <c r="C232" i="8"/>
  <c r="B232" i="8"/>
  <c r="A232" i="8"/>
  <c r="E200" i="8"/>
  <c r="D200" i="8"/>
  <c r="C200" i="8"/>
  <c r="B200" i="8"/>
  <c r="A200" i="8"/>
  <c r="E191" i="8"/>
  <c r="D191" i="8"/>
  <c r="C191" i="8"/>
  <c r="B191" i="8"/>
  <c r="A191" i="8"/>
  <c r="E406" i="8"/>
  <c r="D406" i="8"/>
  <c r="C406" i="8"/>
  <c r="B406" i="8"/>
  <c r="A406" i="8"/>
  <c r="E206" i="8"/>
  <c r="D206" i="8"/>
  <c r="C206" i="8"/>
  <c r="B206" i="8"/>
  <c r="A206" i="8"/>
  <c r="E183" i="8"/>
  <c r="D183" i="8"/>
  <c r="C183" i="8"/>
  <c r="B183" i="8"/>
  <c r="A183" i="8"/>
  <c r="E197" i="8"/>
  <c r="D197" i="8"/>
  <c r="C197" i="8"/>
  <c r="B197" i="8"/>
  <c r="A197" i="8"/>
  <c r="E188" i="8"/>
  <c r="D188" i="8"/>
  <c r="C188" i="8"/>
  <c r="B188" i="8"/>
  <c r="A188" i="8"/>
  <c r="E405" i="8"/>
  <c r="D405" i="8"/>
  <c r="C405" i="8"/>
  <c r="B405" i="8"/>
  <c r="A405" i="8"/>
  <c r="E182" i="8"/>
  <c r="D182" i="8"/>
  <c r="C182" i="8"/>
  <c r="B182" i="8"/>
  <c r="A182" i="8"/>
  <c r="E189" i="8"/>
  <c r="D189" i="8"/>
  <c r="C189" i="8"/>
  <c r="B189" i="8"/>
  <c r="A189" i="8"/>
  <c r="E153" i="8"/>
  <c r="D153" i="8"/>
  <c r="C153" i="8"/>
  <c r="B153" i="8"/>
  <c r="A153" i="8"/>
  <c r="E154" i="8"/>
  <c r="D154" i="8"/>
  <c r="C154" i="8"/>
  <c r="B154" i="8"/>
  <c r="A154" i="8"/>
  <c r="E143" i="8"/>
  <c r="D143" i="8"/>
  <c r="C143" i="8"/>
  <c r="B143" i="8"/>
  <c r="A143" i="8"/>
  <c r="E136" i="8"/>
  <c r="D136" i="8"/>
  <c r="C136" i="8"/>
  <c r="B136" i="8"/>
  <c r="A136" i="8"/>
  <c r="E148" i="8"/>
  <c r="D148" i="8"/>
  <c r="C148" i="8"/>
  <c r="B148" i="8"/>
  <c r="A148" i="8"/>
  <c r="E142" i="8"/>
  <c r="D142" i="8"/>
  <c r="C142" i="8"/>
  <c r="B142" i="8"/>
  <c r="A142" i="8"/>
  <c r="E122" i="8"/>
  <c r="D122" i="8"/>
  <c r="C122" i="8"/>
  <c r="B122" i="8"/>
  <c r="A122" i="8"/>
  <c r="E133" i="8"/>
  <c r="D133" i="8"/>
  <c r="C133" i="8"/>
  <c r="B133" i="8"/>
  <c r="A133" i="8"/>
  <c r="E366" i="8"/>
  <c r="D366" i="8"/>
  <c r="C366" i="8"/>
  <c r="B366" i="8"/>
  <c r="A366" i="8"/>
  <c r="E131" i="8"/>
  <c r="D131" i="8"/>
  <c r="C131" i="8"/>
  <c r="B131" i="8"/>
  <c r="A131" i="8"/>
  <c r="E118" i="8"/>
  <c r="D118" i="8"/>
  <c r="C118" i="8"/>
  <c r="B118" i="8"/>
  <c r="A118" i="8"/>
  <c r="E134" i="8"/>
  <c r="D134" i="8"/>
  <c r="C134" i="8"/>
  <c r="B134" i="8"/>
  <c r="A134" i="8"/>
  <c r="E318" i="8"/>
  <c r="D318" i="8"/>
  <c r="C318" i="8"/>
  <c r="B318" i="8"/>
  <c r="A318" i="8"/>
  <c r="E8" i="8"/>
  <c r="D8" i="8"/>
  <c r="C8" i="8"/>
  <c r="B8" i="8"/>
  <c r="A8" i="8"/>
  <c r="E297" i="8"/>
  <c r="D297" i="8"/>
  <c r="C297" i="8"/>
  <c r="B297" i="8"/>
  <c r="A297" i="8"/>
  <c r="E288" i="8"/>
  <c r="D288" i="8"/>
  <c r="C288" i="8"/>
  <c r="B288" i="8"/>
  <c r="A288" i="8"/>
  <c r="E268" i="8"/>
  <c r="D268" i="8"/>
  <c r="C268" i="8"/>
  <c r="B268" i="8"/>
  <c r="A268" i="8"/>
  <c r="E292" i="8"/>
  <c r="D292" i="8"/>
  <c r="C292" i="8"/>
  <c r="B292" i="8"/>
  <c r="A292" i="8"/>
  <c r="E244" i="8"/>
  <c r="D244" i="8"/>
  <c r="C244" i="8"/>
  <c r="B244" i="8"/>
  <c r="A244" i="8"/>
  <c r="E279" i="8"/>
  <c r="D279" i="8"/>
  <c r="C279" i="8"/>
  <c r="B279" i="8"/>
  <c r="A279" i="8"/>
  <c r="E262" i="8"/>
  <c r="D262" i="8"/>
  <c r="C262" i="8"/>
  <c r="B262" i="8"/>
  <c r="A262" i="8"/>
  <c r="E216" i="8"/>
  <c r="D216" i="8"/>
  <c r="C216" i="8"/>
  <c r="B216" i="8"/>
  <c r="A216" i="8"/>
  <c r="E213" i="8"/>
  <c r="D213" i="8"/>
  <c r="C213" i="8"/>
  <c r="B213" i="8"/>
  <c r="A213" i="8"/>
  <c r="E202" i="8"/>
  <c r="D202" i="8"/>
  <c r="C202" i="8"/>
  <c r="B202" i="8"/>
  <c r="A202" i="8"/>
  <c r="E207" i="8"/>
  <c r="D207" i="8"/>
  <c r="C207" i="8"/>
  <c r="B207" i="8"/>
  <c r="A207" i="8"/>
  <c r="E176" i="8"/>
  <c r="D176" i="8"/>
  <c r="C176" i="8"/>
  <c r="B176" i="8"/>
  <c r="A176" i="8"/>
  <c r="E404" i="8"/>
  <c r="D404" i="8"/>
  <c r="C404" i="8"/>
  <c r="B404" i="8"/>
  <c r="A404" i="8"/>
  <c r="E170" i="8"/>
  <c r="D170" i="8"/>
  <c r="C170" i="8"/>
  <c r="B170" i="8"/>
  <c r="A170" i="8"/>
  <c r="E152" i="8"/>
  <c r="D152" i="8"/>
  <c r="C152" i="8"/>
  <c r="B152" i="8"/>
  <c r="A152" i="8"/>
  <c r="E150" i="8"/>
  <c r="D150" i="8"/>
  <c r="C150" i="8"/>
  <c r="B150" i="8"/>
  <c r="A150" i="8"/>
  <c r="E147" i="8"/>
  <c r="D147" i="8"/>
  <c r="C147" i="8"/>
  <c r="B147" i="8"/>
  <c r="A147" i="8"/>
  <c r="E115" i="8"/>
  <c r="D115" i="8"/>
  <c r="C115" i="8"/>
  <c r="B115" i="8"/>
  <c r="A115" i="8"/>
  <c r="E149" i="8"/>
  <c r="D149" i="8"/>
  <c r="C149" i="8"/>
  <c r="B149" i="8"/>
  <c r="A149" i="8"/>
  <c r="E365" i="8"/>
  <c r="D365" i="8"/>
  <c r="C365" i="8"/>
  <c r="B365" i="8"/>
  <c r="A365" i="8"/>
  <c r="E123" i="8"/>
  <c r="D123" i="8"/>
  <c r="C123" i="8"/>
  <c r="B123" i="8"/>
  <c r="A123" i="8"/>
  <c r="E104" i="8"/>
  <c r="D104" i="8"/>
  <c r="C104" i="8"/>
  <c r="B104" i="8"/>
  <c r="A104" i="8"/>
  <c r="E112" i="8"/>
  <c r="D112" i="8"/>
  <c r="C112" i="8"/>
  <c r="B112" i="8"/>
  <c r="A112" i="8"/>
  <c r="E363" i="8"/>
  <c r="D363" i="8"/>
  <c r="C363" i="8"/>
  <c r="B363" i="8"/>
  <c r="A363" i="8"/>
  <c r="E103" i="8"/>
  <c r="D103" i="8"/>
  <c r="C103" i="8"/>
  <c r="B103" i="8"/>
  <c r="A103" i="8"/>
  <c r="E74" i="8"/>
  <c r="D74" i="8"/>
  <c r="C74" i="8"/>
  <c r="B74" i="8"/>
  <c r="A74" i="8"/>
  <c r="E296" i="8"/>
  <c r="D296" i="8"/>
  <c r="C296" i="8"/>
  <c r="B296" i="8"/>
  <c r="A296" i="8"/>
  <c r="E31" i="8"/>
  <c r="D31" i="8"/>
  <c r="C31" i="8"/>
  <c r="B31" i="8"/>
  <c r="A31" i="8"/>
  <c r="E73" i="8"/>
  <c r="D73" i="8"/>
  <c r="C73" i="8"/>
  <c r="B73" i="8"/>
  <c r="A73" i="8"/>
  <c r="E284" i="8"/>
  <c r="D284" i="8"/>
  <c r="C284" i="8"/>
  <c r="B284" i="8"/>
  <c r="A284" i="8"/>
  <c r="E273" i="8"/>
  <c r="D273" i="8"/>
  <c r="C273" i="8"/>
  <c r="B273" i="8"/>
  <c r="A273" i="8"/>
  <c r="E215" i="8"/>
  <c r="D215" i="8"/>
  <c r="C215" i="8"/>
  <c r="B215" i="8"/>
  <c r="A215" i="8"/>
  <c r="E196" i="8"/>
  <c r="D196" i="8"/>
  <c r="C196" i="8"/>
  <c r="B196" i="8"/>
  <c r="A196" i="8"/>
  <c r="E190" i="8"/>
  <c r="D190" i="8"/>
  <c r="C190" i="8"/>
  <c r="B190" i="8"/>
  <c r="A190" i="8"/>
  <c r="E181" i="8"/>
  <c r="D181" i="8"/>
  <c r="C181" i="8"/>
  <c r="B181" i="8"/>
  <c r="A181" i="8"/>
  <c r="E161" i="8"/>
  <c r="D161" i="8"/>
  <c r="C161" i="8"/>
  <c r="B161" i="8"/>
  <c r="A161" i="8"/>
  <c r="E187" i="8"/>
  <c r="D187" i="8"/>
  <c r="C187" i="8"/>
  <c r="B187" i="8"/>
  <c r="A187" i="8"/>
  <c r="E151" i="8"/>
  <c r="D151" i="8"/>
  <c r="C151" i="8"/>
  <c r="B151" i="8"/>
  <c r="A151" i="8"/>
  <c r="E160" i="8"/>
  <c r="D160" i="8"/>
  <c r="C160" i="8"/>
  <c r="B160" i="8"/>
  <c r="A160" i="8"/>
  <c r="E141" i="8"/>
  <c r="D141" i="8"/>
  <c r="C141" i="8"/>
  <c r="B141" i="8"/>
  <c r="A141" i="8"/>
  <c r="E135" i="8"/>
  <c r="D135" i="8"/>
  <c r="C135" i="8"/>
  <c r="B135" i="8"/>
  <c r="A135" i="8"/>
  <c r="E117" i="8"/>
  <c r="D117" i="8"/>
  <c r="C117" i="8"/>
  <c r="B117" i="8"/>
  <c r="A117" i="8"/>
  <c r="E132" i="8"/>
  <c r="D132" i="8"/>
  <c r="C132" i="8"/>
  <c r="B132" i="8"/>
  <c r="A132" i="8"/>
  <c r="E98" i="8"/>
  <c r="D98" i="8"/>
  <c r="C98" i="8"/>
  <c r="B98" i="8"/>
  <c r="A98" i="8"/>
  <c r="E362" i="8"/>
  <c r="D362" i="8"/>
  <c r="C362" i="8"/>
  <c r="B362" i="8"/>
  <c r="A362" i="8"/>
  <c r="E97" i="8"/>
  <c r="D97" i="8"/>
  <c r="C97" i="8"/>
  <c r="B97" i="8"/>
  <c r="A97" i="8"/>
  <c r="E82" i="8"/>
  <c r="D82" i="8"/>
  <c r="C82" i="8"/>
  <c r="B82" i="8"/>
  <c r="A82" i="8"/>
  <c r="E78" i="8"/>
  <c r="D78" i="8"/>
  <c r="C78" i="8"/>
  <c r="B78" i="8"/>
  <c r="A78" i="8"/>
  <c r="E283" i="8"/>
  <c r="D283" i="8"/>
  <c r="C283" i="8"/>
  <c r="B283" i="8"/>
  <c r="A283" i="8"/>
  <c r="E29" i="8"/>
  <c r="D29" i="8"/>
  <c r="C29" i="8"/>
  <c r="B29" i="8"/>
  <c r="A29" i="8"/>
  <c r="E261" i="8"/>
  <c r="D261" i="8"/>
  <c r="C261" i="8"/>
  <c r="B261" i="8"/>
  <c r="A261" i="8"/>
  <c r="E195" i="8"/>
  <c r="D195" i="8"/>
  <c r="C195" i="8"/>
  <c r="B195" i="8"/>
  <c r="A195" i="8"/>
  <c r="E169" i="8"/>
  <c r="D169" i="8"/>
  <c r="C169" i="8"/>
  <c r="B169" i="8"/>
  <c r="A169" i="8"/>
  <c r="E140" i="8"/>
  <c r="D140" i="8"/>
  <c r="C140" i="8"/>
  <c r="B140" i="8"/>
  <c r="A140" i="8"/>
  <c r="E111" i="8"/>
  <c r="D111" i="8"/>
  <c r="C111" i="8"/>
  <c r="B111" i="8"/>
  <c r="A111" i="8"/>
  <c r="E109" i="8"/>
  <c r="D109" i="8"/>
  <c r="C109" i="8"/>
  <c r="B109" i="8"/>
  <c r="A109" i="8"/>
  <c r="E102" i="8"/>
  <c r="D102" i="8"/>
  <c r="C102" i="8"/>
  <c r="B102" i="8"/>
  <c r="A102" i="8"/>
  <c r="E108" i="8"/>
  <c r="D108" i="8"/>
  <c r="C108" i="8"/>
  <c r="B108" i="8"/>
  <c r="A108" i="8"/>
  <c r="E89" i="8"/>
  <c r="D89" i="8"/>
  <c r="C89" i="8"/>
  <c r="B89" i="8"/>
  <c r="A89" i="8"/>
  <c r="E72" i="8"/>
  <c r="D72" i="8"/>
  <c r="C72" i="8"/>
  <c r="B72" i="8"/>
  <c r="A72" i="8"/>
  <c r="E70" i="8"/>
  <c r="D70" i="8"/>
  <c r="C70" i="8"/>
  <c r="B70" i="8"/>
  <c r="A70" i="8"/>
  <c r="E69" i="8"/>
  <c r="D69" i="8"/>
  <c r="C69" i="8"/>
  <c r="B69" i="8"/>
  <c r="A69" i="8"/>
  <c r="E50" i="8"/>
  <c r="D50" i="8"/>
  <c r="C50" i="8"/>
  <c r="B50" i="8"/>
  <c r="A50" i="8"/>
  <c r="E260" i="8"/>
  <c r="D260" i="8"/>
  <c r="C260" i="8"/>
  <c r="B260" i="8"/>
  <c r="A260" i="8"/>
  <c r="E27" i="8"/>
  <c r="D27" i="8"/>
  <c r="C27" i="8"/>
  <c r="B27" i="8"/>
  <c r="A27" i="8"/>
  <c r="E46" i="8"/>
  <c r="D46" i="8"/>
  <c r="C46" i="8"/>
  <c r="B46" i="8"/>
  <c r="A46" i="8"/>
  <c r="E168" i="8"/>
  <c r="D168" i="8"/>
  <c r="C168" i="8"/>
  <c r="B168" i="8"/>
  <c r="A168" i="8"/>
  <c r="E159" i="8"/>
  <c r="D159" i="8"/>
  <c r="C159" i="8"/>
  <c r="B159" i="8"/>
  <c r="A159" i="8"/>
  <c r="E110" i="8"/>
  <c r="D110" i="8"/>
  <c r="C110" i="8"/>
  <c r="B110" i="8"/>
  <c r="A110" i="8"/>
  <c r="E96" i="8"/>
  <c r="D96" i="8"/>
  <c r="C96" i="8"/>
  <c r="B96" i="8"/>
  <c r="A96" i="8"/>
  <c r="E91" i="8"/>
  <c r="D91" i="8"/>
  <c r="C91" i="8"/>
  <c r="B91" i="8"/>
  <c r="A91" i="8"/>
  <c r="E88" i="8"/>
  <c r="D88" i="8"/>
  <c r="C88" i="8"/>
  <c r="B88" i="8"/>
  <c r="A88" i="8"/>
  <c r="E90" i="8"/>
  <c r="D90" i="8"/>
  <c r="C90" i="8"/>
  <c r="B90" i="8"/>
  <c r="A90" i="8"/>
  <c r="E71" i="8"/>
  <c r="D71" i="8"/>
  <c r="C71" i="8"/>
  <c r="B71" i="8"/>
  <c r="A71" i="8"/>
  <c r="E64" i="8"/>
  <c r="D64" i="8"/>
  <c r="C64" i="8"/>
  <c r="B64" i="8"/>
  <c r="A64" i="8"/>
  <c r="E59" i="8"/>
  <c r="D59" i="8"/>
  <c r="C59" i="8"/>
  <c r="B59" i="8"/>
  <c r="A59" i="8"/>
  <c r="E54" i="8"/>
  <c r="D54" i="8"/>
  <c r="C54" i="8"/>
  <c r="B54" i="8"/>
  <c r="A54" i="8"/>
  <c r="E58" i="8"/>
  <c r="D58" i="8"/>
  <c r="C58" i="8"/>
  <c r="B58" i="8"/>
  <c r="A58" i="8"/>
  <c r="E25" i="8"/>
  <c r="D25" i="8"/>
  <c r="C25" i="8"/>
  <c r="B25" i="8"/>
  <c r="A25" i="8"/>
  <c r="E158" i="8"/>
  <c r="D158" i="8"/>
  <c r="C158" i="8"/>
  <c r="B158" i="8"/>
  <c r="A158" i="8"/>
  <c r="E95" i="8"/>
  <c r="D95" i="8"/>
  <c r="C95" i="8"/>
  <c r="B95" i="8"/>
  <c r="A95" i="8"/>
  <c r="E87" i="8"/>
  <c r="D87" i="8"/>
  <c r="C87" i="8"/>
  <c r="B87" i="8"/>
  <c r="A87" i="8"/>
  <c r="E63" i="8"/>
  <c r="D63" i="8"/>
  <c r="C63" i="8"/>
  <c r="B63" i="8"/>
  <c r="A63" i="8"/>
  <c r="E45" i="8"/>
  <c r="D45" i="8"/>
  <c r="C45" i="8"/>
  <c r="B45" i="8"/>
  <c r="A45" i="8"/>
  <c r="E40" i="8"/>
  <c r="D40" i="8"/>
  <c r="C40" i="8"/>
  <c r="B40" i="8"/>
  <c r="A40" i="8"/>
  <c r="E23" i="8"/>
  <c r="D23" i="8"/>
  <c r="C23" i="8"/>
  <c r="B23" i="8"/>
  <c r="A23" i="8"/>
  <c r="E18" i="8"/>
  <c r="D18" i="8"/>
  <c r="C18" i="8"/>
  <c r="B18" i="8"/>
  <c r="A18" i="8"/>
  <c r="E86" i="8"/>
  <c r="D86" i="8"/>
  <c r="C86" i="8"/>
  <c r="B86" i="8"/>
  <c r="A86" i="8"/>
  <c r="D44" i="8"/>
  <c r="C44" i="8"/>
  <c r="B44" i="8"/>
  <c r="A44" i="8"/>
  <c r="E36" i="8"/>
  <c r="D36" i="8"/>
  <c r="C36" i="8"/>
  <c r="B36" i="8"/>
  <c r="A36" i="8"/>
  <c r="E17" i="8"/>
  <c r="D17" i="8"/>
  <c r="C17" i="8"/>
  <c r="B17" i="8"/>
  <c r="A17" i="8"/>
  <c r="E16" i="8"/>
  <c r="D16" i="8"/>
  <c r="C16" i="8"/>
  <c r="B16" i="8"/>
  <c r="A16" i="8"/>
  <c r="E14" i="8"/>
  <c r="D14" i="8"/>
  <c r="C14" i="8"/>
  <c r="B14" i="8"/>
  <c r="A14" i="8"/>
  <c r="E35" i="8"/>
  <c r="D35" i="8"/>
  <c r="C35" i="8"/>
  <c r="B35" i="8"/>
  <c r="A35" i="8"/>
  <c r="E15" i="8"/>
  <c r="D15" i="8"/>
  <c r="C15" i="8"/>
  <c r="B15" i="8"/>
  <c r="A15" i="8"/>
  <c r="E12" i="8"/>
  <c r="D12" i="8"/>
  <c r="C12" i="8"/>
  <c r="B12" i="8"/>
  <c r="A12" i="8"/>
  <c r="E11" i="8"/>
  <c r="D11" i="8"/>
  <c r="C11" i="8"/>
  <c r="B11" i="8"/>
  <c r="A11" i="8"/>
  <c r="E7" i="8"/>
  <c r="D7" i="8"/>
  <c r="C7" i="8"/>
  <c r="B7" i="8"/>
  <c r="A7" i="8"/>
  <c r="E5" i="8"/>
  <c r="D5" i="8"/>
  <c r="C5" i="8"/>
  <c r="B5" i="8"/>
  <c r="A5" i="8"/>
  <c r="E3" i="8"/>
  <c r="D3" i="8"/>
  <c r="C3" i="8"/>
  <c r="B3" i="8"/>
  <c r="A3" i="8"/>
  <c r="E10" i="8"/>
  <c r="D10" i="8"/>
  <c r="C10" i="8"/>
  <c r="B10" i="8"/>
  <c r="A10" i="8"/>
  <c r="E6" i="8"/>
  <c r="D6" i="8"/>
  <c r="C6" i="8"/>
  <c r="B6" i="8"/>
  <c r="A6" i="8"/>
  <c r="E4" i="8"/>
  <c r="D4" i="8"/>
  <c r="C4" i="8"/>
  <c r="B4" i="8"/>
  <c r="A4" i="8"/>
  <c r="E2" i="8"/>
  <c r="D2" i="8"/>
  <c r="C2" i="8"/>
  <c r="B2" i="8"/>
  <c r="A2" i="8"/>
  <c r="I2" i="94"/>
  <c r="R14" i="94"/>
  <c r="R5" i="94"/>
  <c r="F4" i="94"/>
  <c r="E5" i="94"/>
  <c r="F5" i="94" s="1"/>
  <c r="A14" i="94"/>
  <c r="B16" i="94"/>
  <c r="A21" i="94"/>
  <c r="C23" i="94"/>
  <c r="A3" i="94"/>
  <c r="B3" i="94"/>
  <c r="C3" i="94"/>
  <c r="D3" i="94"/>
  <c r="E3" i="94"/>
  <c r="F3" i="94"/>
  <c r="G3" i="94"/>
  <c r="A4" i="94"/>
  <c r="B4" i="94"/>
  <c r="C4" i="94"/>
  <c r="D4" i="94"/>
  <c r="E4" i="94"/>
  <c r="G4" i="94"/>
  <c r="A5" i="94"/>
  <c r="B5" i="94"/>
  <c r="C5" i="94"/>
  <c r="D5" i="94"/>
  <c r="G5" i="94"/>
  <c r="X2" i="94"/>
  <c r="G2" i="94" s="1"/>
  <c r="R12" i="94"/>
  <c r="A12" i="94" s="1"/>
  <c r="S12" i="94"/>
  <c r="B12" i="94" s="1"/>
  <c r="T12" i="94"/>
  <c r="C12" i="94" s="1"/>
  <c r="U12" i="94"/>
  <c r="D12" i="94" s="1"/>
  <c r="F12" i="94" s="1"/>
  <c r="V12" i="94"/>
  <c r="E12" i="94" s="1"/>
  <c r="W12" i="94"/>
  <c r="X12" i="94"/>
  <c r="G12" i="94" s="1"/>
  <c r="Y12" i="94"/>
  <c r="H12" i="94" s="1"/>
  <c r="Z12" i="94"/>
  <c r="R13" i="94"/>
  <c r="A13" i="94" s="1"/>
  <c r="S13" i="94"/>
  <c r="B13" i="94" s="1"/>
  <c r="T13" i="94"/>
  <c r="C13" i="94" s="1"/>
  <c r="U13" i="94"/>
  <c r="D13" i="94" s="1"/>
  <c r="V13" i="94"/>
  <c r="E13" i="94" s="1"/>
  <c r="W13" i="94"/>
  <c r="X13" i="94"/>
  <c r="G13" i="94" s="1"/>
  <c r="Y13" i="94"/>
  <c r="Z13" i="94"/>
  <c r="S14" i="94"/>
  <c r="B14" i="94" s="1"/>
  <c r="T14" i="94"/>
  <c r="C14" i="94" s="1"/>
  <c r="U14" i="94"/>
  <c r="D14" i="94" s="1"/>
  <c r="F14" i="94" s="1"/>
  <c r="V14" i="94"/>
  <c r="E14" i="94" s="1"/>
  <c r="W14" i="94"/>
  <c r="X14" i="94"/>
  <c r="G14" i="94" s="1"/>
  <c r="Y14" i="94"/>
  <c r="H14" i="94" s="1"/>
  <c r="Z14" i="94"/>
  <c r="R15" i="94"/>
  <c r="A15" i="94" s="1"/>
  <c r="S15" i="94"/>
  <c r="B15" i="94" s="1"/>
  <c r="T15" i="94"/>
  <c r="C15" i="94" s="1"/>
  <c r="U15" i="94"/>
  <c r="D15" i="94" s="1"/>
  <c r="V15" i="94"/>
  <c r="E15" i="94" s="1"/>
  <c r="W15" i="94"/>
  <c r="X15" i="94"/>
  <c r="G15" i="94" s="1"/>
  <c r="Y15" i="94"/>
  <c r="H15" i="94" s="1"/>
  <c r="Z15" i="94"/>
  <c r="R16" i="94"/>
  <c r="A16" i="94" s="1"/>
  <c r="S16" i="94"/>
  <c r="T16" i="94"/>
  <c r="C16" i="94" s="1"/>
  <c r="U16" i="94"/>
  <c r="D16" i="94" s="1"/>
  <c r="V16" i="94"/>
  <c r="E16" i="94" s="1"/>
  <c r="W16" i="94"/>
  <c r="X16" i="94"/>
  <c r="G16" i="94" s="1"/>
  <c r="Y16" i="94"/>
  <c r="H16" i="94" s="1"/>
  <c r="Z16" i="94"/>
  <c r="R17" i="94"/>
  <c r="A17" i="94" s="1"/>
  <c r="S17" i="94"/>
  <c r="B17" i="94" s="1"/>
  <c r="T17" i="94"/>
  <c r="C17" i="94" s="1"/>
  <c r="U17" i="94"/>
  <c r="D17" i="94" s="1"/>
  <c r="V17" i="94"/>
  <c r="E17" i="94" s="1"/>
  <c r="W17" i="94"/>
  <c r="X17" i="94"/>
  <c r="G17" i="94" s="1"/>
  <c r="Y17" i="94"/>
  <c r="Z17" i="94"/>
  <c r="R18" i="94"/>
  <c r="A18" i="94" s="1"/>
  <c r="S18" i="94"/>
  <c r="B18" i="94" s="1"/>
  <c r="T18" i="94"/>
  <c r="C18" i="94" s="1"/>
  <c r="U18" i="94"/>
  <c r="D18" i="94" s="1"/>
  <c r="V18" i="94"/>
  <c r="E18" i="94" s="1"/>
  <c r="F18" i="94" s="1"/>
  <c r="W18" i="94"/>
  <c r="X18" i="94"/>
  <c r="G18" i="94" s="1"/>
  <c r="Y18" i="94"/>
  <c r="H18" i="94" s="1"/>
  <c r="Z18" i="94"/>
  <c r="R19" i="94"/>
  <c r="A19" i="94" s="1"/>
  <c r="S19" i="94"/>
  <c r="B19" i="94" s="1"/>
  <c r="T19" i="94"/>
  <c r="C19" i="94" s="1"/>
  <c r="U19" i="94"/>
  <c r="D19" i="94" s="1"/>
  <c r="F19" i="94" s="1"/>
  <c r="V19" i="94"/>
  <c r="E19" i="94" s="1"/>
  <c r="W19" i="94"/>
  <c r="X19" i="94"/>
  <c r="G19" i="94" s="1"/>
  <c r="Y19" i="94"/>
  <c r="H19" i="94" s="1"/>
  <c r="Z19" i="94"/>
  <c r="R20" i="94"/>
  <c r="A20" i="94" s="1"/>
  <c r="S20" i="94"/>
  <c r="B20" i="94" s="1"/>
  <c r="T20" i="94"/>
  <c r="C20" i="94" s="1"/>
  <c r="U20" i="94"/>
  <c r="D20" i="94" s="1"/>
  <c r="V20" i="94"/>
  <c r="E20" i="94" s="1"/>
  <c r="W20" i="94"/>
  <c r="X20" i="94"/>
  <c r="G20" i="94" s="1"/>
  <c r="Y20" i="94"/>
  <c r="H20" i="94" s="1"/>
  <c r="Z20" i="94"/>
  <c r="R21" i="94"/>
  <c r="S21" i="94"/>
  <c r="B21" i="94" s="1"/>
  <c r="T21" i="94"/>
  <c r="C21" i="94" s="1"/>
  <c r="U21" i="94"/>
  <c r="D21" i="94" s="1"/>
  <c r="V21" i="94"/>
  <c r="E21" i="94" s="1"/>
  <c r="W21" i="94"/>
  <c r="X21" i="94"/>
  <c r="G21" i="94" s="1"/>
  <c r="Y21" i="94"/>
  <c r="Z21" i="94"/>
  <c r="R22" i="94"/>
  <c r="A22" i="94" s="1"/>
  <c r="S22" i="94"/>
  <c r="B22" i="94" s="1"/>
  <c r="T22" i="94"/>
  <c r="C22" i="94" s="1"/>
  <c r="U22" i="94"/>
  <c r="D22" i="94" s="1"/>
  <c r="F22" i="94" s="1"/>
  <c r="V22" i="94"/>
  <c r="E22" i="94" s="1"/>
  <c r="W22" i="94"/>
  <c r="X22" i="94"/>
  <c r="G22" i="94" s="1"/>
  <c r="Y22" i="94"/>
  <c r="H22" i="94" s="1"/>
  <c r="Z22" i="94"/>
  <c r="R23" i="94"/>
  <c r="A23" i="94" s="1"/>
  <c r="S23" i="94"/>
  <c r="B23" i="94" s="1"/>
  <c r="T23" i="94"/>
  <c r="U23" i="94"/>
  <c r="D23" i="94" s="1"/>
  <c r="F23" i="94" s="1"/>
  <c r="V23" i="94"/>
  <c r="E23" i="94" s="1"/>
  <c r="W23" i="94"/>
  <c r="X23" i="94"/>
  <c r="Y23" i="94"/>
  <c r="H23" i="94" s="1"/>
  <c r="Z23" i="94"/>
  <c r="R24" i="94"/>
  <c r="A24" i="94" s="1"/>
  <c r="S24" i="94"/>
  <c r="B24" i="94" s="1"/>
  <c r="T24" i="94"/>
  <c r="C24" i="94" s="1"/>
  <c r="U24" i="94"/>
  <c r="D24" i="94" s="1"/>
  <c r="V24" i="94"/>
  <c r="E24" i="94" s="1"/>
  <c r="W24" i="94"/>
  <c r="X24" i="94"/>
  <c r="G24" i="94" s="1"/>
  <c r="Y24" i="94"/>
  <c r="H24" i="94" s="1"/>
  <c r="Z24" i="94"/>
  <c r="R25" i="94"/>
  <c r="A25" i="94" s="1"/>
  <c r="S25" i="94"/>
  <c r="B25" i="94" s="1"/>
  <c r="T25" i="94"/>
  <c r="C25" i="94" s="1"/>
  <c r="U25" i="94"/>
  <c r="D25" i="94" s="1"/>
  <c r="V25" i="94"/>
  <c r="E25" i="94" s="1"/>
  <c r="W25" i="94"/>
  <c r="X25" i="94"/>
  <c r="G25" i="94" s="1"/>
  <c r="Y25" i="94"/>
  <c r="Z25" i="94"/>
  <c r="R26" i="94"/>
  <c r="A26" i="94" s="1"/>
  <c r="S26" i="94"/>
  <c r="B26" i="94" s="1"/>
  <c r="T26" i="94"/>
  <c r="C26" i="94" s="1"/>
  <c r="U26" i="94"/>
  <c r="D26" i="94" s="1"/>
  <c r="V26" i="94"/>
  <c r="E26" i="94" s="1"/>
  <c r="W26" i="94"/>
  <c r="X26" i="94"/>
  <c r="G26" i="94" s="1"/>
  <c r="Y26" i="94"/>
  <c r="H26" i="94" s="1"/>
  <c r="Z26" i="94"/>
  <c r="R27" i="94"/>
  <c r="A27" i="94" s="1"/>
  <c r="S27" i="94"/>
  <c r="B27" i="94" s="1"/>
  <c r="T27" i="94"/>
  <c r="C27" i="94" s="1"/>
  <c r="U27" i="94"/>
  <c r="D27" i="94" s="1"/>
  <c r="V27" i="94"/>
  <c r="E27" i="94" s="1"/>
  <c r="W27" i="94"/>
  <c r="X27" i="94"/>
  <c r="G27" i="94" s="1"/>
  <c r="Y27" i="94"/>
  <c r="H27" i="94" s="1"/>
  <c r="Z27" i="94"/>
  <c r="R28" i="94"/>
  <c r="A28" i="94" s="1"/>
  <c r="S28" i="94"/>
  <c r="B28" i="94" s="1"/>
  <c r="T28" i="94"/>
  <c r="C28" i="94" s="1"/>
  <c r="U28" i="94"/>
  <c r="D28" i="94" s="1"/>
  <c r="V28" i="94"/>
  <c r="E28" i="94" s="1"/>
  <c r="W28" i="94"/>
  <c r="X28" i="94"/>
  <c r="G28" i="94" s="1"/>
  <c r="Y28" i="94"/>
  <c r="H28" i="94" s="1"/>
  <c r="Z28" i="94"/>
  <c r="R29" i="94"/>
  <c r="A29" i="94" s="1"/>
  <c r="S29" i="94"/>
  <c r="B29" i="94" s="1"/>
  <c r="T29" i="94"/>
  <c r="C29" i="94" s="1"/>
  <c r="U29" i="94"/>
  <c r="D29" i="94" s="1"/>
  <c r="V29" i="94"/>
  <c r="E29" i="94" s="1"/>
  <c r="W29" i="94"/>
  <c r="X29" i="94"/>
  <c r="G29" i="94" s="1"/>
  <c r="Y29" i="94"/>
  <c r="Z29" i="94"/>
  <c r="R30" i="94"/>
  <c r="A30" i="94" s="1"/>
  <c r="S30" i="94"/>
  <c r="B30" i="94" s="1"/>
  <c r="T30" i="94"/>
  <c r="C30" i="94" s="1"/>
  <c r="U30" i="94"/>
  <c r="D30" i="94" s="1"/>
  <c r="F30" i="94" s="1"/>
  <c r="V30" i="94"/>
  <c r="E30" i="94" s="1"/>
  <c r="W30" i="94"/>
  <c r="X30" i="94"/>
  <c r="G30" i="94" s="1"/>
  <c r="Y30" i="94"/>
  <c r="H30" i="94" s="1"/>
  <c r="Z30" i="94"/>
  <c r="R31" i="94"/>
  <c r="A31" i="94" s="1"/>
  <c r="S31" i="94"/>
  <c r="B31" i="94" s="1"/>
  <c r="T31" i="94"/>
  <c r="C31" i="94" s="1"/>
  <c r="U31" i="94"/>
  <c r="D31" i="94" s="1"/>
  <c r="V31" i="94"/>
  <c r="E31" i="94" s="1"/>
  <c r="W31" i="94"/>
  <c r="X31" i="94"/>
  <c r="G31" i="94" s="1"/>
  <c r="Y31" i="94"/>
  <c r="H31" i="94" s="1"/>
  <c r="Z31" i="94"/>
  <c r="R32" i="94"/>
  <c r="A32" i="94" s="1"/>
  <c r="S32" i="94"/>
  <c r="B32" i="94" s="1"/>
  <c r="T32" i="94"/>
  <c r="C32" i="94" s="1"/>
  <c r="U32" i="94"/>
  <c r="D32" i="94" s="1"/>
  <c r="V32" i="94"/>
  <c r="E32" i="94" s="1"/>
  <c r="W32" i="94"/>
  <c r="X32" i="94"/>
  <c r="G32" i="94" s="1"/>
  <c r="Y32" i="94"/>
  <c r="H32" i="94" s="1"/>
  <c r="Z32" i="94"/>
  <c r="R33" i="94"/>
  <c r="A33" i="94" s="1"/>
  <c r="S33" i="94"/>
  <c r="B33" i="94" s="1"/>
  <c r="T33" i="94"/>
  <c r="C33" i="94" s="1"/>
  <c r="U33" i="94"/>
  <c r="D33" i="94" s="1"/>
  <c r="V33" i="94"/>
  <c r="E33" i="94" s="1"/>
  <c r="W33" i="94"/>
  <c r="X33" i="94"/>
  <c r="G33" i="94" s="1"/>
  <c r="Y33" i="94"/>
  <c r="Z33" i="94"/>
  <c r="R34" i="94"/>
  <c r="A34" i="94" s="1"/>
  <c r="S34" i="94"/>
  <c r="B34" i="94" s="1"/>
  <c r="T34" i="94"/>
  <c r="C34" i="94" s="1"/>
  <c r="U34" i="94"/>
  <c r="D34" i="94" s="1"/>
  <c r="F34" i="94" s="1"/>
  <c r="V34" i="94"/>
  <c r="E34" i="94" s="1"/>
  <c r="W34" i="94"/>
  <c r="X34" i="94"/>
  <c r="G34" i="94" s="1"/>
  <c r="Y34" i="94"/>
  <c r="H34" i="94" s="1"/>
  <c r="Z34" i="94"/>
  <c r="R35" i="94"/>
  <c r="A35" i="94" s="1"/>
  <c r="S35" i="94"/>
  <c r="B35" i="94" s="1"/>
  <c r="T35" i="94"/>
  <c r="C35" i="94" s="1"/>
  <c r="U35" i="94"/>
  <c r="D35" i="94" s="1"/>
  <c r="V35" i="94"/>
  <c r="E35" i="94" s="1"/>
  <c r="W35" i="94"/>
  <c r="X35" i="94"/>
  <c r="G35" i="94" s="1"/>
  <c r="Y35" i="94"/>
  <c r="H35" i="94" s="1"/>
  <c r="Z35" i="94"/>
  <c r="R36" i="94"/>
  <c r="A36" i="94" s="1"/>
  <c r="S36" i="94"/>
  <c r="B36" i="94" s="1"/>
  <c r="T36" i="94"/>
  <c r="C36" i="94" s="1"/>
  <c r="U36" i="94"/>
  <c r="D36" i="94" s="1"/>
  <c r="V36" i="94"/>
  <c r="E36" i="94" s="1"/>
  <c r="W36" i="94"/>
  <c r="X36" i="94"/>
  <c r="G36" i="94" s="1"/>
  <c r="Y36" i="94"/>
  <c r="H36" i="94" s="1"/>
  <c r="Z36" i="94"/>
  <c r="R37" i="94"/>
  <c r="A37" i="94" s="1"/>
  <c r="S37" i="94"/>
  <c r="B37" i="94" s="1"/>
  <c r="T37" i="94"/>
  <c r="C37" i="94" s="1"/>
  <c r="U37" i="94"/>
  <c r="D37" i="94" s="1"/>
  <c r="V37" i="94"/>
  <c r="E37" i="94" s="1"/>
  <c r="W37" i="94"/>
  <c r="X37" i="94"/>
  <c r="G37" i="94" s="1"/>
  <c r="Y37" i="94"/>
  <c r="Z37" i="94"/>
  <c r="R38" i="94"/>
  <c r="A38" i="94" s="1"/>
  <c r="S38" i="94"/>
  <c r="B38" i="94" s="1"/>
  <c r="T38" i="94"/>
  <c r="C38" i="94" s="1"/>
  <c r="U38" i="94"/>
  <c r="D38" i="94" s="1"/>
  <c r="F38" i="94" s="1"/>
  <c r="V38" i="94"/>
  <c r="E38" i="94" s="1"/>
  <c r="W38" i="94"/>
  <c r="X38" i="94"/>
  <c r="G38" i="94" s="1"/>
  <c r="Y38" i="94"/>
  <c r="H38" i="94" s="1"/>
  <c r="Z38" i="94"/>
  <c r="R39" i="94"/>
  <c r="A39" i="94" s="1"/>
  <c r="S39" i="94"/>
  <c r="B39" i="94" s="1"/>
  <c r="T39" i="94"/>
  <c r="C39" i="94" s="1"/>
  <c r="U39" i="94"/>
  <c r="D39" i="94" s="1"/>
  <c r="V39" i="94"/>
  <c r="E39" i="94" s="1"/>
  <c r="W39" i="94"/>
  <c r="X39" i="94"/>
  <c r="G39" i="94" s="1"/>
  <c r="Y39" i="94"/>
  <c r="H39" i="94" s="1"/>
  <c r="Z39" i="94"/>
  <c r="R40" i="94"/>
  <c r="A40" i="94" s="1"/>
  <c r="S40" i="94"/>
  <c r="B40" i="94" s="1"/>
  <c r="T40" i="94"/>
  <c r="C40" i="94" s="1"/>
  <c r="U40" i="94"/>
  <c r="D40" i="94" s="1"/>
  <c r="V40" i="94"/>
  <c r="E40" i="94" s="1"/>
  <c r="W40" i="94"/>
  <c r="X40" i="94"/>
  <c r="G40" i="94" s="1"/>
  <c r="Y40" i="94"/>
  <c r="H40" i="94" s="1"/>
  <c r="Z40" i="94"/>
  <c r="R41" i="94"/>
  <c r="A41" i="94" s="1"/>
  <c r="S41" i="94"/>
  <c r="B41" i="94" s="1"/>
  <c r="T41" i="94"/>
  <c r="C41" i="94" s="1"/>
  <c r="U41" i="94"/>
  <c r="D41" i="94" s="1"/>
  <c r="V41" i="94"/>
  <c r="E41" i="94" s="1"/>
  <c r="W41" i="94"/>
  <c r="X41" i="94"/>
  <c r="G41" i="94" s="1"/>
  <c r="Y41" i="94"/>
  <c r="Z41" i="94"/>
  <c r="R42" i="94"/>
  <c r="A42" i="94" s="1"/>
  <c r="S42" i="94"/>
  <c r="B42" i="94" s="1"/>
  <c r="T42" i="94"/>
  <c r="C42" i="94" s="1"/>
  <c r="U42" i="94"/>
  <c r="D42" i="94" s="1"/>
  <c r="F42" i="94" s="1"/>
  <c r="V42" i="94"/>
  <c r="E42" i="94" s="1"/>
  <c r="W42" i="94"/>
  <c r="X42" i="94"/>
  <c r="G42" i="94" s="1"/>
  <c r="Y42" i="94"/>
  <c r="H42" i="94" s="1"/>
  <c r="Z42" i="94"/>
  <c r="R43" i="94"/>
  <c r="A43" i="94" s="1"/>
  <c r="S43" i="94"/>
  <c r="B43" i="94" s="1"/>
  <c r="T43" i="94"/>
  <c r="C43" i="94" s="1"/>
  <c r="U43" i="94"/>
  <c r="D43" i="94" s="1"/>
  <c r="V43" i="94"/>
  <c r="E43" i="94" s="1"/>
  <c r="W43" i="94"/>
  <c r="X43" i="94"/>
  <c r="G43" i="94" s="1"/>
  <c r="Y43" i="94"/>
  <c r="H43" i="94" s="1"/>
  <c r="Z43" i="94"/>
  <c r="R44" i="94"/>
  <c r="A44" i="94" s="1"/>
  <c r="S44" i="94"/>
  <c r="B44" i="94" s="1"/>
  <c r="T44" i="94"/>
  <c r="C44" i="94" s="1"/>
  <c r="U44" i="94"/>
  <c r="D44" i="94" s="1"/>
  <c r="V44" i="94"/>
  <c r="E44" i="94" s="1"/>
  <c r="W44" i="94"/>
  <c r="X44" i="94"/>
  <c r="G44" i="94" s="1"/>
  <c r="Y44" i="94"/>
  <c r="H44" i="94" s="1"/>
  <c r="Z44" i="94"/>
  <c r="R45" i="94"/>
  <c r="A45" i="94" s="1"/>
  <c r="S45" i="94"/>
  <c r="B45" i="94" s="1"/>
  <c r="T45" i="94"/>
  <c r="C45" i="94" s="1"/>
  <c r="U45" i="94"/>
  <c r="D45" i="94" s="1"/>
  <c r="V45" i="94"/>
  <c r="E45" i="94" s="1"/>
  <c r="W45" i="94"/>
  <c r="X45" i="94"/>
  <c r="G45" i="94" s="1"/>
  <c r="Y45" i="94"/>
  <c r="Z45" i="94"/>
  <c r="R46" i="94"/>
  <c r="A46" i="94" s="1"/>
  <c r="S46" i="94"/>
  <c r="B46" i="94" s="1"/>
  <c r="T46" i="94"/>
  <c r="C46" i="94" s="1"/>
  <c r="U46" i="94"/>
  <c r="D46" i="94" s="1"/>
  <c r="F46" i="94" s="1"/>
  <c r="V46" i="94"/>
  <c r="E46" i="94" s="1"/>
  <c r="W46" i="94"/>
  <c r="X46" i="94"/>
  <c r="G46" i="94" s="1"/>
  <c r="Y46" i="94"/>
  <c r="H46" i="94" s="1"/>
  <c r="Z46" i="94"/>
  <c r="R47" i="94"/>
  <c r="A47" i="94" s="1"/>
  <c r="S47" i="94"/>
  <c r="B47" i="94" s="1"/>
  <c r="T47" i="94"/>
  <c r="C47" i="94" s="1"/>
  <c r="U47" i="94"/>
  <c r="D47" i="94" s="1"/>
  <c r="V47" i="94"/>
  <c r="E47" i="94" s="1"/>
  <c r="W47" i="94"/>
  <c r="X47" i="94"/>
  <c r="G47" i="94" s="1"/>
  <c r="Y47" i="94"/>
  <c r="H47" i="94" s="1"/>
  <c r="Z47" i="94"/>
  <c r="R48" i="94"/>
  <c r="A48" i="94" s="1"/>
  <c r="S48" i="94"/>
  <c r="B48" i="94" s="1"/>
  <c r="T48" i="94"/>
  <c r="C48" i="94" s="1"/>
  <c r="U48" i="94"/>
  <c r="D48" i="94" s="1"/>
  <c r="V48" i="94"/>
  <c r="E48" i="94" s="1"/>
  <c r="W48" i="94"/>
  <c r="X48" i="94"/>
  <c r="G48" i="94" s="1"/>
  <c r="Y48" i="94"/>
  <c r="H48" i="94" s="1"/>
  <c r="Z48" i="94"/>
  <c r="R49" i="94"/>
  <c r="A49" i="94" s="1"/>
  <c r="S49" i="94"/>
  <c r="B49" i="94" s="1"/>
  <c r="T49" i="94"/>
  <c r="C49" i="94" s="1"/>
  <c r="U49" i="94"/>
  <c r="D49" i="94" s="1"/>
  <c r="V49" i="94"/>
  <c r="E49" i="94" s="1"/>
  <c r="W49" i="94"/>
  <c r="X49" i="94"/>
  <c r="G49" i="94" s="1"/>
  <c r="Y49" i="94"/>
  <c r="Z49" i="94"/>
  <c r="R51" i="94"/>
  <c r="A51" i="94" s="1"/>
  <c r="S51" i="94"/>
  <c r="B51" i="94" s="1"/>
  <c r="T51" i="94"/>
  <c r="C51" i="94" s="1"/>
  <c r="U51" i="94"/>
  <c r="D51" i="94" s="1"/>
  <c r="F51" i="94" s="1"/>
  <c r="V51" i="94"/>
  <c r="E51" i="94" s="1"/>
  <c r="W51" i="94"/>
  <c r="X51" i="94"/>
  <c r="G51" i="94" s="1"/>
  <c r="Y51" i="94"/>
  <c r="H51" i="94" s="1"/>
  <c r="Z51" i="94"/>
  <c r="R52" i="94"/>
  <c r="A52" i="94" s="1"/>
  <c r="S52" i="94"/>
  <c r="B52" i="94" s="1"/>
  <c r="T52" i="94"/>
  <c r="C52" i="94" s="1"/>
  <c r="U52" i="94"/>
  <c r="D52" i="94" s="1"/>
  <c r="V52" i="94"/>
  <c r="E52" i="94" s="1"/>
  <c r="W52" i="94"/>
  <c r="X52" i="94"/>
  <c r="G52" i="94" s="1"/>
  <c r="Y52" i="94"/>
  <c r="H52" i="94" s="1"/>
  <c r="Z52" i="94"/>
  <c r="R53" i="94"/>
  <c r="A53" i="94" s="1"/>
  <c r="S53" i="94"/>
  <c r="B53" i="94" s="1"/>
  <c r="T53" i="94"/>
  <c r="C53" i="94" s="1"/>
  <c r="U53" i="94"/>
  <c r="D53" i="94" s="1"/>
  <c r="V53" i="94"/>
  <c r="E53" i="94" s="1"/>
  <c r="W53" i="94"/>
  <c r="X53" i="94"/>
  <c r="G53" i="94" s="1"/>
  <c r="Y53" i="94"/>
  <c r="H53" i="94" s="1"/>
  <c r="Z53" i="94"/>
  <c r="R54" i="94"/>
  <c r="A54" i="94" s="1"/>
  <c r="S54" i="94"/>
  <c r="B54" i="94" s="1"/>
  <c r="T54" i="94"/>
  <c r="C54" i="94" s="1"/>
  <c r="U54" i="94"/>
  <c r="D54" i="94" s="1"/>
  <c r="V54" i="94"/>
  <c r="E54" i="94" s="1"/>
  <c r="W54" i="94"/>
  <c r="X54" i="94"/>
  <c r="G54" i="94" s="1"/>
  <c r="Y54" i="94"/>
  <c r="Z54" i="94"/>
  <c r="R55" i="94"/>
  <c r="A55" i="94" s="1"/>
  <c r="S55" i="94"/>
  <c r="B55" i="94" s="1"/>
  <c r="T55" i="94"/>
  <c r="C55" i="94" s="1"/>
  <c r="U55" i="94"/>
  <c r="D55" i="94" s="1"/>
  <c r="F55" i="94" s="1"/>
  <c r="V55" i="94"/>
  <c r="E55" i="94" s="1"/>
  <c r="W55" i="94"/>
  <c r="X55" i="94"/>
  <c r="G55" i="94" s="1"/>
  <c r="Y55" i="94"/>
  <c r="H55" i="94" s="1"/>
  <c r="Z55" i="94"/>
  <c r="R56" i="94"/>
  <c r="A56" i="94" s="1"/>
  <c r="S56" i="94"/>
  <c r="B56" i="94" s="1"/>
  <c r="T56" i="94"/>
  <c r="C56" i="94" s="1"/>
  <c r="U56" i="94"/>
  <c r="D56" i="94" s="1"/>
  <c r="V56" i="94"/>
  <c r="E56" i="94" s="1"/>
  <c r="W56" i="94"/>
  <c r="X56" i="94"/>
  <c r="G56" i="94" s="1"/>
  <c r="Y56" i="94"/>
  <c r="H56" i="94" s="1"/>
  <c r="Z56" i="94"/>
  <c r="R57" i="94"/>
  <c r="A57" i="94" s="1"/>
  <c r="S57" i="94"/>
  <c r="B57" i="94" s="1"/>
  <c r="T57" i="94"/>
  <c r="C57" i="94" s="1"/>
  <c r="U57" i="94"/>
  <c r="D57" i="94" s="1"/>
  <c r="V57" i="94"/>
  <c r="E57" i="94" s="1"/>
  <c r="W57" i="94"/>
  <c r="X57" i="94"/>
  <c r="G57" i="94" s="1"/>
  <c r="Y57" i="94"/>
  <c r="H57" i="94" s="1"/>
  <c r="Z57" i="94"/>
  <c r="R58" i="94"/>
  <c r="A58" i="94" s="1"/>
  <c r="S58" i="94"/>
  <c r="B58" i="94" s="1"/>
  <c r="T58" i="94"/>
  <c r="C58" i="94" s="1"/>
  <c r="U58" i="94"/>
  <c r="D58" i="94" s="1"/>
  <c r="V58" i="94"/>
  <c r="E58" i="94" s="1"/>
  <c r="W58" i="94"/>
  <c r="X58" i="94"/>
  <c r="G58" i="94" s="1"/>
  <c r="Y58" i="94"/>
  <c r="Z58" i="94"/>
  <c r="R59" i="94"/>
  <c r="A59" i="94" s="1"/>
  <c r="S59" i="94"/>
  <c r="B59" i="94" s="1"/>
  <c r="T59" i="94"/>
  <c r="C59" i="94" s="1"/>
  <c r="U59" i="94"/>
  <c r="D59" i="94" s="1"/>
  <c r="F59" i="94" s="1"/>
  <c r="V59" i="94"/>
  <c r="E59" i="94" s="1"/>
  <c r="W59" i="94"/>
  <c r="X59" i="94"/>
  <c r="G59" i="94" s="1"/>
  <c r="Y59" i="94"/>
  <c r="H59" i="94" s="1"/>
  <c r="Z59" i="94"/>
  <c r="R60" i="94"/>
  <c r="A60" i="94" s="1"/>
  <c r="S60" i="94"/>
  <c r="B60" i="94" s="1"/>
  <c r="T60" i="94"/>
  <c r="C60" i="94" s="1"/>
  <c r="U60" i="94"/>
  <c r="D60" i="94" s="1"/>
  <c r="V60" i="94"/>
  <c r="E60" i="94" s="1"/>
  <c r="W60" i="94"/>
  <c r="X60" i="94"/>
  <c r="G60" i="94" s="1"/>
  <c r="Y60" i="94"/>
  <c r="H60" i="94" s="1"/>
  <c r="Z60" i="94"/>
  <c r="R61" i="94"/>
  <c r="A61" i="94" s="1"/>
  <c r="S61" i="94"/>
  <c r="B61" i="94" s="1"/>
  <c r="T61" i="94"/>
  <c r="C61" i="94" s="1"/>
  <c r="U61" i="94"/>
  <c r="D61" i="94" s="1"/>
  <c r="V61" i="94"/>
  <c r="E61" i="94" s="1"/>
  <c r="W61" i="94"/>
  <c r="X61" i="94"/>
  <c r="G61" i="94" s="1"/>
  <c r="Y61" i="94"/>
  <c r="H61" i="94" s="1"/>
  <c r="Z61" i="94"/>
  <c r="R62" i="94"/>
  <c r="A62" i="94" s="1"/>
  <c r="S62" i="94"/>
  <c r="B62" i="94" s="1"/>
  <c r="T62" i="94"/>
  <c r="C62" i="94" s="1"/>
  <c r="U62" i="94"/>
  <c r="D62" i="94" s="1"/>
  <c r="V62" i="94"/>
  <c r="E62" i="94" s="1"/>
  <c r="W62" i="94"/>
  <c r="X62" i="94"/>
  <c r="G62" i="94" s="1"/>
  <c r="Y62" i="94"/>
  <c r="Z62" i="94"/>
  <c r="R63" i="94"/>
  <c r="A63" i="94" s="1"/>
  <c r="S63" i="94"/>
  <c r="B63" i="94" s="1"/>
  <c r="T63" i="94"/>
  <c r="C63" i="94" s="1"/>
  <c r="U63" i="94"/>
  <c r="D63" i="94" s="1"/>
  <c r="F63" i="94" s="1"/>
  <c r="V63" i="94"/>
  <c r="E63" i="94" s="1"/>
  <c r="W63" i="94"/>
  <c r="X63" i="94"/>
  <c r="G63" i="94" s="1"/>
  <c r="Y63" i="94"/>
  <c r="H63" i="94" s="1"/>
  <c r="Z63" i="94"/>
  <c r="R64" i="94"/>
  <c r="A64" i="94" s="1"/>
  <c r="S64" i="94"/>
  <c r="B64" i="94" s="1"/>
  <c r="T64" i="94"/>
  <c r="C64" i="94" s="1"/>
  <c r="U64" i="94"/>
  <c r="D64" i="94" s="1"/>
  <c r="V64" i="94"/>
  <c r="E64" i="94" s="1"/>
  <c r="W64" i="94"/>
  <c r="X64" i="94"/>
  <c r="G64" i="94" s="1"/>
  <c r="Y64" i="94"/>
  <c r="H64" i="94" s="1"/>
  <c r="Z64" i="94"/>
  <c r="R65" i="94"/>
  <c r="A65" i="94" s="1"/>
  <c r="S65" i="94"/>
  <c r="B65" i="94" s="1"/>
  <c r="T65" i="94"/>
  <c r="C65" i="94" s="1"/>
  <c r="U65" i="94"/>
  <c r="D65" i="94" s="1"/>
  <c r="V65" i="94"/>
  <c r="E65" i="94" s="1"/>
  <c r="W65" i="94"/>
  <c r="X65" i="94"/>
  <c r="G65" i="94" s="1"/>
  <c r="Y65" i="94"/>
  <c r="H65" i="94" s="1"/>
  <c r="Z65" i="94"/>
  <c r="R66" i="94"/>
  <c r="A66" i="94" s="1"/>
  <c r="S66" i="94"/>
  <c r="B66" i="94" s="1"/>
  <c r="T66" i="94"/>
  <c r="C66" i="94" s="1"/>
  <c r="U66" i="94"/>
  <c r="D66" i="94" s="1"/>
  <c r="V66" i="94"/>
  <c r="E66" i="94" s="1"/>
  <c r="W66" i="94"/>
  <c r="X66" i="94"/>
  <c r="G66" i="94" s="1"/>
  <c r="Y66" i="94"/>
  <c r="Z66" i="94"/>
  <c r="R67" i="94"/>
  <c r="A67" i="94" s="1"/>
  <c r="S67" i="94"/>
  <c r="B67" i="94" s="1"/>
  <c r="T67" i="94"/>
  <c r="C67" i="94" s="1"/>
  <c r="U67" i="94"/>
  <c r="D67" i="94" s="1"/>
  <c r="F67" i="94" s="1"/>
  <c r="V67" i="94"/>
  <c r="E67" i="94" s="1"/>
  <c r="W67" i="94"/>
  <c r="X67" i="94"/>
  <c r="G67" i="94" s="1"/>
  <c r="Y67" i="94"/>
  <c r="H67" i="94" s="1"/>
  <c r="Z67" i="94"/>
  <c r="R68" i="94"/>
  <c r="A68" i="94" s="1"/>
  <c r="S68" i="94"/>
  <c r="B68" i="94" s="1"/>
  <c r="T68" i="94"/>
  <c r="C68" i="94" s="1"/>
  <c r="U68" i="94"/>
  <c r="D68" i="94" s="1"/>
  <c r="V68" i="94"/>
  <c r="E68" i="94" s="1"/>
  <c r="W68" i="94"/>
  <c r="X68" i="94"/>
  <c r="G68" i="94" s="1"/>
  <c r="Y68" i="94"/>
  <c r="H68" i="94" s="1"/>
  <c r="Z68" i="94"/>
  <c r="R69" i="94"/>
  <c r="A69" i="94" s="1"/>
  <c r="S69" i="94"/>
  <c r="B69" i="94" s="1"/>
  <c r="T69" i="94"/>
  <c r="C69" i="94" s="1"/>
  <c r="U69" i="94"/>
  <c r="D69" i="94" s="1"/>
  <c r="V69" i="94"/>
  <c r="E69" i="94" s="1"/>
  <c r="W69" i="94"/>
  <c r="X69" i="94"/>
  <c r="G69" i="94" s="1"/>
  <c r="Y69" i="94"/>
  <c r="H69" i="94" s="1"/>
  <c r="Z69" i="94"/>
  <c r="R70" i="94"/>
  <c r="A70" i="94" s="1"/>
  <c r="S70" i="94"/>
  <c r="B70" i="94" s="1"/>
  <c r="T70" i="94"/>
  <c r="C70" i="94" s="1"/>
  <c r="U70" i="94"/>
  <c r="D70" i="94" s="1"/>
  <c r="V70" i="94"/>
  <c r="E70" i="94" s="1"/>
  <c r="W70" i="94"/>
  <c r="X70" i="94"/>
  <c r="G70" i="94" s="1"/>
  <c r="Y70" i="94"/>
  <c r="Z70" i="94"/>
  <c r="R71" i="94"/>
  <c r="A71" i="94" s="1"/>
  <c r="S71" i="94"/>
  <c r="B71" i="94" s="1"/>
  <c r="T71" i="94"/>
  <c r="C71" i="94" s="1"/>
  <c r="U71" i="94"/>
  <c r="D71" i="94" s="1"/>
  <c r="F71" i="94" s="1"/>
  <c r="V71" i="94"/>
  <c r="E71" i="94" s="1"/>
  <c r="W71" i="94"/>
  <c r="X71" i="94"/>
  <c r="G71" i="94" s="1"/>
  <c r="Y71" i="94"/>
  <c r="H71" i="94" s="1"/>
  <c r="Z71" i="94"/>
  <c r="R72" i="94"/>
  <c r="A72" i="94" s="1"/>
  <c r="S72" i="94"/>
  <c r="B72" i="94" s="1"/>
  <c r="T72" i="94"/>
  <c r="C72" i="94" s="1"/>
  <c r="U72" i="94"/>
  <c r="D72" i="94" s="1"/>
  <c r="V72" i="94"/>
  <c r="E72" i="94" s="1"/>
  <c r="W72" i="94"/>
  <c r="X72" i="94"/>
  <c r="G72" i="94" s="1"/>
  <c r="Y72" i="94"/>
  <c r="H72" i="94" s="1"/>
  <c r="Z72" i="94"/>
  <c r="R73" i="94"/>
  <c r="A73" i="94" s="1"/>
  <c r="S73" i="94"/>
  <c r="B73" i="94" s="1"/>
  <c r="T73" i="94"/>
  <c r="C73" i="94" s="1"/>
  <c r="U73" i="94"/>
  <c r="D73" i="94" s="1"/>
  <c r="V73" i="94"/>
  <c r="E73" i="94" s="1"/>
  <c r="W73" i="94"/>
  <c r="X73" i="94"/>
  <c r="G73" i="94" s="1"/>
  <c r="Y73" i="94"/>
  <c r="H73" i="94" s="1"/>
  <c r="Z73" i="94"/>
  <c r="R74" i="94"/>
  <c r="A74" i="94" s="1"/>
  <c r="S74" i="94"/>
  <c r="B74" i="94" s="1"/>
  <c r="T74" i="94"/>
  <c r="C74" i="94" s="1"/>
  <c r="U74" i="94"/>
  <c r="D74" i="94" s="1"/>
  <c r="V74" i="94"/>
  <c r="E74" i="94" s="1"/>
  <c r="W74" i="94"/>
  <c r="X74" i="94"/>
  <c r="G74" i="94" s="1"/>
  <c r="Y74" i="94"/>
  <c r="Z74" i="94"/>
  <c r="R75" i="94"/>
  <c r="A75" i="94" s="1"/>
  <c r="S75" i="94"/>
  <c r="B75" i="94" s="1"/>
  <c r="T75" i="94"/>
  <c r="C75" i="94" s="1"/>
  <c r="U75" i="94"/>
  <c r="D75" i="94" s="1"/>
  <c r="F75" i="94" s="1"/>
  <c r="V75" i="94"/>
  <c r="E75" i="94" s="1"/>
  <c r="W75" i="94"/>
  <c r="X75" i="94"/>
  <c r="G75" i="94" s="1"/>
  <c r="Y75" i="94"/>
  <c r="H75" i="94" s="1"/>
  <c r="Z75" i="94"/>
  <c r="R76" i="94"/>
  <c r="A76" i="94" s="1"/>
  <c r="S76" i="94"/>
  <c r="B76" i="94" s="1"/>
  <c r="T76" i="94"/>
  <c r="C76" i="94" s="1"/>
  <c r="U76" i="94"/>
  <c r="D76" i="94" s="1"/>
  <c r="V76" i="94"/>
  <c r="E76" i="94" s="1"/>
  <c r="W76" i="94"/>
  <c r="X76" i="94"/>
  <c r="G76" i="94" s="1"/>
  <c r="Y76" i="94"/>
  <c r="H76" i="94" s="1"/>
  <c r="Z76" i="94"/>
  <c r="R77" i="94"/>
  <c r="A77" i="94" s="1"/>
  <c r="S77" i="94"/>
  <c r="B77" i="94" s="1"/>
  <c r="T77" i="94"/>
  <c r="C77" i="94" s="1"/>
  <c r="U77" i="94"/>
  <c r="D77" i="94" s="1"/>
  <c r="V77" i="94"/>
  <c r="E77" i="94" s="1"/>
  <c r="W77" i="94"/>
  <c r="X77" i="94"/>
  <c r="G77" i="94" s="1"/>
  <c r="Y77" i="94"/>
  <c r="H77" i="94" s="1"/>
  <c r="Z77" i="94"/>
  <c r="R78" i="94"/>
  <c r="A78" i="94" s="1"/>
  <c r="S78" i="94"/>
  <c r="B78" i="94" s="1"/>
  <c r="T78" i="94"/>
  <c r="C78" i="94" s="1"/>
  <c r="U78" i="94"/>
  <c r="D78" i="94" s="1"/>
  <c r="V78" i="94"/>
  <c r="E78" i="94" s="1"/>
  <c r="W78" i="94"/>
  <c r="X78" i="94"/>
  <c r="G78" i="94" s="1"/>
  <c r="Y78" i="94"/>
  <c r="Z78" i="94"/>
  <c r="R79" i="94"/>
  <c r="A79" i="94" s="1"/>
  <c r="S79" i="94"/>
  <c r="B79" i="94" s="1"/>
  <c r="T79" i="94"/>
  <c r="C79" i="94" s="1"/>
  <c r="U79" i="94"/>
  <c r="D79" i="94" s="1"/>
  <c r="F79" i="94" s="1"/>
  <c r="V79" i="94"/>
  <c r="E79" i="94" s="1"/>
  <c r="W79" i="94"/>
  <c r="X79" i="94"/>
  <c r="G79" i="94" s="1"/>
  <c r="Y79" i="94"/>
  <c r="H79" i="94" s="1"/>
  <c r="Z79" i="94"/>
  <c r="R80" i="94"/>
  <c r="A80" i="94" s="1"/>
  <c r="S80" i="94"/>
  <c r="B80" i="94" s="1"/>
  <c r="T80" i="94"/>
  <c r="C80" i="94" s="1"/>
  <c r="U80" i="94"/>
  <c r="D80" i="94" s="1"/>
  <c r="V80" i="94"/>
  <c r="E80" i="94" s="1"/>
  <c r="W80" i="94"/>
  <c r="X80" i="94"/>
  <c r="G80" i="94" s="1"/>
  <c r="Y80" i="94"/>
  <c r="H80" i="94" s="1"/>
  <c r="Z80" i="94"/>
  <c r="R82" i="94"/>
  <c r="A82" i="94" s="1"/>
  <c r="S82" i="94"/>
  <c r="B82" i="94" s="1"/>
  <c r="T82" i="94"/>
  <c r="C82" i="94" s="1"/>
  <c r="U82" i="94"/>
  <c r="D82" i="94" s="1"/>
  <c r="V82" i="94"/>
  <c r="E82" i="94" s="1"/>
  <c r="W82" i="94"/>
  <c r="X82" i="94"/>
  <c r="G82" i="94" s="1"/>
  <c r="Y82" i="94"/>
  <c r="H82" i="94" s="1"/>
  <c r="Z82" i="94"/>
  <c r="R83" i="94"/>
  <c r="A83" i="94" s="1"/>
  <c r="S83" i="94"/>
  <c r="B83" i="94" s="1"/>
  <c r="T83" i="94"/>
  <c r="C83" i="94" s="1"/>
  <c r="U83" i="94"/>
  <c r="D83" i="94" s="1"/>
  <c r="V83" i="94"/>
  <c r="E83" i="94" s="1"/>
  <c r="W83" i="94"/>
  <c r="X83" i="94"/>
  <c r="G83" i="94" s="1"/>
  <c r="Y83" i="94"/>
  <c r="Z83" i="94"/>
  <c r="R84" i="94"/>
  <c r="A84" i="94" s="1"/>
  <c r="S84" i="94"/>
  <c r="B84" i="94" s="1"/>
  <c r="T84" i="94"/>
  <c r="C84" i="94" s="1"/>
  <c r="U84" i="94"/>
  <c r="D84" i="94" s="1"/>
  <c r="F84" i="94" s="1"/>
  <c r="V84" i="94"/>
  <c r="E84" i="94" s="1"/>
  <c r="W84" i="94"/>
  <c r="X84" i="94"/>
  <c r="G84" i="94" s="1"/>
  <c r="Y84" i="94"/>
  <c r="H84" i="94" s="1"/>
  <c r="Z84" i="94"/>
  <c r="R85" i="94"/>
  <c r="A85" i="94" s="1"/>
  <c r="S85" i="94"/>
  <c r="B85" i="94" s="1"/>
  <c r="T85" i="94"/>
  <c r="C85" i="94" s="1"/>
  <c r="U85" i="94"/>
  <c r="D85" i="94" s="1"/>
  <c r="V85" i="94"/>
  <c r="E85" i="94" s="1"/>
  <c r="W85" i="94"/>
  <c r="X85" i="94"/>
  <c r="G85" i="94" s="1"/>
  <c r="Y85" i="94"/>
  <c r="H85" i="94" s="1"/>
  <c r="Z85" i="94"/>
  <c r="R86" i="94"/>
  <c r="A86" i="94" s="1"/>
  <c r="S86" i="94"/>
  <c r="B86" i="94" s="1"/>
  <c r="T86" i="94"/>
  <c r="C86" i="94" s="1"/>
  <c r="U86" i="94"/>
  <c r="D86" i="94" s="1"/>
  <c r="V86" i="94"/>
  <c r="E86" i="94" s="1"/>
  <c r="W86" i="94"/>
  <c r="X86" i="94"/>
  <c r="G86" i="94" s="1"/>
  <c r="Y86" i="94"/>
  <c r="H86" i="94" s="1"/>
  <c r="Z86" i="94"/>
  <c r="R87" i="94"/>
  <c r="A87" i="94" s="1"/>
  <c r="S87" i="94"/>
  <c r="B87" i="94" s="1"/>
  <c r="T87" i="94"/>
  <c r="C87" i="94" s="1"/>
  <c r="U87" i="94"/>
  <c r="D87" i="94" s="1"/>
  <c r="V87" i="94"/>
  <c r="E87" i="94" s="1"/>
  <c r="W87" i="94"/>
  <c r="X87" i="94"/>
  <c r="G87" i="94" s="1"/>
  <c r="Y87" i="94"/>
  <c r="Z87" i="94"/>
  <c r="R88" i="94"/>
  <c r="A88" i="94" s="1"/>
  <c r="S88" i="94"/>
  <c r="B88" i="94" s="1"/>
  <c r="T88" i="94"/>
  <c r="C88" i="94" s="1"/>
  <c r="U88" i="94"/>
  <c r="D88" i="94" s="1"/>
  <c r="F88" i="94" s="1"/>
  <c r="V88" i="94"/>
  <c r="E88" i="94" s="1"/>
  <c r="W88" i="94"/>
  <c r="X88" i="94"/>
  <c r="G88" i="94" s="1"/>
  <c r="Y88" i="94"/>
  <c r="H88" i="94" s="1"/>
  <c r="Z88" i="94"/>
  <c r="R89" i="94"/>
  <c r="A89" i="94" s="1"/>
  <c r="S89" i="94"/>
  <c r="B89" i="94" s="1"/>
  <c r="T89" i="94"/>
  <c r="C89" i="94" s="1"/>
  <c r="U89" i="94"/>
  <c r="D89" i="94" s="1"/>
  <c r="V89" i="94"/>
  <c r="E89" i="94" s="1"/>
  <c r="W89" i="94"/>
  <c r="X89" i="94"/>
  <c r="G89" i="94" s="1"/>
  <c r="Y89" i="94"/>
  <c r="H89" i="94" s="1"/>
  <c r="Z89" i="94"/>
  <c r="R90" i="94"/>
  <c r="A90" i="94" s="1"/>
  <c r="S90" i="94"/>
  <c r="B90" i="94" s="1"/>
  <c r="T90" i="94"/>
  <c r="C90" i="94" s="1"/>
  <c r="U90" i="94"/>
  <c r="D90" i="94" s="1"/>
  <c r="V90" i="94"/>
  <c r="E90" i="94" s="1"/>
  <c r="W90" i="94"/>
  <c r="X90" i="94"/>
  <c r="G90" i="94" s="1"/>
  <c r="Y90" i="94"/>
  <c r="H90" i="94" s="1"/>
  <c r="Z90" i="94"/>
  <c r="R91" i="94"/>
  <c r="A91" i="94" s="1"/>
  <c r="S91" i="94"/>
  <c r="B91" i="94" s="1"/>
  <c r="T91" i="94"/>
  <c r="C91" i="94" s="1"/>
  <c r="U91" i="94"/>
  <c r="D91" i="94" s="1"/>
  <c r="V91" i="94"/>
  <c r="E91" i="94" s="1"/>
  <c r="W91" i="94"/>
  <c r="X91" i="94"/>
  <c r="G91" i="94" s="1"/>
  <c r="Y91" i="94"/>
  <c r="Z91" i="94"/>
  <c r="R92" i="94"/>
  <c r="A92" i="94" s="1"/>
  <c r="S92" i="94"/>
  <c r="B92" i="94" s="1"/>
  <c r="T92" i="94"/>
  <c r="C92" i="94" s="1"/>
  <c r="U92" i="94"/>
  <c r="D92" i="94" s="1"/>
  <c r="F92" i="94" s="1"/>
  <c r="V92" i="94"/>
  <c r="E92" i="94" s="1"/>
  <c r="W92" i="94"/>
  <c r="X92" i="94"/>
  <c r="G92" i="94" s="1"/>
  <c r="Y92" i="94"/>
  <c r="H92" i="94" s="1"/>
  <c r="Z92" i="94"/>
  <c r="R93" i="94"/>
  <c r="A93" i="94" s="1"/>
  <c r="S93" i="94"/>
  <c r="B93" i="94" s="1"/>
  <c r="T93" i="94"/>
  <c r="C93" i="94" s="1"/>
  <c r="U93" i="94"/>
  <c r="D93" i="94" s="1"/>
  <c r="V93" i="94"/>
  <c r="E93" i="94" s="1"/>
  <c r="W93" i="94"/>
  <c r="X93" i="94"/>
  <c r="G93" i="94" s="1"/>
  <c r="Y93" i="94"/>
  <c r="H93" i="94" s="1"/>
  <c r="Z93" i="94"/>
  <c r="R94" i="94"/>
  <c r="A94" i="94" s="1"/>
  <c r="S94" i="94"/>
  <c r="B94" i="94" s="1"/>
  <c r="T94" i="94"/>
  <c r="C94" i="94" s="1"/>
  <c r="U94" i="94"/>
  <c r="D94" i="94" s="1"/>
  <c r="V94" i="94"/>
  <c r="E94" i="94" s="1"/>
  <c r="W94" i="94"/>
  <c r="X94" i="94"/>
  <c r="G94" i="94" s="1"/>
  <c r="Y94" i="94"/>
  <c r="H94" i="94" s="1"/>
  <c r="Z94" i="94"/>
  <c r="R95" i="94"/>
  <c r="A95" i="94" s="1"/>
  <c r="S95" i="94"/>
  <c r="B95" i="94" s="1"/>
  <c r="T95" i="94"/>
  <c r="C95" i="94" s="1"/>
  <c r="U95" i="94"/>
  <c r="D95" i="94" s="1"/>
  <c r="V95" i="94"/>
  <c r="E95" i="94" s="1"/>
  <c r="W95" i="94"/>
  <c r="X95" i="94"/>
  <c r="G95" i="94" s="1"/>
  <c r="Y95" i="94"/>
  <c r="Z95" i="94"/>
  <c r="R96" i="94"/>
  <c r="A96" i="94" s="1"/>
  <c r="S96" i="94"/>
  <c r="B96" i="94" s="1"/>
  <c r="T96" i="94"/>
  <c r="C96" i="94" s="1"/>
  <c r="U96" i="94"/>
  <c r="D96" i="94" s="1"/>
  <c r="F96" i="94" s="1"/>
  <c r="V96" i="94"/>
  <c r="E96" i="94" s="1"/>
  <c r="W96" i="94"/>
  <c r="X96" i="94"/>
  <c r="G96" i="94" s="1"/>
  <c r="Y96" i="94"/>
  <c r="H96" i="94" s="1"/>
  <c r="Z96" i="94"/>
  <c r="R97" i="94"/>
  <c r="A97" i="94" s="1"/>
  <c r="S97" i="94"/>
  <c r="B97" i="94" s="1"/>
  <c r="T97" i="94"/>
  <c r="C97" i="94" s="1"/>
  <c r="U97" i="94"/>
  <c r="D97" i="94" s="1"/>
  <c r="V97" i="94"/>
  <c r="E97" i="94" s="1"/>
  <c r="W97" i="94"/>
  <c r="X97" i="94"/>
  <c r="G97" i="94" s="1"/>
  <c r="Y97" i="94"/>
  <c r="H97" i="94" s="1"/>
  <c r="Z97" i="94"/>
  <c r="R98" i="94"/>
  <c r="A98" i="94" s="1"/>
  <c r="S98" i="94"/>
  <c r="B98" i="94" s="1"/>
  <c r="T98" i="94"/>
  <c r="C98" i="94" s="1"/>
  <c r="U98" i="94"/>
  <c r="D98" i="94" s="1"/>
  <c r="V98" i="94"/>
  <c r="E98" i="94" s="1"/>
  <c r="W98" i="94"/>
  <c r="X98" i="94"/>
  <c r="G98" i="94" s="1"/>
  <c r="Y98" i="94"/>
  <c r="H98" i="94" s="1"/>
  <c r="Z98" i="94"/>
  <c r="R99" i="94"/>
  <c r="A99" i="94" s="1"/>
  <c r="S99" i="94"/>
  <c r="B99" i="94" s="1"/>
  <c r="T99" i="94"/>
  <c r="C99" i="94" s="1"/>
  <c r="U99" i="94"/>
  <c r="D99" i="94" s="1"/>
  <c r="V99" i="94"/>
  <c r="E99" i="94" s="1"/>
  <c r="W99" i="94"/>
  <c r="X99" i="94"/>
  <c r="G99" i="94" s="1"/>
  <c r="Y99" i="94"/>
  <c r="Z99" i="94"/>
  <c r="R100" i="94"/>
  <c r="A100" i="94" s="1"/>
  <c r="S100" i="94"/>
  <c r="B100" i="94" s="1"/>
  <c r="T100" i="94"/>
  <c r="C100" i="94" s="1"/>
  <c r="U100" i="94"/>
  <c r="D100" i="94" s="1"/>
  <c r="F100" i="94" s="1"/>
  <c r="V100" i="94"/>
  <c r="E100" i="94" s="1"/>
  <c r="W100" i="94"/>
  <c r="X100" i="94"/>
  <c r="G100" i="94" s="1"/>
  <c r="Y100" i="94"/>
  <c r="H100" i="94" s="1"/>
  <c r="Z100" i="94"/>
  <c r="R101" i="94"/>
  <c r="A101" i="94" s="1"/>
  <c r="S101" i="94"/>
  <c r="B101" i="94" s="1"/>
  <c r="T101" i="94"/>
  <c r="C101" i="94" s="1"/>
  <c r="U101" i="94"/>
  <c r="D101" i="94" s="1"/>
  <c r="V101" i="94"/>
  <c r="E101" i="94" s="1"/>
  <c r="W101" i="94"/>
  <c r="X101" i="94"/>
  <c r="G101" i="94" s="1"/>
  <c r="Y101" i="94"/>
  <c r="H101" i="94" s="1"/>
  <c r="Z101" i="94"/>
  <c r="R102" i="94"/>
  <c r="A102" i="94" s="1"/>
  <c r="S102" i="94"/>
  <c r="B102" i="94" s="1"/>
  <c r="T102" i="94"/>
  <c r="C102" i="94" s="1"/>
  <c r="U102" i="94"/>
  <c r="D102" i="94" s="1"/>
  <c r="V102" i="94"/>
  <c r="E102" i="94" s="1"/>
  <c r="W102" i="94"/>
  <c r="X102" i="94"/>
  <c r="G102" i="94" s="1"/>
  <c r="Y102" i="94"/>
  <c r="H102" i="94" s="1"/>
  <c r="Z102" i="94"/>
  <c r="R103" i="94"/>
  <c r="A103" i="94" s="1"/>
  <c r="S103" i="94"/>
  <c r="B103" i="94" s="1"/>
  <c r="T103" i="94"/>
  <c r="C103" i="94" s="1"/>
  <c r="U103" i="94"/>
  <c r="D103" i="94" s="1"/>
  <c r="V103" i="94"/>
  <c r="E103" i="94" s="1"/>
  <c r="W103" i="94"/>
  <c r="X103" i="94"/>
  <c r="G103" i="94" s="1"/>
  <c r="Y103" i="94"/>
  <c r="Z103" i="94"/>
  <c r="R104" i="94"/>
  <c r="A104" i="94" s="1"/>
  <c r="S104" i="94"/>
  <c r="B104" i="94" s="1"/>
  <c r="T104" i="94"/>
  <c r="C104" i="94" s="1"/>
  <c r="U104" i="94"/>
  <c r="D104" i="94" s="1"/>
  <c r="F104" i="94" s="1"/>
  <c r="V104" i="94"/>
  <c r="E104" i="94" s="1"/>
  <c r="W104" i="94"/>
  <c r="X104" i="94"/>
  <c r="G104" i="94" s="1"/>
  <c r="Y104" i="94"/>
  <c r="H104" i="94" s="1"/>
  <c r="Z104" i="94"/>
  <c r="R105" i="94"/>
  <c r="A105" i="94" s="1"/>
  <c r="S105" i="94"/>
  <c r="B105" i="94" s="1"/>
  <c r="T105" i="94"/>
  <c r="C105" i="94" s="1"/>
  <c r="U105" i="94"/>
  <c r="D105" i="94" s="1"/>
  <c r="V105" i="94"/>
  <c r="E105" i="94" s="1"/>
  <c r="W105" i="94"/>
  <c r="X105" i="94"/>
  <c r="G105" i="94" s="1"/>
  <c r="Y105" i="94"/>
  <c r="H105" i="94" s="1"/>
  <c r="Z105" i="94"/>
  <c r="R106" i="94"/>
  <c r="A106" i="94" s="1"/>
  <c r="S106" i="94"/>
  <c r="B106" i="94" s="1"/>
  <c r="T106" i="94"/>
  <c r="C106" i="94" s="1"/>
  <c r="U106" i="94"/>
  <c r="D106" i="94" s="1"/>
  <c r="V106" i="94"/>
  <c r="E106" i="94" s="1"/>
  <c r="W106" i="94"/>
  <c r="X106" i="94"/>
  <c r="G106" i="94" s="1"/>
  <c r="Y106" i="94"/>
  <c r="H106" i="94" s="1"/>
  <c r="Z106" i="94"/>
  <c r="R107" i="94"/>
  <c r="A107" i="94" s="1"/>
  <c r="S107" i="94"/>
  <c r="B107" i="94" s="1"/>
  <c r="T107" i="94"/>
  <c r="C107" i="94" s="1"/>
  <c r="U107" i="94"/>
  <c r="D107" i="94" s="1"/>
  <c r="V107" i="94"/>
  <c r="E107" i="94" s="1"/>
  <c r="W107" i="94"/>
  <c r="X107" i="94"/>
  <c r="G107" i="94" s="1"/>
  <c r="Y107" i="94"/>
  <c r="Z107" i="94"/>
  <c r="R108" i="94"/>
  <c r="A108" i="94" s="1"/>
  <c r="S108" i="94"/>
  <c r="B108" i="94" s="1"/>
  <c r="T108" i="94"/>
  <c r="C108" i="94" s="1"/>
  <c r="U108" i="94"/>
  <c r="D108" i="94" s="1"/>
  <c r="F108" i="94" s="1"/>
  <c r="V108" i="94"/>
  <c r="E108" i="94" s="1"/>
  <c r="W108" i="94"/>
  <c r="X108" i="94"/>
  <c r="G108" i="94" s="1"/>
  <c r="Y108" i="94"/>
  <c r="H108" i="94" s="1"/>
  <c r="Z108" i="94"/>
  <c r="R109" i="94"/>
  <c r="A109" i="94" s="1"/>
  <c r="S109" i="94"/>
  <c r="B109" i="94" s="1"/>
  <c r="T109" i="94"/>
  <c r="C109" i="94" s="1"/>
  <c r="U109" i="94"/>
  <c r="D109" i="94" s="1"/>
  <c r="V109" i="94"/>
  <c r="E109" i="94" s="1"/>
  <c r="W109" i="94"/>
  <c r="X109" i="94"/>
  <c r="G109" i="94" s="1"/>
  <c r="Y109" i="94"/>
  <c r="H109" i="94" s="1"/>
  <c r="Z109" i="94"/>
  <c r="R110" i="94"/>
  <c r="A110" i="94" s="1"/>
  <c r="S110" i="94"/>
  <c r="B110" i="94" s="1"/>
  <c r="T110" i="94"/>
  <c r="C110" i="94" s="1"/>
  <c r="U110" i="94"/>
  <c r="D110" i="94" s="1"/>
  <c r="V110" i="94"/>
  <c r="E110" i="94" s="1"/>
  <c r="W110" i="94"/>
  <c r="X110" i="94"/>
  <c r="G110" i="94" s="1"/>
  <c r="Y110" i="94"/>
  <c r="H110" i="94" s="1"/>
  <c r="Z110" i="94"/>
  <c r="R111" i="94"/>
  <c r="A111" i="94" s="1"/>
  <c r="S111" i="94"/>
  <c r="B111" i="94" s="1"/>
  <c r="T111" i="94"/>
  <c r="C111" i="94" s="1"/>
  <c r="U111" i="94"/>
  <c r="D111" i="94" s="1"/>
  <c r="V111" i="94"/>
  <c r="E111" i="94" s="1"/>
  <c r="W111" i="94"/>
  <c r="X111" i="94"/>
  <c r="G111" i="94" s="1"/>
  <c r="Y111" i="94"/>
  <c r="Z111" i="94"/>
  <c r="R112" i="94"/>
  <c r="A112" i="94" s="1"/>
  <c r="S112" i="94"/>
  <c r="B112" i="94" s="1"/>
  <c r="T112" i="94"/>
  <c r="C112" i="94" s="1"/>
  <c r="U112" i="94"/>
  <c r="D112" i="94" s="1"/>
  <c r="F112" i="94" s="1"/>
  <c r="V112" i="94"/>
  <c r="E112" i="94" s="1"/>
  <c r="W112" i="94"/>
  <c r="X112" i="94"/>
  <c r="G112" i="94" s="1"/>
  <c r="Y112" i="94"/>
  <c r="H112" i="94" s="1"/>
  <c r="Z112" i="94"/>
  <c r="R113" i="94"/>
  <c r="A113" i="94" s="1"/>
  <c r="S113" i="94"/>
  <c r="B113" i="94" s="1"/>
  <c r="T113" i="94"/>
  <c r="C113" i="94" s="1"/>
  <c r="U113" i="94"/>
  <c r="D113" i="94" s="1"/>
  <c r="V113" i="94"/>
  <c r="E113" i="94" s="1"/>
  <c r="W113" i="94"/>
  <c r="X113" i="94"/>
  <c r="G113" i="94" s="1"/>
  <c r="Y113" i="94"/>
  <c r="H113" i="94" s="1"/>
  <c r="Z113" i="94"/>
  <c r="R114" i="94"/>
  <c r="A114" i="94" s="1"/>
  <c r="S114" i="94"/>
  <c r="B114" i="94" s="1"/>
  <c r="T114" i="94"/>
  <c r="C114" i="94" s="1"/>
  <c r="U114" i="94"/>
  <c r="D114" i="94" s="1"/>
  <c r="V114" i="94"/>
  <c r="E114" i="94" s="1"/>
  <c r="W114" i="94"/>
  <c r="X114" i="94"/>
  <c r="G114" i="94" s="1"/>
  <c r="Y114" i="94"/>
  <c r="H114" i="94" s="1"/>
  <c r="Z114" i="94"/>
  <c r="R115" i="94"/>
  <c r="A115" i="94" s="1"/>
  <c r="S115" i="94"/>
  <c r="B115" i="94" s="1"/>
  <c r="T115" i="94"/>
  <c r="C115" i="94" s="1"/>
  <c r="U115" i="94"/>
  <c r="D115" i="94" s="1"/>
  <c r="V115" i="94"/>
  <c r="E115" i="94" s="1"/>
  <c r="W115" i="94"/>
  <c r="X115" i="94"/>
  <c r="G115" i="94" s="1"/>
  <c r="Y115" i="94"/>
  <c r="Z115" i="94"/>
  <c r="R116" i="94"/>
  <c r="A116" i="94" s="1"/>
  <c r="S116" i="94"/>
  <c r="B116" i="94" s="1"/>
  <c r="T116" i="94"/>
  <c r="C116" i="94" s="1"/>
  <c r="U116" i="94"/>
  <c r="D116" i="94" s="1"/>
  <c r="F116" i="94" s="1"/>
  <c r="V116" i="94"/>
  <c r="E116" i="94" s="1"/>
  <c r="W116" i="94"/>
  <c r="X116" i="94"/>
  <c r="G116" i="94" s="1"/>
  <c r="Y116" i="94"/>
  <c r="H116" i="94" s="1"/>
  <c r="Z116" i="94"/>
  <c r="R117" i="94"/>
  <c r="A117" i="94" s="1"/>
  <c r="S117" i="94"/>
  <c r="B117" i="94" s="1"/>
  <c r="T117" i="94"/>
  <c r="C117" i="94" s="1"/>
  <c r="U117" i="94"/>
  <c r="D117" i="94" s="1"/>
  <c r="V117" i="94"/>
  <c r="E117" i="94" s="1"/>
  <c r="W117" i="94"/>
  <c r="X117" i="94"/>
  <c r="G117" i="94" s="1"/>
  <c r="Y117" i="94"/>
  <c r="H117" i="94" s="1"/>
  <c r="Z117" i="94"/>
  <c r="R118" i="94"/>
  <c r="A118" i="94" s="1"/>
  <c r="S118" i="94"/>
  <c r="B118" i="94" s="1"/>
  <c r="T118" i="94"/>
  <c r="C118" i="94" s="1"/>
  <c r="U118" i="94"/>
  <c r="D118" i="94" s="1"/>
  <c r="V118" i="94"/>
  <c r="E118" i="94" s="1"/>
  <c r="W118" i="94"/>
  <c r="X118" i="94"/>
  <c r="G118" i="94" s="1"/>
  <c r="Y118" i="94"/>
  <c r="H118" i="94" s="1"/>
  <c r="Z118" i="94"/>
  <c r="R119" i="94"/>
  <c r="A119" i="94" s="1"/>
  <c r="S119" i="94"/>
  <c r="B119" i="94" s="1"/>
  <c r="T119" i="94"/>
  <c r="C119" i="94" s="1"/>
  <c r="U119" i="94"/>
  <c r="D119" i="94" s="1"/>
  <c r="V119" i="94"/>
  <c r="E119" i="94" s="1"/>
  <c r="W119" i="94"/>
  <c r="X119" i="94"/>
  <c r="G119" i="94" s="1"/>
  <c r="Y119" i="94"/>
  <c r="Z119" i="94"/>
  <c r="R120" i="94"/>
  <c r="A120" i="94" s="1"/>
  <c r="S120" i="94"/>
  <c r="B120" i="94" s="1"/>
  <c r="T120" i="94"/>
  <c r="C120" i="94" s="1"/>
  <c r="U120" i="94"/>
  <c r="D120" i="94" s="1"/>
  <c r="F120" i="94" s="1"/>
  <c r="V120" i="94"/>
  <c r="E120" i="94" s="1"/>
  <c r="W120" i="94"/>
  <c r="X120" i="94"/>
  <c r="G120" i="94" s="1"/>
  <c r="Y120" i="94"/>
  <c r="H120" i="94" s="1"/>
  <c r="Z120" i="94"/>
  <c r="R121" i="94"/>
  <c r="A121" i="94" s="1"/>
  <c r="S121" i="94"/>
  <c r="B121" i="94" s="1"/>
  <c r="T121" i="94"/>
  <c r="C121" i="94" s="1"/>
  <c r="U121" i="94"/>
  <c r="D121" i="94" s="1"/>
  <c r="V121" i="94"/>
  <c r="E121" i="94" s="1"/>
  <c r="W121" i="94"/>
  <c r="X121" i="94"/>
  <c r="G121" i="94" s="1"/>
  <c r="Y121" i="94"/>
  <c r="H121" i="94" s="1"/>
  <c r="Z121" i="94"/>
  <c r="R122" i="94"/>
  <c r="A122" i="94" s="1"/>
  <c r="S122" i="94"/>
  <c r="B122" i="94" s="1"/>
  <c r="T122" i="94"/>
  <c r="C122" i="94" s="1"/>
  <c r="U122" i="94"/>
  <c r="D122" i="94" s="1"/>
  <c r="V122" i="94"/>
  <c r="E122" i="94" s="1"/>
  <c r="W122" i="94"/>
  <c r="X122" i="94"/>
  <c r="G122" i="94" s="1"/>
  <c r="Y122" i="94"/>
  <c r="H122" i="94" s="1"/>
  <c r="Z122" i="94"/>
  <c r="R123" i="94"/>
  <c r="A123" i="94" s="1"/>
  <c r="S123" i="94"/>
  <c r="B123" i="94" s="1"/>
  <c r="T123" i="94"/>
  <c r="C123" i="94" s="1"/>
  <c r="U123" i="94"/>
  <c r="D123" i="94" s="1"/>
  <c r="V123" i="94"/>
  <c r="E123" i="94" s="1"/>
  <c r="W123" i="94"/>
  <c r="X123" i="94"/>
  <c r="G123" i="94" s="1"/>
  <c r="Y123" i="94"/>
  <c r="Z123" i="94"/>
  <c r="R124" i="94"/>
  <c r="A124" i="94" s="1"/>
  <c r="S124" i="94"/>
  <c r="B124" i="94" s="1"/>
  <c r="T124" i="94"/>
  <c r="C124" i="94" s="1"/>
  <c r="U124" i="94"/>
  <c r="D124" i="94" s="1"/>
  <c r="F124" i="94" s="1"/>
  <c r="V124" i="94"/>
  <c r="E124" i="94" s="1"/>
  <c r="W124" i="94"/>
  <c r="X124" i="94"/>
  <c r="G124" i="94" s="1"/>
  <c r="Y124" i="94"/>
  <c r="H124" i="94" s="1"/>
  <c r="Z124" i="94"/>
  <c r="R125" i="94"/>
  <c r="A125" i="94" s="1"/>
  <c r="S125" i="94"/>
  <c r="B125" i="94" s="1"/>
  <c r="T125" i="94"/>
  <c r="C125" i="94" s="1"/>
  <c r="U125" i="94"/>
  <c r="D125" i="94" s="1"/>
  <c r="V125" i="94"/>
  <c r="E125" i="94" s="1"/>
  <c r="W125" i="94"/>
  <c r="X125" i="94"/>
  <c r="G125" i="94" s="1"/>
  <c r="Y125" i="94"/>
  <c r="H125" i="94" s="1"/>
  <c r="Z125" i="94"/>
  <c r="R126" i="94"/>
  <c r="A126" i="94" s="1"/>
  <c r="S126" i="94"/>
  <c r="B126" i="94" s="1"/>
  <c r="T126" i="94"/>
  <c r="C126" i="94" s="1"/>
  <c r="U126" i="94"/>
  <c r="D126" i="94" s="1"/>
  <c r="V126" i="94"/>
  <c r="E126" i="94" s="1"/>
  <c r="W126" i="94"/>
  <c r="X126" i="94"/>
  <c r="G126" i="94" s="1"/>
  <c r="Y126" i="94"/>
  <c r="H126" i="94" s="1"/>
  <c r="Z126" i="94"/>
  <c r="R127" i="94"/>
  <c r="A127" i="94" s="1"/>
  <c r="S127" i="94"/>
  <c r="B127" i="94" s="1"/>
  <c r="T127" i="94"/>
  <c r="C127" i="94" s="1"/>
  <c r="U127" i="94"/>
  <c r="D127" i="94" s="1"/>
  <c r="V127" i="94"/>
  <c r="E127" i="94" s="1"/>
  <c r="W127" i="94"/>
  <c r="X127" i="94"/>
  <c r="G127" i="94" s="1"/>
  <c r="Y127" i="94"/>
  <c r="Z127" i="94"/>
  <c r="R128" i="94"/>
  <c r="A128" i="94" s="1"/>
  <c r="S128" i="94"/>
  <c r="B128" i="94" s="1"/>
  <c r="T128" i="94"/>
  <c r="C128" i="94" s="1"/>
  <c r="U128" i="94"/>
  <c r="D128" i="94" s="1"/>
  <c r="F128" i="94" s="1"/>
  <c r="V128" i="94"/>
  <c r="E128" i="94" s="1"/>
  <c r="W128" i="94"/>
  <c r="X128" i="94"/>
  <c r="G128" i="94" s="1"/>
  <c r="Y128" i="94"/>
  <c r="H128" i="94" s="1"/>
  <c r="Z128" i="94"/>
  <c r="R129" i="94"/>
  <c r="A129" i="94" s="1"/>
  <c r="S129" i="94"/>
  <c r="B129" i="94" s="1"/>
  <c r="T129" i="94"/>
  <c r="C129" i="94" s="1"/>
  <c r="U129" i="94"/>
  <c r="D129" i="94" s="1"/>
  <c r="V129" i="94"/>
  <c r="E129" i="94" s="1"/>
  <c r="W129" i="94"/>
  <c r="X129" i="94"/>
  <c r="G129" i="94" s="1"/>
  <c r="Y129" i="94"/>
  <c r="H129" i="94" s="1"/>
  <c r="Z129" i="94"/>
  <c r="R130" i="94"/>
  <c r="A130" i="94" s="1"/>
  <c r="S130" i="94"/>
  <c r="B130" i="94" s="1"/>
  <c r="T130" i="94"/>
  <c r="C130" i="94" s="1"/>
  <c r="U130" i="94"/>
  <c r="D130" i="94" s="1"/>
  <c r="V130" i="94"/>
  <c r="E130" i="94" s="1"/>
  <c r="W130" i="94"/>
  <c r="X130" i="94"/>
  <c r="G130" i="94" s="1"/>
  <c r="Y130" i="94"/>
  <c r="H130" i="94" s="1"/>
  <c r="Z130" i="94"/>
  <c r="R131" i="94"/>
  <c r="A131" i="94" s="1"/>
  <c r="S131" i="94"/>
  <c r="B131" i="94" s="1"/>
  <c r="T131" i="94"/>
  <c r="C131" i="94" s="1"/>
  <c r="U131" i="94"/>
  <c r="D131" i="94" s="1"/>
  <c r="V131" i="94"/>
  <c r="E131" i="94" s="1"/>
  <c r="W131" i="94"/>
  <c r="X131" i="94"/>
  <c r="G131" i="94" s="1"/>
  <c r="Y131" i="94"/>
  <c r="Z131" i="94"/>
  <c r="R132" i="94"/>
  <c r="A132" i="94" s="1"/>
  <c r="S132" i="94"/>
  <c r="B132" i="94" s="1"/>
  <c r="T132" i="94"/>
  <c r="C132" i="94" s="1"/>
  <c r="U132" i="94"/>
  <c r="D132" i="94" s="1"/>
  <c r="F132" i="94" s="1"/>
  <c r="V132" i="94"/>
  <c r="E132" i="94" s="1"/>
  <c r="W132" i="94"/>
  <c r="X132" i="94"/>
  <c r="G132" i="94" s="1"/>
  <c r="Y132" i="94"/>
  <c r="H132" i="94" s="1"/>
  <c r="Z132" i="94"/>
  <c r="R133" i="94"/>
  <c r="A133" i="94" s="1"/>
  <c r="S133" i="94"/>
  <c r="B133" i="94" s="1"/>
  <c r="T133" i="94"/>
  <c r="C133" i="94" s="1"/>
  <c r="U133" i="94"/>
  <c r="D133" i="94" s="1"/>
  <c r="V133" i="94"/>
  <c r="E133" i="94" s="1"/>
  <c r="W133" i="94"/>
  <c r="X133" i="94"/>
  <c r="G133" i="94" s="1"/>
  <c r="Y133" i="94"/>
  <c r="H133" i="94" s="1"/>
  <c r="Z133" i="94"/>
  <c r="R134" i="94"/>
  <c r="A134" i="94" s="1"/>
  <c r="S134" i="94"/>
  <c r="B134" i="94" s="1"/>
  <c r="T134" i="94"/>
  <c r="C134" i="94" s="1"/>
  <c r="U134" i="94"/>
  <c r="D134" i="94" s="1"/>
  <c r="V134" i="94"/>
  <c r="E134" i="94" s="1"/>
  <c r="W134" i="94"/>
  <c r="X134" i="94"/>
  <c r="G134" i="94" s="1"/>
  <c r="Y134" i="94"/>
  <c r="H134" i="94" s="1"/>
  <c r="Z134" i="94"/>
  <c r="R135" i="94"/>
  <c r="A135" i="94" s="1"/>
  <c r="S135" i="94"/>
  <c r="B135" i="94" s="1"/>
  <c r="T135" i="94"/>
  <c r="C135" i="94" s="1"/>
  <c r="U135" i="94"/>
  <c r="D135" i="94" s="1"/>
  <c r="V135" i="94"/>
  <c r="E135" i="94" s="1"/>
  <c r="W135" i="94"/>
  <c r="X135" i="94"/>
  <c r="G135" i="94" s="1"/>
  <c r="Y135" i="94"/>
  <c r="Z135" i="94"/>
  <c r="R136" i="94"/>
  <c r="A136" i="94" s="1"/>
  <c r="S136" i="94"/>
  <c r="B136" i="94" s="1"/>
  <c r="T136" i="94"/>
  <c r="C136" i="94" s="1"/>
  <c r="U136" i="94"/>
  <c r="D136" i="94" s="1"/>
  <c r="F136" i="94" s="1"/>
  <c r="V136" i="94"/>
  <c r="E136" i="94" s="1"/>
  <c r="W136" i="94"/>
  <c r="X136" i="94"/>
  <c r="G136" i="94" s="1"/>
  <c r="Y136" i="94"/>
  <c r="H136" i="94" s="1"/>
  <c r="Z136" i="94"/>
  <c r="R137" i="94"/>
  <c r="A137" i="94" s="1"/>
  <c r="S137" i="94"/>
  <c r="B137" i="94" s="1"/>
  <c r="T137" i="94"/>
  <c r="C137" i="94" s="1"/>
  <c r="U137" i="94"/>
  <c r="D137" i="94" s="1"/>
  <c r="V137" i="94"/>
  <c r="E137" i="94" s="1"/>
  <c r="W137" i="94"/>
  <c r="X137" i="94"/>
  <c r="G137" i="94" s="1"/>
  <c r="Y137" i="94"/>
  <c r="H137" i="94" s="1"/>
  <c r="Z137" i="94"/>
  <c r="R138" i="94"/>
  <c r="A138" i="94" s="1"/>
  <c r="S138" i="94"/>
  <c r="B138" i="94" s="1"/>
  <c r="T138" i="94"/>
  <c r="C138" i="94" s="1"/>
  <c r="U138" i="94"/>
  <c r="D138" i="94" s="1"/>
  <c r="V138" i="94"/>
  <c r="E138" i="94" s="1"/>
  <c r="W138" i="94"/>
  <c r="X138" i="94"/>
  <c r="G138" i="94" s="1"/>
  <c r="Y138" i="94"/>
  <c r="H138" i="94" s="1"/>
  <c r="Z138" i="94"/>
  <c r="R139" i="94"/>
  <c r="A139" i="94" s="1"/>
  <c r="S139" i="94"/>
  <c r="B139" i="94" s="1"/>
  <c r="T139" i="94"/>
  <c r="C139" i="94" s="1"/>
  <c r="U139" i="94"/>
  <c r="D139" i="94" s="1"/>
  <c r="V139" i="94"/>
  <c r="E139" i="94" s="1"/>
  <c r="W139" i="94"/>
  <c r="X139" i="94"/>
  <c r="G139" i="94" s="1"/>
  <c r="Y139" i="94"/>
  <c r="Z139" i="94"/>
  <c r="R140" i="94"/>
  <c r="A140" i="94" s="1"/>
  <c r="S140" i="94"/>
  <c r="B140" i="94" s="1"/>
  <c r="T140" i="94"/>
  <c r="C140" i="94" s="1"/>
  <c r="U140" i="94"/>
  <c r="D140" i="94" s="1"/>
  <c r="F140" i="94" s="1"/>
  <c r="V140" i="94"/>
  <c r="E140" i="94" s="1"/>
  <c r="W140" i="94"/>
  <c r="X140" i="94"/>
  <c r="G140" i="94" s="1"/>
  <c r="Y140" i="94"/>
  <c r="H140" i="94" s="1"/>
  <c r="Z140" i="94"/>
  <c r="R141" i="94"/>
  <c r="A141" i="94" s="1"/>
  <c r="S141" i="94"/>
  <c r="B141" i="94" s="1"/>
  <c r="T141" i="94"/>
  <c r="C141" i="94" s="1"/>
  <c r="U141" i="94"/>
  <c r="D141" i="94" s="1"/>
  <c r="V141" i="94"/>
  <c r="E141" i="94" s="1"/>
  <c r="W141" i="94"/>
  <c r="X141" i="94"/>
  <c r="G141" i="94" s="1"/>
  <c r="Y141" i="94"/>
  <c r="H141" i="94" s="1"/>
  <c r="Z141" i="94"/>
  <c r="R142" i="94"/>
  <c r="A142" i="94" s="1"/>
  <c r="S142" i="94"/>
  <c r="B142" i="94" s="1"/>
  <c r="T142" i="94"/>
  <c r="C142" i="94" s="1"/>
  <c r="U142" i="94"/>
  <c r="D142" i="94" s="1"/>
  <c r="V142" i="94"/>
  <c r="E142" i="94" s="1"/>
  <c r="W142" i="94"/>
  <c r="X142" i="94"/>
  <c r="G142" i="94" s="1"/>
  <c r="Y142" i="94"/>
  <c r="H142" i="94" s="1"/>
  <c r="Z142" i="94"/>
  <c r="R143" i="94"/>
  <c r="A143" i="94" s="1"/>
  <c r="S143" i="94"/>
  <c r="B143" i="94" s="1"/>
  <c r="T143" i="94"/>
  <c r="C143" i="94" s="1"/>
  <c r="U143" i="94"/>
  <c r="D143" i="94" s="1"/>
  <c r="V143" i="94"/>
  <c r="E143" i="94" s="1"/>
  <c r="W143" i="94"/>
  <c r="X143" i="94"/>
  <c r="G143" i="94" s="1"/>
  <c r="Y143" i="94"/>
  <c r="Z143" i="94"/>
  <c r="R144" i="94"/>
  <c r="A144" i="94" s="1"/>
  <c r="S144" i="94"/>
  <c r="B144" i="94" s="1"/>
  <c r="T144" i="94"/>
  <c r="C144" i="94" s="1"/>
  <c r="U144" i="94"/>
  <c r="D144" i="94" s="1"/>
  <c r="F144" i="94" s="1"/>
  <c r="V144" i="94"/>
  <c r="E144" i="94" s="1"/>
  <c r="W144" i="94"/>
  <c r="X144" i="94"/>
  <c r="G144" i="94" s="1"/>
  <c r="Y144" i="94"/>
  <c r="H144" i="94" s="1"/>
  <c r="Z144" i="94"/>
  <c r="R145" i="94"/>
  <c r="A145" i="94" s="1"/>
  <c r="S145" i="94"/>
  <c r="B145" i="94" s="1"/>
  <c r="T145" i="94"/>
  <c r="C145" i="94" s="1"/>
  <c r="U145" i="94"/>
  <c r="D145" i="94" s="1"/>
  <c r="V145" i="94"/>
  <c r="E145" i="94" s="1"/>
  <c r="W145" i="94"/>
  <c r="X145" i="94"/>
  <c r="G145" i="94" s="1"/>
  <c r="Y145" i="94"/>
  <c r="H145" i="94" s="1"/>
  <c r="Z145" i="94"/>
  <c r="R146" i="94"/>
  <c r="A146" i="94" s="1"/>
  <c r="S146" i="94"/>
  <c r="B146" i="94" s="1"/>
  <c r="T146" i="94"/>
  <c r="C146" i="94" s="1"/>
  <c r="U146" i="94"/>
  <c r="D146" i="94" s="1"/>
  <c r="V146" i="94"/>
  <c r="E146" i="94" s="1"/>
  <c r="W146" i="94"/>
  <c r="X146" i="94"/>
  <c r="G146" i="94" s="1"/>
  <c r="Y146" i="94"/>
  <c r="H146" i="94" s="1"/>
  <c r="Z146" i="94"/>
  <c r="R147" i="94"/>
  <c r="A147" i="94" s="1"/>
  <c r="S147" i="94"/>
  <c r="B147" i="94" s="1"/>
  <c r="T147" i="94"/>
  <c r="C147" i="94" s="1"/>
  <c r="U147" i="94"/>
  <c r="D147" i="94" s="1"/>
  <c r="V147" i="94"/>
  <c r="E147" i="94" s="1"/>
  <c r="W147" i="94"/>
  <c r="X147" i="94"/>
  <c r="G147" i="94" s="1"/>
  <c r="Y147" i="94"/>
  <c r="Z147" i="94"/>
  <c r="R148" i="94"/>
  <c r="A148" i="94" s="1"/>
  <c r="S148" i="94"/>
  <c r="B148" i="94" s="1"/>
  <c r="T148" i="94"/>
  <c r="C148" i="94" s="1"/>
  <c r="U148" i="94"/>
  <c r="D148" i="94" s="1"/>
  <c r="F148" i="94" s="1"/>
  <c r="V148" i="94"/>
  <c r="E148" i="94" s="1"/>
  <c r="W148" i="94"/>
  <c r="X148" i="94"/>
  <c r="G148" i="94" s="1"/>
  <c r="Y148" i="94"/>
  <c r="H148" i="94" s="1"/>
  <c r="Z148" i="94"/>
  <c r="R149" i="94"/>
  <c r="A149" i="94" s="1"/>
  <c r="S149" i="94"/>
  <c r="B149" i="94" s="1"/>
  <c r="T149" i="94"/>
  <c r="C149" i="94" s="1"/>
  <c r="U149" i="94"/>
  <c r="D149" i="94" s="1"/>
  <c r="V149" i="94"/>
  <c r="E149" i="94" s="1"/>
  <c r="W149" i="94"/>
  <c r="X149" i="94"/>
  <c r="G149" i="94" s="1"/>
  <c r="Y149" i="94"/>
  <c r="H149" i="94" s="1"/>
  <c r="Z149" i="94"/>
  <c r="R150" i="94"/>
  <c r="A150" i="94" s="1"/>
  <c r="S150" i="94"/>
  <c r="B150" i="94" s="1"/>
  <c r="T150" i="94"/>
  <c r="C150" i="94" s="1"/>
  <c r="U150" i="94"/>
  <c r="D150" i="94" s="1"/>
  <c r="V150" i="94"/>
  <c r="E150" i="94" s="1"/>
  <c r="W150" i="94"/>
  <c r="X150" i="94"/>
  <c r="G150" i="94" s="1"/>
  <c r="Y150" i="94"/>
  <c r="H150" i="94" s="1"/>
  <c r="Z150" i="94"/>
  <c r="R151" i="94"/>
  <c r="A151" i="94" s="1"/>
  <c r="S151" i="94"/>
  <c r="B151" i="94" s="1"/>
  <c r="T151" i="94"/>
  <c r="C151" i="94" s="1"/>
  <c r="U151" i="94"/>
  <c r="D151" i="94" s="1"/>
  <c r="V151" i="94"/>
  <c r="E151" i="94" s="1"/>
  <c r="W151" i="94"/>
  <c r="X151" i="94"/>
  <c r="G151" i="94" s="1"/>
  <c r="Y151" i="94"/>
  <c r="Z151" i="94"/>
  <c r="R152" i="94"/>
  <c r="A152" i="94" s="1"/>
  <c r="S152" i="94"/>
  <c r="B152" i="94" s="1"/>
  <c r="T152" i="94"/>
  <c r="C152" i="94" s="1"/>
  <c r="U152" i="94"/>
  <c r="D152" i="94" s="1"/>
  <c r="F152" i="94" s="1"/>
  <c r="V152" i="94"/>
  <c r="E152" i="94" s="1"/>
  <c r="W152" i="94"/>
  <c r="X152" i="94"/>
  <c r="G152" i="94" s="1"/>
  <c r="Y152" i="94"/>
  <c r="H152" i="94" s="1"/>
  <c r="Z152" i="94"/>
  <c r="R153" i="94"/>
  <c r="A153" i="94" s="1"/>
  <c r="S153" i="94"/>
  <c r="B153" i="94" s="1"/>
  <c r="T153" i="94"/>
  <c r="C153" i="94" s="1"/>
  <c r="U153" i="94"/>
  <c r="D153" i="94" s="1"/>
  <c r="V153" i="94"/>
  <c r="E153" i="94" s="1"/>
  <c r="W153" i="94"/>
  <c r="X153" i="94"/>
  <c r="G153" i="94" s="1"/>
  <c r="Y153" i="94"/>
  <c r="H153" i="94" s="1"/>
  <c r="Z153" i="94"/>
  <c r="R154" i="94"/>
  <c r="A154" i="94" s="1"/>
  <c r="S154" i="94"/>
  <c r="B154" i="94" s="1"/>
  <c r="T154" i="94"/>
  <c r="C154" i="94" s="1"/>
  <c r="U154" i="94"/>
  <c r="D154" i="94" s="1"/>
  <c r="V154" i="94"/>
  <c r="E154" i="94" s="1"/>
  <c r="W154" i="94"/>
  <c r="X154" i="94"/>
  <c r="G154" i="94" s="1"/>
  <c r="Y154" i="94"/>
  <c r="H154" i="94" s="1"/>
  <c r="Z154" i="94"/>
  <c r="R155" i="94"/>
  <c r="A155" i="94" s="1"/>
  <c r="S155" i="94"/>
  <c r="B155" i="94" s="1"/>
  <c r="T155" i="94"/>
  <c r="C155" i="94" s="1"/>
  <c r="U155" i="94"/>
  <c r="D155" i="94" s="1"/>
  <c r="V155" i="94"/>
  <c r="E155" i="94" s="1"/>
  <c r="W155" i="94"/>
  <c r="X155" i="94"/>
  <c r="G155" i="94" s="1"/>
  <c r="Y155" i="94"/>
  <c r="Z155" i="94"/>
  <c r="R156" i="94"/>
  <c r="A156" i="94" s="1"/>
  <c r="S156" i="94"/>
  <c r="B156" i="94" s="1"/>
  <c r="T156" i="94"/>
  <c r="C156" i="94" s="1"/>
  <c r="U156" i="94"/>
  <c r="D156" i="94" s="1"/>
  <c r="F156" i="94" s="1"/>
  <c r="V156" i="94"/>
  <c r="E156" i="94" s="1"/>
  <c r="W156" i="94"/>
  <c r="X156" i="94"/>
  <c r="G156" i="94" s="1"/>
  <c r="Y156" i="94"/>
  <c r="H156" i="94" s="1"/>
  <c r="Z156" i="94"/>
  <c r="R157" i="94"/>
  <c r="A157" i="94" s="1"/>
  <c r="S157" i="94"/>
  <c r="B157" i="94" s="1"/>
  <c r="T157" i="94"/>
  <c r="C157" i="94" s="1"/>
  <c r="U157" i="94"/>
  <c r="D157" i="94" s="1"/>
  <c r="V157" i="94"/>
  <c r="E157" i="94" s="1"/>
  <c r="W157" i="94"/>
  <c r="X157" i="94"/>
  <c r="G157" i="94" s="1"/>
  <c r="Y157" i="94"/>
  <c r="H157" i="94" s="1"/>
  <c r="Z157" i="94"/>
  <c r="R158" i="94"/>
  <c r="A158" i="94" s="1"/>
  <c r="S158" i="94"/>
  <c r="B158" i="94" s="1"/>
  <c r="T158" i="94"/>
  <c r="C158" i="94" s="1"/>
  <c r="U158" i="94"/>
  <c r="D158" i="94" s="1"/>
  <c r="V158" i="94"/>
  <c r="E158" i="94" s="1"/>
  <c r="W158" i="94"/>
  <c r="X158" i="94"/>
  <c r="G158" i="94" s="1"/>
  <c r="Y158" i="94"/>
  <c r="H158" i="94" s="1"/>
  <c r="Z158" i="94"/>
  <c r="R159" i="94"/>
  <c r="A159" i="94" s="1"/>
  <c r="S159" i="94"/>
  <c r="B159" i="94" s="1"/>
  <c r="T159" i="94"/>
  <c r="C159" i="94" s="1"/>
  <c r="U159" i="94"/>
  <c r="D159" i="94" s="1"/>
  <c r="V159" i="94"/>
  <c r="E159" i="94" s="1"/>
  <c r="W159" i="94"/>
  <c r="X159" i="94"/>
  <c r="G159" i="94" s="1"/>
  <c r="Y159" i="94"/>
  <c r="Z159" i="94"/>
  <c r="R160" i="94"/>
  <c r="A160" i="94" s="1"/>
  <c r="S160" i="94"/>
  <c r="B160" i="94" s="1"/>
  <c r="T160" i="94"/>
  <c r="C160" i="94" s="1"/>
  <c r="U160" i="94"/>
  <c r="D160" i="94" s="1"/>
  <c r="F160" i="94" s="1"/>
  <c r="V160" i="94"/>
  <c r="E160" i="94" s="1"/>
  <c r="W160" i="94"/>
  <c r="X160" i="94"/>
  <c r="G160" i="94" s="1"/>
  <c r="Y160" i="94"/>
  <c r="H160" i="94" s="1"/>
  <c r="Z160" i="94"/>
  <c r="R161" i="94"/>
  <c r="A161" i="94" s="1"/>
  <c r="S161" i="94"/>
  <c r="B161" i="94" s="1"/>
  <c r="T161" i="94"/>
  <c r="C161" i="94" s="1"/>
  <c r="U161" i="94"/>
  <c r="D161" i="94" s="1"/>
  <c r="V161" i="94"/>
  <c r="E161" i="94" s="1"/>
  <c r="W161" i="94"/>
  <c r="X161" i="94"/>
  <c r="G161" i="94" s="1"/>
  <c r="Y161" i="94"/>
  <c r="H161" i="94" s="1"/>
  <c r="Z161" i="94"/>
  <c r="R162" i="94"/>
  <c r="A162" i="94" s="1"/>
  <c r="S162" i="94"/>
  <c r="B162" i="94" s="1"/>
  <c r="T162" i="94"/>
  <c r="C162" i="94" s="1"/>
  <c r="U162" i="94"/>
  <c r="D162" i="94" s="1"/>
  <c r="V162" i="94"/>
  <c r="E162" i="94" s="1"/>
  <c r="W162" i="94"/>
  <c r="X162" i="94"/>
  <c r="G162" i="94" s="1"/>
  <c r="Y162" i="94"/>
  <c r="H162" i="94" s="1"/>
  <c r="Z162" i="94"/>
  <c r="R163" i="94"/>
  <c r="A163" i="94" s="1"/>
  <c r="S163" i="94"/>
  <c r="B163" i="94" s="1"/>
  <c r="T163" i="94"/>
  <c r="C163" i="94" s="1"/>
  <c r="U163" i="94"/>
  <c r="D163" i="94" s="1"/>
  <c r="V163" i="94"/>
  <c r="E163" i="94" s="1"/>
  <c r="W163" i="94"/>
  <c r="X163" i="94"/>
  <c r="G163" i="94" s="1"/>
  <c r="Y163" i="94"/>
  <c r="Z163" i="94"/>
  <c r="R164" i="94"/>
  <c r="A164" i="94" s="1"/>
  <c r="S164" i="94"/>
  <c r="B164" i="94" s="1"/>
  <c r="T164" i="94"/>
  <c r="C164" i="94" s="1"/>
  <c r="U164" i="94"/>
  <c r="D164" i="94" s="1"/>
  <c r="F164" i="94" s="1"/>
  <c r="V164" i="94"/>
  <c r="E164" i="94" s="1"/>
  <c r="W164" i="94"/>
  <c r="X164" i="94"/>
  <c r="G164" i="94" s="1"/>
  <c r="Y164" i="94"/>
  <c r="H164" i="94" s="1"/>
  <c r="Z164" i="94"/>
  <c r="R165" i="94"/>
  <c r="A165" i="94" s="1"/>
  <c r="S165" i="94"/>
  <c r="B165" i="94" s="1"/>
  <c r="T165" i="94"/>
  <c r="C165" i="94" s="1"/>
  <c r="U165" i="94"/>
  <c r="D165" i="94" s="1"/>
  <c r="V165" i="94"/>
  <c r="E165" i="94" s="1"/>
  <c r="W165" i="94"/>
  <c r="X165" i="94"/>
  <c r="G165" i="94" s="1"/>
  <c r="Y165" i="94"/>
  <c r="H165" i="94" s="1"/>
  <c r="Z165" i="94"/>
  <c r="R166" i="94"/>
  <c r="A166" i="94" s="1"/>
  <c r="S166" i="94"/>
  <c r="B166" i="94" s="1"/>
  <c r="T166" i="94"/>
  <c r="C166" i="94" s="1"/>
  <c r="U166" i="94"/>
  <c r="D166" i="94" s="1"/>
  <c r="V166" i="94"/>
  <c r="E166" i="94" s="1"/>
  <c r="W166" i="94"/>
  <c r="X166" i="94"/>
  <c r="G166" i="94" s="1"/>
  <c r="Y166" i="94"/>
  <c r="H166" i="94" s="1"/>
  <c r="Z166" i="94"/>
  <c r="R167" i="94"/>
  <c r="A167" i="94" s="1"/>
  <c r="S167" i="94"/>
  <c r="B167" i="94" s="1"/>
  <c r="T167" i="94"/>
  <c r="C167" i="94" s="1"/>
  <c r="U167" i="94"/>
  <c r="D167" i="94" s="1"/>
  <c r="V167" i="94"/>
  <c r="E167" i="94" s="1"/>
  <c r="W167" i="94"/>
  <c r="X167" i="94"/>
  <c r="G167" i="94" s="1"/>
  <c r="Y167" i="94"/>
  <c r="Z167" i="94"/>
  <c r="R168" i="94"/>
  <c r="A168" i="94" s="1"/>
  <c r="S168" i="94"/>
  <c r="B168" i="94" s="1"/>
  <c r="T168" i="94"/>
  <c r="C168" i="94" s="1"/>
  <c r="U168" i="94"/>
  <c r="D168" i="94" s="1"/>
  <c r="F168" i="94" s="1"/>
  <c r="V168" i="94"/>
  <c r="E168" i="94" s="1"/>
  <c r="W168" i="94"/>
  <c r="X168" i="94"/>
  <c r="G168" i="94" s="1"/>
  <c r="Y168" i="94"/>
  <c r="H168" i="94" s="1"/>
  <c r="Z168" i="94"/>
  <c r="R169" i="94"/>
  <c r="A169" i="94" s="1"/>
  <c r="S169" i="94"/>
  <c r="B169" i="94" s="1"/>
  <c r="T169" i="94"/>
  <c r="C169" i="94" s="1"/>
  <c r="U169" i="94"/>
  <c r="D169" i="94" s="1"/>
  <c r="V169" i="94"/>
  <c r="E169" i="94" s="1"/>
  <c r="W169" i="94"/>
  <c r="X169" i="94"/>
  <c r="G169" i="94" s="1"/>
  <c r="Y169" i="94"/>
  <c r="H169" i="94" s="1"/>
  <c r="Z169" i="94"/>
  <c r="R170" i="94"/>
  <c r="A170" i="94" s="1"/>
  <c r="S170" i="94"/>
  <c r="B170" i="94" s="1"/>
  <c r="T170" i="94"/>
  <c r="C170" i="94" s="1"/>
  <c r="U170" i="94"/>
  <c r="D170" i="94" s="1"/>
  <c r="V170" i="94"/>
  <c r="E170" i="94" s="1"/>
  <c r="W170" i="94"/>
  <c r="X170" i="94"/>
  <c r="G170" i="94" s="1"/>
  <c r="Y170" i="94"/>
  <c r="H170" i="94" s="1"/>
  <c r="Z170" i="94"/>
  <c r="R171" i="94"/>
  <c r="A171" i="94" s="1"/>
  <c r="S171" i="94"/>
  <c r="B171" i="94" s="1"/>
  <c r="T171" i="94"/>
  <c r="C171" i="94" s="1"/>
  <c r="U171" i="94"/>
  <c r="D171" i="94" s="1"/>
  <c r="V171" i="94"/>
  <c r="E171" i="94" s="1"/>
  <c r="W171" i="94"/>
  <c r="X171" i="94"/>
  <c r="G171" i="94" s="1"/>
  <c r="Y171" i="94"/>
  <c r="Z171" i="94"/>
  <c r="R172" i="94"/>
  <c r="A172" i="94" s="1"/>
  <c r="S172" i="94"/>
  <c r="B172" i="94" s="1"/>
  <c r="T172" i="94"/>
  <c r="C172" i="94" s="1"/>
  <c r="U172" i="94"/>
  <c r="D172" i="94" s="1"/>
  <c r="F172" i="94" s="1"/>
  <c r="V172" i="94"/>
  <c r="E172" i="94" s="1"/>
  <c r="W172" i="94"/>
  <c r="X172" i="94"/>
  <c r="G172" i="94" s="1"/>
  <c r="Y172" i="94"/>
  <c r="H172" i="94" s="1"/>
  <c r="Z172" i="94"/>
  <c r="R173" i="94"/>
  <c r="A173" i="94" s="1"/>
  <c r="S173" i="94"/>
  <c r="B173" i="94" s="1"/>
  <c r="T173" i="94"/>
  <c r="C173" i="94" s="1"/>
  <c r="U173" i="94"/>
  <c r="D173" i="94" s="1"/>
  <c r="V173" i="94"/>
  <c r="E173" i="94" s="1"/>
  <c r="W173" i="94"/>
  <c r="X173" i="94"/>
  <c r="G173" i="94" s="1"/>
  <c r="Y173" i="94"/>
  <c r="H173" i="94" s="1"/>
  <c r="Z173" i="94"/>
  <c r="R174" i="94"/>
  <c r="A174" i="94" s="1"/>
  <c r="S174" i="94"/>
  <c r="B174" i="94" s="1"/>
  <c r="T174" i="94"/>
  <c r="C174" i="94" s="1"/>
  <c r="U174" i="94"/>
  <c r="D174" i="94" s="1"/>
  <c r="V174" i="94"/>
  <c r="E174" i="94" s="1"/>
  <c r="W174" i="94"/>
  <c r="X174" i="94"/>
  <c r="G174" i="94" s="1"/>
  <c r="Y174" i="94"/>
  <c r="H174" i="94" s="1"/>
  <c r="Z174" i="94"/>
  <c r="R175" i="94"/>
  <c r="A175" i="94" s="1"/>
  <c r="S175" i="94"/>
  <c r="B175" i="94" s="1"/>
  <c r="T175" i="94"/>
  <c r="C175" i="94" s="1"/>
  <c r="U175" i="94"/>
  <c r="D175" i="94" s="1"/>
  <c r="V175" i="94"/>
  <c r="E175" i="94" s="1"/>
  <c r="W175" i="94"/>
  <c r="X175" i="94"/>
  <c r="G175" i="94" s="1"/>
  <c r="Y175" i="94"/>
  <c r="Z175" i="94"/>
  <c r="R176" i="94"/>
  <c r="A176" i="94" s="1"/>
  <c r="S176" i="94"/>
  <c r="B176" i="94" s="1"/>
  <c r="T176" i="94"/>
  <c r="C176" i="94" s="1"/>
  <c r="U176" i="94"/>
  <c r="D176" i="94" s="1"/>
  <c r="F176" i="94" s="1"/>
  <c r="V176" i="94"/>
  <c r="E176" i="94" s="1"/>
  <c r="W176" i="94"/>
  <c r="X176" i="94"/>
  <c r="G176" i="94" s="1"/>
  <c r="Y176" i="94"/>
  <c r="H176" i="94" s="1"/>
  <c r="Z176" i="94"/>
  <c r="R177" i="94"/>
  <c r="A177" i="94" s="1"/>
  <c r="S177" i="94"/>
  <c r="B177" i="94" s="1"/>
  <c r="T177" i="94"/>
  <c r="C177" i="94" s="1"/>
  <c r="U177" i="94"/>
  <c r="D177" i="94" s="1"/>
  <c r="V177" i="94"/>
  <c r="E177" i="94" s="1"/>
  <c r="W177" i="94"/>
  <c r="X177" i="94"/>
  <c r="G177" i="94" s="1"/>
  <c r="Y177" i="94"/>
  <c r="H177" i="94" s="1"/>
  <c r="Z177" i="94"/>
  <c r="R178" i="94"/>
  <c r="A178" i="94" s="1"/>
  <c r="S178" i="94"/>
  <c r="B178" i="94" s="1"/>
  <c r="T178" i="94"/>
  <c r="C178" i="94" s="1"/>
  <c r="U178" i="94"/>
  <c r="D178" i="94" s="1"/>
  <c r="V178" i="94"/>
  <c r="E178" i="94" s="1"/>
  <c r="W178" i="94"/>
  <c r="X178" i="94"/>
  <c r="G178" i="94" s="1"/>
  <c r="Y178" i="94"/>
  <c r="H178" i="94" s="1"/>
  <c r="Z178" i="94"/>
  <c r="R179" i="94"/>
  <c r="A179" i="94" s="1"/>
  <c r="S179" i="94"/>
  <c r="B179" i="94" s="1"/>
  <c r="T179" i="94"/>
  <c r="C179" i="94" s="1"/>
  <c r="U179" i="94"/>
  <c r="D179" i="94" s="1"/>
  <c r="V179" i="94"/>
  <c r="E179" i="94" s="1"/>
  <c r="W179" i="94"/>
  <c r="X179" i="94"/>
  <c r="G179" i="94" s="1"/>
  <c r="Y179" i="94"/>
  <c r="Z179" i="94"/>
  <c r="R180" i="94"/>
  <c r="A180" i="94" s="1"/>
  <c r="S180" i="94"/>
  <c r="B180" i="94" s="1"/>
  <c r="T180" i="94"/>
  <c r="C180" i="94" s="1"/>
  <c r="U180" i="94"/>
  <c r="D180" i="94" s="1"/>
  <c r="V180" i="94"/>
  <c r="E180" i="94" s="1"/>
  <c r="W180" i="94"/>
  <c r="X180" i="94"/>
  <c r="G180" i="94" s="1"/>
  <c r="Y180" i="94"/>
  <c r="H180" i="94" s="1"/>
  <c r="Z180" i="94"/>
  <c r="R181" i="94"/>
  <c r="A181" i="94" s="1"/>
  <c r="S181" i="94"/>
  <c r="B181" i="94" s="1"/>
  <c r="T181" i="94"/>
  <c r="C181" i="94" s="1"/>
  <c r="U181" i="94"/>
  <c r="D181" i="94" s="1"/>
  <c r="V181" i="94"/>
  <c r="E181" i="94" s="1"/>
  <c r="W181" i="94"/>
  <c r="X181" i="94"/>
  <c r="G181" i="94" s="1"/>
  <c r="Y181" i="94"/>
  <c r="H181" i="94" s="1"/>
  <c r="Z181" i="94"/>
  <c r="R182" i="94"/>
  <c r="A182" i="94" s="1"/>
  <c r="S182" i="94"/>
  <c r="B182" i="94" s="1"/>
  <c r="T182" i="94"/>
  <c r="C182" i="94" s="1"/>
  <c r="U182" i="94"/>
  <c r="D182" i="94" s="1"/>
  <c r="V182" i="94"/>
  <c r="E182" i="94" s="1"/>
  <c r="W182" i="94"/>
  <c r="X182" i="94"/>
  <c r="G182" i="94" s="1"/>
  <c r="Y182" i="94"/>
  <c r="H182" i="94" s="1"/>
  <c r="Z182" i="94"/>
  <c r="R183" i="94"/>
  <c r="A183" i="94" s="1"/>
  <c r="S183" i="94"/>
  <c r="B183" i="94" s="1"/>
  <c r="T183" i="94"/>
  <c r="C183" i="94" s="1"/>
  <c r="U183" i="94"/>
  <c r="D183" i="94" s="1"/>
  <c r="F183" i="94" s="1"/>
  <c r="V183" i="94"/>
  <c r="E183" i="94" s="1"/>
  <c r="W183" i="94"/>
  <c r="X183" i="94"/>
  <c r="G183" i="94" s="1"/>
  <c r="Y183" i="94"/>
  <c r="Z183" i="94"/>
  <c r="R184" i="94"/>
  <c r="A184" i="94" s="1"/>
  <c r="S184" i="94"/>
  <c r="B184" i="94" s="1"/>
  <c r="T184" i="94"/>
  <c r="C184" i="94" s="1"/>
  <c r="U184" i="94"/>
  <c r="D184" i="94" s="1"/>
  <c r="V184" i="94"/>
  <c r="E184" i="94" s="1"/>
  <c r="W184" i="94"/>
  <c r="X184" i="94"/>
  <c r="G184" i="94" s="1"/>
  <c r="Y184" i="94"/>
  <c r="H184" i="94" s="1"/>
  <c r="Z184" i="94"/>
  <c r="R185" i="94"/>
  <c r="A185" i="94" s="1"/>
  <c r="S185" i="94"/>
  <c r="B185" i="94" s="1"/>
  <c r="T185" i="94"/>
  <c r="C185" i="94" s="1"/>
  <c r="U185" i="94"/>
  <c r="D185" i="94" s="1"/>
  <c r="V185" i="94"/>
  <c r="E185" i="94" s="1"/>
  <c r="W185" i="94"/>
  <c r="X185" i="94"/>
  <c r="G185" i="94" s="1"/>
  <c r="Y185" i="94"/>
  <c r="H185" i="94" s="1"/>
  <c r="Z185" i="94"/>
  <c r="R186" i="94"/>
  <c r="A186" i="94" s="1"/>
  <c r="S186" i="94"/>
  <c r="B186" i="94" s="1"/>
  <c r="T186" i="94"/>
  <c r="C186" i="94" s="1"/>
  <c r="U186" i="94"/>
  <c r="D186" i="94" s="1"/>
  <c r="V186" i="94"/>
  <c r="E186" i="94" s="1"/>
  <c r="W186" i="94"/>
  <c r="X186" i="94"/>
  <c r="G186" i="94" s="1"/>
  <c r="Y186" i="94"/>
  <c r="H186" i="94" s="1"/>
  <c r="Z186" i="94"/>
  <c r="R187" i="94"/>
  <c r="A187" i="94" s="1"/>
  <c r="S187" i="94"/>
  <c r="B187" i="94" s="1"/>
  <c r="T187" i="94"/>
  <c r="C187" i="94" s="1"/>
  <c r="U187" i="94"/>
  <c r="D187" i="94" s="1"/>
  <c r="F187" i="94" s="1"/>
  <c r="V187" i="94"/>
  <c r="E187" i="94" s="1"/>
  <c r="W187" i="94"/>
  <c r="X187" i="94"/>
  <c r="G187" i="94" s="1"/>
  <c r="Y187" i="94"/>
  <c r="Z187" i="94"/>
  <c r="R188" i="94"/>
  <c r="A188" i="94" s="1"/>
  <c r="S188" i="94"/>
  <c r="B188" i="94" s="1"/>
  <c r="T188" i="94"/>
  <c r="C188" i="94" s="1"/>
  <c r="U188" i="94"/>
  <c r="D188" i="94" s="1"/>
  <c r="V188" i="94"/>
  <c r="E188" i="94" s="1"/>
  <c r="W188" i="94"/>
  <c r="X188" i="94"/>
  <c r="G188" i="94" s="1"/>
  <c r="Y188" i="94"/>
  <c r="H188" i="94" s="1"/>
  <c r="Z188" i="94"/>
  <c r="R189" i="94"/>
  <c r="A189" i="94" s="1"/>
  <c r="S189" i="94"/>
  <c r="B189" i="94" s="1"/>
  <c r="T189" i="94"/>
  <c r="C189" i="94" s="1"/>
  <c r="U189" i="94"/>
  <c r="D189" i="94" s="1"/>
  <c r="V189" i="94"/>
  <c r="E189" i="94" s="1"/>
  <c r="W189" i="94"/>
  <c r="X189" i="94"/>
  <c r="G189" i="94" s="1"/>
  <c r="Y189" i="94"/>
  <c r="H189" i="94" s="1"/>
  <c r="Z189" i="94"/>
  <c r="R190" i="94"/>
  <c r="A190" i="94" s="1"/>
  <c r="S190" i="94"/>
  <c r="B190" i="94" s="1"/>
  <c r="T190" i="94"/>
  <c r="C190" i="94" s="1"/>
  <c r="U190" i="94"/>
  <c r="D190" i="94" s="1"/>
  <c r="V190" i="94"/>
  <c r="E190" i="94" s="1"/>
  <c r="W190" i="94"/>
  <c r="X190" i="94"/>
  <c r="G190" i="94" s="1"/>
  <c r="Y190" i="94"/>
  <c r="H190" i="94" s="1"/>
  <c r="Z190" i="94"/>
  <c r="R191" i="94"/>
  <c r="A191" i="94" s="1"/>
  <c r="S191" i="94"/>
  <c r="B191" i="94" s="1"/>
  <c r="T191" i="94"/>
  <c r="C191" i="94" s="1"/>
  <c r="U191" i="94"/>
  <c r="D191" i="94" s="1"/>
  <c r="F191" i="94" s="1"/>
  <c r="V191" i="94"/>
  <c r="E191" i="94" s="1"/>
  <c r="W191" i="94"/>
  <c r="X191" i="94"/>
  <c r="G191" i="94" s="1"/>
  <c r="Y191" i="94"/>
  <c r="Z191" i="94"/>
  <c r="R192" i="94"/>
  <c r="A192" i="94" s="1"/>
  <c r="S192" i="94"/>
  <c r="B192" i="94" s="1"/>
  <c r="T192" i="94"/>
  <c r="C192" i="94" s="1"/>
  <c r="U192" i="94"/>
  <c r="D192" i="94" s="1"/>
  <c r="V192" i="94"/>
  <c r="E192" i="94" s="1"/>
  <c r="W192" i="94"/>
  <c r="X192" i="94"/>
  <c r="G192" i="94" s="1"/>
  <c r="Y192" i="94"/>
  <c r="H192" i="94" s="1"/>
  <c r="Z192" i="94"/>
  <c r="R193" i="94"/>
  <c r="A193" i="94" s="1"/>
  <c r="S193" i="94"/>
  <c r="B193" i="94" s="1"/>
  <c r="T193" i="94"/>
  <c r="C193" i="94" s="1"/>
  <c r="U193" i="94"/>
  <c r="D193" i="94" s="1"/>
  <c r="F193" i="94" s="1"/>
  <c r="V193" i="94"/>
  <c r="E193" i="94" s="1"/>
  <c r="W193" i="94"/>
  <c r="X193" i="94"/>
  <c r="G193" i="94" s="1"/>
  <c r="Y193" i="94"/>
  <c r="H193" i="94" s="1"/>
  <c r="Z193" i="94"/>
  <c r="R194" i="94"/>
  <c r="A194" i="94" s="1"/>
  <c r="S194" i="94"/>
  <c r="B194" i="94" s="1"/>
  <c r="T194" i="94"/>
  <c r="C194" i="94" s="1"/>
  <c r="U194" i="94"/>
  <c r="D194" i="94" s="1"/>
  <c r="V194" i="94"/>
  <c r="E194" i="94" s="1"/>
  <c r="W194" i="94"/>
  <c r="X194" i="94"/>
  <c r="G194" i="94" s="1"/>
  <c r="Y194" i="94"/>
  <c r="H194" i="94" s="1"/>
  <c r="Z194" i="94"/>
  <c r="R195" i="94"/>
  <c r="A195" i="94" s="1"/>
  <c r="S195" i="94"/>
  <c r="B195" i="94" s="1"/>
  <c r="T195" i="94"/>
  <c r="C195" i="94" s="1"/>
  <c r="U195" i="94"/>
  <c r="D195" i="94" s="1"/>
  <c r="F195" i="94" s="1"/>
  <c r="V195" i="94"/>
  <c r="E195" i="94" s="1"/>
  <c r="W195" i="94"/>
  <c r="X195" i="94"/>
  <c r="G195" i="94" s="1"/>
  <c r="Y195" i="94"/>
  <c r="Z195" i="94"/>
  <c r="R196" i="94"/>
  <c r="A196" i="94" s="1"/>
  <c r="S196" i="94"/>
  <c r="B196" i="94" s="1"/>
  <c r="T196" i="94"/>
  <c r="C196" i="94" s="1"/>
  <c r="U196" i="94"/>
  <c r="D196" i="94" s="1"/>
  <c r="V196" i="94"/>
  <c r="E196" i="94" s="1"/>
  <c r="W196" i="94"/>
  <c r="X196" i="94"/>
  <c r="G196" i="94" s="1"/>
  <c r="Y196" i="94"/>
  <c r="H196" i="94" s="1"/>
  <c r="Z196" i="94"/>
  <c r="R197" i="94"/>
  <c r="A197" i="94" s="1"/>
  <c r="S197" i="94"/>
  <c r="B197" i="94" s="1"/>
  <c r="T197" i="94"/>
  <c r="C197" i="94" s="1"/>
  <c r="U197" i="94"/>
  <c r="D197" i="94" s="1"/>
  <c r="V197" i="94"/>
  <c r="E197" i="94" s="1"/>
  <c r="W197" i="94"/>
  <c r="X197" i="94"/>
  <c r="G197" i="94" s="1"/>
  <c r="Y197" i="94"/>
  <c r="H197" i="94" s="1"/>
  <c r="Z197" i="94"/>
  <c r="R198" i="94"/>
  <c r="A198" i="94" s="1"/>
  <c r="S198" i="94"/>
  <c r="B198" i="94" s="1"/>
  <c r="T198" i="94"/>
  <c r="C198" i="94" s="1"/>
  <c r="U198" i="94"/>
  <c r="D198" i="94" s="1"/>
  <c r="V198" i="94"/>
  <c r="E198" i="94" s="1"/>
  <c r="W198" i="94"/>
  <c r="X198" i="94"/>
  <c r="G198" i="94" s="1"/>
  <c r="Y198" i="94"/>
  <c r="H198" i="94" s="1"/>
  <c r="Z198" i="94"/>
  <c r="R199" i="94"/>
  <c r="A199" i="94" s="1"/>
  <c r="S199" i="94"/>
  <c r="B199" i="94" s="1"/>
  <c r="T199" i="94"/>
  <c r="C199" i="94" s="1"/>
  <c r="U199" i="94"/>
  <c r="D199" i="94" s="1"/>
  <c r="F199" i="94" s="1"/>
  <c r="V199" i="94"/>
  <c r="E199" i="94" s="1"/>
  <c r="W199" i="94"/>
  <c r="X199" i="94"/>
  <c r="G199" i="94" s="1"/>
  <c r="Y199" i="94"/>
  <c r="Z199" i="94"/>
  <c r="R200" i="94"/>
  <c r="A200" i="94" s="1"/>
  <c r="S200" i="94"/>
  <c r="B200" i="94" s="1"/>
  <c r="T200" i="94"/>
  <c r="C200" i="94" s="1"/>
  <c r="U200" i="94"/>
  <c r="D200" i="94" s="1"/>
  <c r="V200" i="94"/>
  <c r="E200" i="94" s="1"/>
  <c r="W200" i="94"/>
  <c r="X200" i="94"/>
  <c r="G200" i="94" s="1"/>
  <c r="Y200" i="94"/>
  <c r="H200" i="94" s="1"/>
  <c r="Z200" i="94"/>
  <c r="R201" i="94"/>
  <c r="A201" i="94" s="1"/>
  <c r="S201" i="94"/>
  <c r="B201" i="94" s="1"/>
  <c r="T201" i="94"/>
  <c r="C201" i="94" s="1"/>
  <c r="U201" i="94"/>
  <c r="D201" i="94" s="1"/>
  <c r="V201" i="94"/>
  <c r="E201" i="94" s="1"/>
  <c r="W201" i="94"/>
  <c r="X201" i="94"/>
  <c r="G201" i="94" s="1"/>
  <c r="Y201" i="94"/>
  <c r="H201" i="94" s="1"/>
  <c r="Z201" i="94"/>
  <c r="R202" i="94"/>
  <c r="A202" i="94" s="1"/>
  <c r="S202" i="94"/>
  <c r="B202" i="94" s="1"/>
  <c r="T202" i="94"/>
  <c r="C202" i="94" s="1"/>
  <c r="U202" i="94"/>
  <c r="D202" i="94" s="1"/>
  <c r="V202" i="94"/>
  <c r="E202" i="94" s="1"/>
  <c r="W202" i="94"/>
  <c r="X202" i="94"/>
  <c r="G202" i="94" s="1"/>
  <c r="Y202" i="94"/>
  <c r="H202" i="94" s="1"/>
  <c r="Z202" i="94"/>
  <c r="R203" i="94"/>
  <c r="A203" i="94" s="1"/>
  <c r="S203" i="94"/>
  <c r="B203" i="94" s="1"/>
  <c r="T203" i="94"/>
  <c r="C203" i="94" s="1"/>
  <c r="U203" i="94"/>
  <c r="D203" i="94" s="1"/>
  <c r="F203" i="94" s="1"/>
  <c r="V203" i="94"/>
  <c r="E203" i="94" s="1"/>
  <c r="W203" i="94"/>
  <c r="X203" i="94"/>
  <c r="G203" i="94" s="1"/>
  <c r="Y203" i="94"/>
  <c r="Z203" i="94"/>
  <c r="R204" i="94"/>
  <c r="A204" i="94" s="1"/>
  <c r="S204" i="94"/>
  <c r="B204" i="94" s="1"/>
  <c r="T204" i="94"/>
  <c r="C204" i="94" s="1"/>
  <c r="U204" i="94"/>
  <c r="D204" i="94" s="1"/>
  <c r="V204" i="94"/>
  <c r="E204" i="94" s="1"/>
  <c r="W204" i="94"/>
  <c r="X204" i="94"/>
  <c r="G204" i="94" s="1"/>
  <c r="Y204" i="94"/>
  <c r="H204" i="94" s="1"/>
  <c r="Z204" i="94"/>
  <c r="R205" i="94"/>
  <c r="A205" i="94" s="1"/>
  <c r="S205" i="94"/>
  <c r="B205" i="94" s="1"/>
  <c r="T205" i="94"/>
  <c r="C205" i="94" s="1"/>
  <c r="U205" i="94"/>
  <c r="D205" i="94" s="1"/>
  <c r="V205" i="94"/>
  <c r="E205" i="94" s="1"/>
  <c r="W205" i="94"/>
  <c r="X205" i="94"/>
  <c r="G205" i="94" s="1"/>
  <c r="Y205" i="94"/>
  <c r="H205" i="94" s="1"/>
  <c r="Z205" i="94"/>
  <c r="R206" i="94"/>
  <c r="A206" i="94" s="1"/>
  <c r="S206" i="94"/>
  <c r="B206" i="94" s="1"/>
  <c r="T206" i="94"/>
  <c r="C206" i="94" s="1"/>
  <c r="U206" i="94"/>
  <c r="D206" i="94" s="1"/>
  <c r="V206" i="94"/>
  <c r="E206" i="94" s="1"/>
  <c r="W206" i="94"/>
  <c r="X206" i="94"/>
  <c r="G206" i="94" s="1"/>
  <c r="Y206" i="94"/>
  <c r="H206" i="94" s="1"/>
  <c r="Z206" i="94"/>
  <c r="R207" i="94"/>
  <c r="A207" i="94" s="1"/>
  <c r="S207" i="94"/>
  <c r="B207" i="94" s="1"/>
  <c r="T207" i="94"/>
  <c r="C207" i="94" s="1"/>
  <c r="U207" i="94"/>
  <c r="D207" i="94" s="1"/>
  <c r="F207" i="94" s="1"/>
  <c r="V207" i="94"/>
  <c r="E207" i="94" s="1"/>
  <c r="W207" i="94"/>
  <c r="X207" i="94"/>
  <c r="G207" i="94" s="1"/>
  <c r="Y207" i="94"/>
  <c r="Z207" i="94"/>
  <c r="R208" i="94"/>
  <c r="A208" i="94" s="1"/>
  <c r="S208" i="94"/>
  <c r="B208" i="94" s="1"/>
  <c r="T208" i="94"/>
  <c r="C208" i="94" s="1"/>
  <c r="U208" i="94"/>
  <c r="D208" i="94" s="1"/>
  <c r="V208" i="94"/>
  <c r="E208" i="94" s="1"/>
  <c r="W208" i="94"/>
  <c r="X208" i="94"/>
  <c r="G208" i="94" s="1"/>
  <c r="Y208" i="94"/>
  <c r="H208" i="94" s="1"/>
  <c r="Z208" i="94"/>
  <c r="R209" i="94"/>
  <c r="A209" i="94" s="1"/>
  <c r="S209" i="94"/>
  <c r="B209" i="94" s="1"/>
  <c r="T209" i="94"/>
  <c r="C209" i="94" s="1"/>
  <c r="U209" i="94"/>
  <c r="D209" i="94" s="1"/>
  <c r="V209" i="94"/>
  <c r="E209" i="94" s="1"/>
  <c r="W209" i="94"/>
  <c r="X209" i="94"/>
  <c r="G209" i="94" s="1"/>
  <c r="Y209" i="94"/>
  <c r="H209" i="94" s="1"/>
  <c r="Z209" i="94"/>
  <c r="R210" i="94"/>
  <c r="A210" i="94" s="1"/>
  <c r="S210" i="94"/>
  <c r="B210" i="94" s="1"/>
  <c r="T210" i="94"/>
  <c r="C210" i="94" s="1"/>
  <c r="U210" i="94"/>
  <c r="D210" i="94" s="1"/>
  <c r="V210" i="94"/>
  <c r="E210" i="94" s="1"/>
  <c r="W210" i="94"/>
  <c r="X210" i="94"/>
  <c r="G210" i="94" s="1"/>
  <c r="Y210" i="94"/>
  <c r="H210" i="94" s="1"/>
  <c r="Z210" i="94"/>
  <c r="R211" i="94"/>
  <c r="A211" i="94" s="1"/>
  <c r="S211" i="94"/>
  <c r="B211" i="94" s="1"/>
  <c r="T211" i="94"/>
  <c r="C211" i="94" s="1"/>
  <c r="U211" i="94"/>
  <c r="D211" i="94" s="1"/>
  <c r="F211" i="94" s="1"/>
  <c r="V211" i="94"/>
  <c r="E211" i="94" s="1"/>
  <c r="W211" i="94"/>
  <c r="X211" i="94"/>
  <c r="G211" i="94" s="1"/>
  <c r="Y211" i="94"/>
  <c r="Z211" i="94"/>
  <c r="R212" i="94"/>
  <c r="A212" i="94" s="1"/>
  <c r="S212" i="94"/>
  <c r="B212" i="94" s="1"/>
  <c r="T212" i="94"/>
  <c r="C212" i="94" s="1"/>
  <c r="U212" i="94"/>
  <c r="D212" i="94" s="1"/>
  <c r="V212" i="94"/>
  <c r="E212" i="94" s="1"/>
  <c r="W212" i="94"/>
  <c r="X212" i="94"/>
  <c r="G212" i="94" s="1"/>
  <c r="Y212" i="94"/>
  <c r="H212" i="94" s="1"/>
  <c r="Z212" i="94"/>
  <c r="R213" i="94"/>
  <c r="A213" i="94" s="1"/>
  <c r="S213" i="94"/>
  <c r="B213" i="94" s="1"/>
  <c r="T213" i="94"/>
  <c r="C213" i="94" s="1"/>
  <c r="U213" i="94"/>
  <c r="D213" i="94" s="1"/>
  <c r="V213" i="94"/>
  <c r="E213" i="94" s="1"/>
  <c r="W213" i="94"/>
  <c r="X213" i="94"/>
  <c r="G213" i="94" s="1"/>
  <c r="Y213" i="94"/>
  <c r="H213" i="94" s="1"/>
  <c r="Z213" i="94"/>
  <c r="R214" i="94"/>
  <c r="A214" i="94" s="1"/>
  <c r="S214" i="94"/>
  <c r="B214" i="94" s="1"/>
  <c r="T214" i="94"/>
  <c r="C214" i="94" s="1"/>
  <c r="U214" i="94"/>
  <c r="D214" i="94" s="1"/>
  <c r="V214" i="94"/>
  <c r="E214" i="94" s="1"/>
  <c r="W214" i="94"/>
  <c r="X214" i="94"/>
  <c r="G214" i="94" s="1"/>
  <c r="Y214" i="94"/>
  <c r="H214" i="94" s="1"/>
  <c r="Z214" i="94"/>
  <c r="R215" i="94"/>
  <c r="A215" i="94" s="1"/>
  <c r="S215" i="94"/>
  <c r="B215" i="94" s="1"/>
  <c r="T215" i="94"/>
  <c r="C215" i="94" s="1"/>
  <c r="U215" i="94"/>
  <c r="D215" i="94" s="1"/>
  <c r="F215" i="94" s="1"/>
  <c r="V215" i="94"/>
  <c r="E215" i="94" s="1"/>
  <c r="W215" i="94"/>
  <c r="X215" i="94"/>
  <c r="G215" i="94" s="1"/>
  <c r="Y215" i="94"/>
  <c r="Z215" i="94"/>
  <c r="R216" i="94"/>
  <c r="A216" i="94" s="1"/>
  <c r="S216" i="94"/>
  <c r="B216" i="94" s="1"/>
  <c r="T216" i="94"/>
  <c r="C216" i="94" s="1"/>
  <c r="U216" i="94"/>
  <c r="D216" i="94" s="1"/>
  <c r="V216" i="94"/>
  <c r="E216" i="94" s="1"/>
  <c r="W216" i="94"/>
  <c r="X216" i="94"/>
  <c r="G216" i="94" s="1"/>
  <c r="Y216" i="94"/>
  <c r="H216" i="94" s="1"/>
  <c r="Z216" i="94"/>
  <c r="R217" i="94"/>
  <c r="A217" i="94" s="1"/>
  <c r="S217" i="94"/>
  <c r="B217" i="94" s="1"/>
  <c r="T217" i="94"/>
  <c r="C217" i="94" s="1"/>
  <c r="U217" i="94"/>
  <c r="D217" i="94" s="1"/>
  <c r="V217" i="94"/>
  <c r="E217" i="94" s="1"/>
  <c r="W217" i="94"/>
  <c r="X217" i="94"/>
  <c r="G217" i="94" s="1"/>
  <c r="Y217" i="94"/>
  <c r="H217" i="94" s="1"/>
  <c r="Z217" i="94"/>
  <c r="R218" i="94"/>
  <c r="A218" i="94" s="1"/>
  <c r="S218" i="94"/>
  <c r="B218" i="94" s="1"/>
  <c r="T218" i="94"/>
  <c r="C218" i="94" s="1"/>
  <c r="U218" i="94"/>
  <c r="D218" i="94" s="1"/>
  <c r="V218" i="94"/>
  <c r="E218" i="94" s="1"/>
  <c r="W218" i="94"/>
  <c r="X218" i="94"/>
  <c r="G218" i="94" s="1"/>
  <c r="Y218" i="94"/>
  <c r="H218" i="94" s="1"/>
  <c r="Z218" i="94"/>
  <c r="R219" i="94"/>
  <c r="A219" i="94" s="1"/>
  <c r="S219" i="94"/>
  <c r="B219" i="94" s="1"/>
  <c r="T219" i="94"/>
  <c r="C219" i="94" s="1"/>
  <c r="U219" i="94"/>
  <c r="D219" i="94" s="1"/>
  <c r="F219" i="94" s="1"/>
  <c r="V219" i="94"/>
  <c r="E219" i="94" s="1"/>
  <c r="W219" i="94"/>
  <c r="X219" i="94"/>
  <c r="G219" i="94" s="1"/>
  <c r="Y219" i="94"/>
  <c r="Z219" i="94"/>
  <c r="R220" i="94"/>
  <c r="A220" i="94" s="1"/>
  <c r="S220" i="94"/>
  <c r="B220" i="94" s="1"/>
  <c r="T220" i="94"/>
  <c r="C220" i="94" s="1"/>
  <c r="U220" i="94"/>
  <c r="D220" i="94" s="1"/>
  <c r="V220" i="94"/>
  <c r="E220" i="94" s="1"/>
  <c r="W220" i="94"/>
  <c r="X220" i="94"/>
  <c r="G220" i="94" s="1"/>
  <c r="Y220" i="94"/>
  <c r="H220" i="94" s="1"/>
  <c r="Z220" i="94"/>
  <c r="R221" i="94"/>
  <c r="A221" i="94" s="1"/>
  <c r="S221" i="94"/>
  <c r="B221" i="94" s="1"/>
  <c r="T221" i="94"/>
  <c r="C221" i="94" s="1"/>
  <c r="U221" i="94"/>
  <c r="D221" i="94" s="1"/>
  <c r="V221" i="94"/>
  <c r="E221" i="94" s="1"/>
  <c r="W221" i="94"/>
  <c r="X221" i="94"/>
  <c r="G221" i="94" s="1"/>
  <c r="Y221" i="94"/>
  <c r="H221" i="94" s="1"/>
  <c r="Z221" i="94"/>
  <c r="R222" i="94"/>
  <c r="A222" i="94" s="1"/>
  <c r="S222" i="94"/>
  <c r="B222" i="94" s="1"/>
  <c r="T222" i="94"/>
  <c r="C222" i="94" s="1"/>
  <c r="U222" i="94"/>
  <c r="D222" i="94" s="1"/>
  <c r="V222" i="94"/>
  <c r="E222" i="94" s="1"/>
  <c r="W222" i="94"/>
  <c r="X222" i="94"/>
  <c r="G222" i="94" s="1"/>
  <c r="Y222" i="94"/>
  <c r="H222" i="94" s="1"/>
  <c r="Z222" i="94"/>
  <c r="R223" i="94"/>
  <c r="A223" i="94" s="1"/>
  <c r="S223" i="94"/>
  <c r="B223" i="94" s="1"/>
  <c r="T223" i="94"/>
  <c r="C223" i="94" s="1"/>
  <c r="U223" i="94"/>
  <c r="D223" i="94" s="1"/>
  <c r="F223" i="94" s="1"/>
  <c r="V223" i="94"/>
  <c r="E223" i="94" s="1"/>
  <c r="W223" i="94"/>
  <c r="X223" i="94"/>
  <c r="G223" i="94" s="1"/>
  <c r="Y223" i="94"/>
  <c r="Z223" i="94"/>
  <c r="R224" i="94"/>
  <c r="A224" i="94" s="1"/>
  <c r="S224" i="94"/>
  <c r="B224" i="94" s="1"/>
  <c r="T224" i="94"/>
  <c r="C224" i="94" s="1"/>
  <c r="U224" i="94"/>
  <c r="D224" i="94" s="1"/>
  <c r="V224" i="94"/>
  <c r="E224" i="94" s="1"/>
  <c r="W224" i="94"/>
  <c r="X224" i="94"/>
  <c r="G224" i="94" s="1"/>
  <c r="Y224" i="94"/>
  <c r="H224" i="94" s="1"/>
  <c r="Z224" i="94"/>
  <c r="R225" i="94"/>
  <c r="A225" i="94" s="1"/>
  <c r="S225" i="94"/>
  <c r="B225" i="94" s="1"/>
  <c r="T225" i="94"/>
  <c r="C225" i="94" s="1"/>
  <c r="U225" i="94"/>
  <c r="D225" i="94" s="1"/>
  <c r="V225" i="94"/>
  <c r="E225" i="94" s="1"/>
  <c r="W225" i="94"/>
  <c r="X225" i="94"/>
  <c r="G225" i="94" s="1"/>
  <c r="Y225" i="94"/>
  <c r="H225" i="94" s="1"/>
  <c r="Z225" i="94"/>
  <c r="R226" i="94"/>
  <c r="A226" i="94" s="1"/>
  <c r="S226" i="94"/>
  <c r="B226" i="94" s="1"/>
  <c r="T226" i="94"/>
  <c r="C226" i="94" s="1"/>
  <c r="U226" i="94"/>
  <c r="D226" i="94" s="1"/>
  <c r="V226" i="94"/>
  <c r="E226" i="94" s="1"/>
  <c r="W226" i="94"/>
  <c r="X226" i="94"/>
  <c r="G226" i="94" s="1"/>
  <c r="Y226" i="94"/>
  <c r="H226" i="94" s="1"/>
  <c r="Z226" i="94"/>
  <c r="R227" i="94"/>
  <c r="A227" i="94" s="1"/>
  <c r="S227" i="94"/>
  <c r="B227" i="94" s="1"/>
  <c r="T227" i="94"/>
  <c r="C227" i="94" s="1"/>
  <c r="U227" i="94"/>
  <c r="D227" i="94" s="1"/>
  <c r="F227" i="94" s="1"/>
  <c r="V227" i="94"/>
  <c r="E227" i="94" s="1"/>
  <c r="W227" i="94"/>
  <c r="X227" i="94"/>
  <c r="G227" i="94" s="1"/>
  <c r="Y227" i="94"/>
  <c r="Z227" i="94"/>
  <c r="R228" i="94"/>
  <c r="A228" i="94" s="1"/>
  <c r="S228" i="94"/>
  <c r="B228" i="94" s="1"/>
  <c r="T228" i="94"/>
  <c r="C228" i="94" s="1"/>
  <c r="U228" i="94"/>
  <c r="D228" i="94" s="1"/>
  <c r="V228" i="94"/>
  <c r="E228" i="94" s="1"/>
  <c r="W228" i="94"/>
  <c r="X228" i="94"/>
  <c r="G228" i="94" s="1"/>
  <c r="Y228" i="94"/>
  <c r="H228" i="94" s="1"/>
  <c r="Z228" i="94"/>
  <c r="R229" i="94"/>
  <c r="A229" i="94" s="1"/>
  <c r="S229" i="94"/>
  <c r="B229" i="94" s="1"/>
  <c r="T229" i="94"/>
  <c r="C229" i="94" s="1"/>
  <c r="U229" i="94"/>
  <c r="D229" i="94" s="1"/>
  <c r="V229" i="94"/>
  <c r="E229" i="94" s="1"/>
  <c r="W229" i="94"/>
  <c r="X229" i="94"/>
  <c r="G229" i="94" s="1"/>
  <c r="Y229" i="94"/>
  <c r="H229" i="94" s="1"/>
  <c r="Z229" i="94"/>
  <c r="R230" i="94"/>
  <c r="A230" i="94" s="1"/>
  <c r="S230" i="94"/>
  <c r="B230" i="94" s="1"/>
  <c r="T230" i="94"/>
  <c r="C230" i="94" s="1"/>
  <c r="U230" i="94"/>
  <c r="D230" i="94" s="1"/>
  <c r="V230" i="94"/>
  <c r="E230" i="94" s="1"/>
  <c r="W230" i="94"/>
  <c r="X230" i="94"/>
  <c r="G230" i="94" s="1"/>
  <c r="Y230" i="94"/>
  <c r="H230" i="94" s="1"/>
  <c r="Z230" i="94"/>
  <c r="R231" i="94"/>
  <c r="A231" i="94" s="1"/>
  <c r="S231" i="94"/>
  <c r="B231" i="94" s="1"/>
  <c r="T231" i="94"/>
  <c r="C231" i="94" s="1"/>
  <c r="U231" i="94"/>
  <c r="D231" i="94" s="1"/>
  <c r="F231" i="94" s="1"/>
  <c r="V231" i="94"/>
  <c r="E231" i="94" s="1"/>
  <c r="W231" i="94"/>
  <c r="X231" i="94"/>
  <c r="G231" i="94" s="1"/>
  <c r="Y231" i="94"/>
  <c r="Z231" i="94"/>
  <c r="R232" i="94"/>
  <c r="A232" i="94" s="1"/>
  <c r="S232" i="94"/>
  <c r="B232" i="94" s="1"/>
  <c r="T232" i="94"/>
  <c r="C232" i="94" s="1"/>
  <c r="U232" i="94"/>
  <c r="D232" i="94" s="1"/>
  <c r="V232" i="94"/>
  <c r="E232" i="94" s="1"/>
  <c r="W232" i="94"/>
  <c r="X232" i="94"/>
  <c r="G232" i="94" s="1"/>
  <c r="Y232" i="94"/>
  <c r="H232" i="94" s="1"/>
  <c r="Z232" i="94"/>
  <c r="R233" i="94"/>
  <c r="A233" i="94" s="1"/>
  <c r="S233" i="94"/>
  <c r="B233" i="94" s="1"/>
  <c r="T233" i="94"/>
  <c r="C233" i="94" s="1"/>
  <c r="U233" i="94"/>
  <c r="D233" i="94" s="1"/>
  <c r="F233" i="94" s="1"/>
  <c r="V233" i="94"/>
  <c r="E233" i="94" s="1"/>
  <c r="W233" i="94"/>
  <c r="X233" i="94"/>
  <c r="G233" i="94" s="1"/>
  <c r="Y233" i="94"/>
  <c r="H233" i="94" s="1"/>
  <c r="Z233" i="94"/>
  <c r="R234" i="94"/>
  <c r="A234" i="94" s="1"/>
  <c r="S234" i="94"/>
  <c r="B234" i="94" s="1"/>
  <c r="T234" i="94"/>
  <c r="C234" i="94" s="1"/>
  <c r="U234" i="94"/>
  <c r="D234" i="94" s="1"/>
  <c r="V234" i="94"/>
  <c r="E234" i="94" s="1"/>
  <c r="W234" i="94"/>
  <c r="X234" i="94"/>
  <c r="G234" i="94" s="1"/>
  <c r="Y234" i="94"/>
  <c r="H234" i="94" s="1"/>
  <c r="Z234" i="94"/>
  <c r="R235" i="94"/>
  <c r="A235" i="94" s="1"/>
  <c r="S235" i="94"/>
  <c r="B235" i="94" s="1"/>
  <c r="T235" i="94"/>
  <c r="C235" i="94" s="1"/>
  <c r="U235" i="94"/>
  <c r="D235" i="94" s="1"/>
  <c r="F235" i="94" s="1"/>
  <c r="V235" i="94"/>
  <c r="E235" i="94" s="1"/>
  <c r="W235" i="94"/>
  <c r="X235" i="94"/>
  <c r="G235" i="94" s="1"/>
  <c r="Y235" i="94"/>
  <c r="Z235" i="94"/>
  <c r="R236" i="94"/>
  <c r="A236" i="94" s="1"/>
  <c r="S236" i="94"/>
  <c r="B236" i="94" s="1"/>
  <c r="T236" i="94"/>
  <c r="C236" i="94" s="1"/>
  <c r="U236" i="94"/>
  <c r="D236" i="94" s="1"/>
  <c r="V236" i="94"/>
  <c r="E236" i="94" s="1"/>
  <c r="W236" i="94"/>
  <c r="X236" i="94"/>
  <c r="G236" i="94" s="1"/>
  <c r="Y236" i="94"/>
  <c r="H236" i="94" s="1"/>
  <c r="Z236" i="94"/>
  <c r="R237" i="94"/>
  <c r="A237" i="94" s="1"/>
  <c r="S237" i="94"/>
  <c r="B237" i="94" s="1"/>
  <c r="T237" i="94"/>
  <c r="C237" i="94" s="1"/>
  <c r="U237" i="94"/>
  <c r="D237" i="94" s="1"/>
  <c r="V237" i="94"/>
  <c r="E237" i="94" s="1"/>
  <c r="W237" i="94"/>
  <c r="X237" i="94"/>
  <c r="G237" i="94" s="1"/>
  <c r="Y237" i="94"/>
  <c r="H237" i="94" s="1"/>
  <c r="Z237" i="94"/>
  <c r="R238" i="94"/>
  <c r="A238" i="94" s="1"/>
  <c r="S238" i="94"/>
  <c r="B238" i="94" s="1"/>
  <c r="T238" i="94"/>
  <c r="C238" i="94" s="1"/>
  <c r="U238" i="94"/>
  <c r="D238" i="94" s="1"/>
  <c r="V238" i="94"/>
  <c r="E238" i="94" s="1"/>
  <c r="W238" i="94"/>
  <c r="X238" i="94"/>
  <c r="G238" i="94" s="1"/>
  <c r="Y238" i="94"/>
  <c r="H238" i="94" s="1"/>
  <c r="Z238" i="94"/>
  <c r="R239" i="94"/>
  <c r="A239" i="94" s="1"/>
  <c r="S239" i="94"/>
  <c r="B239" i="94" s="1"/>
  <c r="T239" i="94"/>
  <c r="C239" i="94" s="1"/>
  <c r="U239" i="94"/>
  <c r="D239" i="94" s="1"/>
  <c r="F239" i="94" s="1"/>
  <c r="V239" i="94"/>
  <c r="E239" i="94" s="1"/>
  <c r="W239" i="94"/>
  <c r="X239" i="94"/>
  <c r="G239" i="94" s="1"/>
  <c r="Y239" i="94"/>
  <c r="Z239" i="94"/>
  <c r="R240" i="94"/>
  <c r="A240" i="94" s="1"/>
  <c r="S240" i="94"/>
  <c r="B240" i="94" s="1"/>
  <c r="T240" i="94"/>
  <c r="C240" i="94" s="1"/>
  <c r="U240" i="94"/>
  <c r="D240" i="94" s="1"/>
  <c r="V240" i="94"/>
  <c r="E240" i="94" s="1"/>
  <c r="W240" i="94"/>
  <c r="X240" i="94"/>
  <c r="G240" i="94" s="1"/>
  <c r="Y240" i="94"/>
  <c r="H240" i="94" s="1"/>
  <c r="Z240" i="94"/>
  <c r="R241" i="94"/>
  <c r="A241" i="94" s="1"/>
  <c r="S241" i="94"/>
  <c r="B241" i="94" s="1"/>
  <c r="T241" i="94"/>
  <c r="C241" i="94" s="1"/>
  <c r="U241" i="94"/>
  <c r="D241" i="94" s="1"/>
  <c r="F241" i="94" s="1"/>
  <c r="V241" i="94"/>
  <c r="E241" i="94" s="1"/>
  <c r="W241" i="94"/>
  <c r="X241" i="94"/>
  <c r="G241" i="94" s="1"/>
  <c r="Y241" i="94"/>
  <c r="H241" i="94" s="1"/>
  <c r="Z241" i="94"/>
  <c r="R242" i="94"/>
  <c r="A242" i="94" s="1"/>
  <c r="S242" i="94"/>
  <c r="B242" i="94" s="1"/>
  <c r="T242" i="94"/>
  <c r="C242" i="94" s="1"/>
  <c r="U242" i="94"/>
  <c r="D242" i="94" s="1"/>
  <c r="V242" i="94"/>
  <c r="E242" i="94" s="1"/>
  <c r="W242" i="94"/>
  <c r="X242" i="94"/>
  <c r="G242" i="94" s="1"/>
  <c r="Y242" i="94"/>
  <c r="H242" i="94" s="1"/>
  <c r="Z242" i="94"/>
  <c r="R243" i="94"/>
  <c r="A243" i="94" s="1"/>
  <c r="S243" i="94"/>
  <c r="B243" i="94" s="1"/>
  <c r="T243" i="94"/>
  <c r="C243" i="94" s="1"/>
  <c r="U243" i="94"/>
  <c r="D243" i="94" s="1"/>
  <c r="F243" i="94" s="1"/>
  <c r="V243" i="94"/>
  <c r="E243" i="94" s="1"/>
  <c r="W243" i="94"/>
  <c r="X243" i="94"/>
  <c r="G243" i="94" s="1"/>
  <c r="Y243" i="94"/>
  <c r="Z243" i="94"/>
  <c r="R244" i="94"/>
  <c r="A244" i="94" s="1"/>
  <c r="S244" i="94"/>
  <c r="B244" i="94" s="1"/>
  <c r="T244" i="94"/>
  <c r="C244" i="94" s="1"/>
  <c r="U244" i="94"/>
  <c r="D244" i="94" s="1"/>
  <c r="V244" i="94"/>
  <c r="E244" i="94" s="1"/>
  <c r="W244" i="94"/>
  <c r="X244" i="94"/>
  <c r="G244" i="94" s="1"/>
  <c r="Y244" i="94"/>
  <c r="H244" i="94" s="1"/>
  <c r="Z244" i="94"/>
  <c r="R245" i="94"/>
  <c r="A245" i="94" s="1"/>
  <c r="S245" i="94"/>
  <c r="B245" i="94" s="1"/>
  <c r="T245" i="94"/>
  <c r="C245" i="94" s="1"/>
  <c r="U245" i="94"/>
  <c r="D245" i="94" s="1"/>
  <c r="V245" i="94"/>
  <c r="E245" i="94" s="1"/>
  <c r="W245" i="94"/>
  <c r="X245" i="94"/>
  <c r="G245" i="94" s="1"/>
  <c r="Y245" i="94"/>
  <c r="H245" i="94" s="1"/>
  <c r="Z245" i="94"/>
  <c r="R246" i="94"/>
  <c r="A246" i="94" s="1"/>
  <c r="S246" i="94"/>
  <c r="B246" i="94" s="1"/>
  <c r="T246" i="94"/>
  <c r="C246" i="94" s="1"/>
  <c r="U246" i="94"/>
  <c r="D246" i="94" s="1"/>
  <c r="V246" i="94"/>
  <c r="E246" i="94" s="1"/>
  <c r="W246" i="94"/>
  <c r="X246" i="94"/>
  <c r="G246" i="94" s="1"/>
  <c r="Y246" i="94"/>
  <c r="H246" i="94" s="1"/>
  <c r="Z246" i="94"/>
  <c r="R247" i="94"/>
  <c r="A247" i="94" s="1"/>
  <c r="S247" i="94"/>
  <c r="B247" i="94" s="1"/>
  <c r="T247" i="94"/>
  <c r="C247" i="94" s="1"/>
  <c r="U247" i="94"/>
  <c r="D247" i="94" s="1"/>
  <c r="F247" i="94" s="1"/>
  <c r="V247" i="94"/>
  <c r="E247" i="94" s="1"/>
  <c r="W247" i="94"/>
  <c r="X247" i="94"/>
  <c r="G247" i="94" s="1"/>
  <c r="Y247" i="94"/>
  <c r="Z247" i="94"/>
  <c r="R248" i="94"/>
  <c r="A248" i="94" s="1"/>
  <c r="S248" i="94"/>
  <c r="B248" i="94" s="1"/>
  <c r="T248" i="94"/>
  <c r="C248" i="94" s="1"/>
  <c r="U248" i="94"/>
  <c r="D248" i="94" s="1"/>
  <c r="V248" i="94"/>
  <c r="E248" i="94" s="1"/>
  <c r="W248" i="94"/>
  <c r="X248" i="94"/>
  <c r="G248" i="94" s="1"/>
  <c r="Y248" i="94"/>
  <c r="H248" i="94" s="1"/>
  <c r="Z248" i="94"/>
  <c r="R249" i="94"/>
  <c r="A249" i="94" s="1"/>
  <c r="S249" i="94"/>
  <c r="B249" i="94" s="1"/>
  <c r="T249" i="94"/>
  <c r="C249" i="94" s="1"/>
  <c r="U249" i="94"/>
  <c r="D249" i="94" s="1"/>
  <c r="F249" i="94" s="1"/>
  <c r="V249" i="94"/>
  <c r="E249" i="94" s="1"/>
  <c r="W249" i="94"/>
  <c r="X249" i="94"/>
  <c r="G249" i="94" s="1"/>
  <c r="Y249" i="94"/>
  <c r="H249" i="94" s="1"/>
  <c r="Z249" i="94"/>
  <c r="R250" i="94"/>
  <c r="A250" i="94" s="1"/>
  <c r="S250" i="94"/>
  <c r="B250" i="94" s="1"/>
  <c r="T250" i="94"/>
  <c r="C250" i="94" s="1"/>
  <c r="U250" i="94"/>
  <c r="D250" i="94" s="1"/>
  <c r="V250" i="94"/>
  <c r="E250" i="94" s="1"/>
  <c r="W250" i="94"/>
  <c r="X250" i="94"/>
  <c r="G250" i="94" s="1"/>
  <c r="Y250" i="94"/>
  <c r="H250" i="94" s="1"/>
  <c r="Z250" i="94"/>
  <c r="R251" i="94"/>
  <c r="A251" i="94" s="1"/>
  <c r="S251" i="94"/>
  <c r="B251" i="94" s="1"/>
  <c r="T251" i="94"/>
  <c r="C251" i="94" s="1"/>
  <c r="U251" i="94"/>
  <c r="D251" i="94" s="1"/>
  <c r="F251" i="94" s="1"/>
  <c r="V251" i="94"/>
  <c r="E251" i="94" s="1"/>
  <c r="W251" i="94"/>
  <c r="X251" i="94"/>
  <c r="G251" i="94" s="1"/>
  <c r="Y251" i="94"/>
  <c r="Z251" i="94"/>
  <c r="R252" i="94"/>
  <c r="A252" i="94" s="1"/>
  <c r="S252" i="94"/>
  <c r="B252" i="94" s="1"/>
  <c r="T252" i="94"/>
  <c r="C252" i="94" s="1"/>
  <c r="U252" i="94"/>
  <c r="D252" i="94" s="1"/>
  <c r="V252" i="94"/>
  <c r="E252" i="94" s="1"/>
  <c r="W252" i="94"/>
  <c r="X252" i="94"/>
  <c r="G252" i="94" s="1"/>
  <c r="Y252" i="94"/>
  <c r="H252" i="94" s="1"/>
  <c r="Z252" i="94"/>
  <c r="R253" i="94"/>
  <c r="A253" i="94" s="1"/>
  <c r="S253" i="94"/>
  <c r="B253" i="94" s="1"/>
  <c r="T253" i="94"/>
  <c r="C253" i="94" s="1"/>
  <c r="U253" i="94"/>
  <c r="D253" i="94" s="1"/>
  <c r="V253" i="94"/>
  <c r="E253" i="94" s="1"/>
  <c r="W253" i="94"/>
  <c r="X253" i="94"/>
  <c r="G253" i="94" s="1"/>
  <c r="Y253" i="94"/>
  <c r="H253" i="94" s="1"/>
  <c r="Z253" i="94"/>
  <c r="R254" i="94"/>
  <c r="A254" i="94" s="1"/>
  <c r="S254" i="94"/>
  <c r="B254" i="94" s="1"/>
  <c r="T254" i="94"/>
  <c r="C254" i="94" s="1"/>
  <c r="U254" i="94"/>
  <c r="D254" i="94" s="1"/>
  <c r="V254" i="94"/>
  <c r="E254" i="94" s="1"/>
  <c r="W254" i="94"/>
  <c r="X254" i="94"/>
  <c r="G254" i="94" s="1"/>
  <c r="Y254" i="94"/>
  <c r="H254" i="94" s="1"/>
  <c r="Z254" i="94"/>
  <c r="R255" i="94"/>
  <c r="A255" i="94" s="1"/>
  <c r="S255" i="94"/>
  <c r="B255" i="94" s="1"/>
  <c r="T255" i="94"/>
  <c r="C255" i="94" s="1"/>
  <c r="U255" i="94"/>
  <c r="D255" i="94" s="1"/>
  <c r="F255" i="94" s="1"/>
  <c r="V255" i="94"/>
  <c r="E255" i="94" s="1"/>
  <c r="W255" i="94"/>
  <c r="X255" i="94"/>
  <c r="G255" i="94" s="1"/>
  <c r="Y255" i="94"/>
  <c r="Z255" i="94"/>
  <c r="R256" i="94"/>
  <c r="A256" i="94" s="1"/>
  <c r="S256" i="94"/>
  <c r="B256" i="94" s="1"/>
  <c r="T256" i="94"/>
  <c r="C256" i="94" s="1"/>
  <c r="U256" i="94"/>
  <c r="D256" i="94" s="1"/>
  <c r="V256" i="94"/>
  <c r="E256" i="94" s="1"/>
  <c r="W256" i="94"/>
  <c r="X256" i="94"/>
  <c r="G256" i="94" s="1"/>
  <c r="Y256" i="94"/>
  <c r="H256" i="94" s="1"/>
  <c r="Z256" i="94"/>
  <c r="R257" i="94"/>
  <c r="A257" i="94" s="1"/>
  <c r="S257" i="94"/>
  <c r="B257" i="94" s="1"/>
  <c r="T257" i="94"/>
  <c r="C257" i="94" s="1"/>
  <c r="U257" i="94"/>
  <c r="D257" i="94" s="1"/>
  <c r="F257" i="94" s="1"/>
  <c r="V257" i="94"/>
  <c r="E257" i="94" s="1"/>
  <c r="W257" i="94"/>
  <c r="X257" i="94"/>
  <c r="G257" i="94" s="1"/>
  <c r="Y257" i="94"/>
  <c r="H257" i="94" s="1"/>
  <c r="Z257" i="94"/>
  <c r="R258" i="94"/>
  <c r="A258" i="94" s="1"/>
  <c r="S258" i="94"/>
  <c r="B258" i="94" s="1"/>
  <c r="T258" i="94"/>
  <c r="C258" i="94" s="1"/>
  <c r="U258" i="94"/>
  <c r="D258" i="94" s="1"/>
  <c r="V258" i="94"/>
  <c r="E258" i="94" s="1"/>
  <c r="W258" i="94"/>
  <c r="X258" i="94"/>
  <c r="G258" i="94" s="1"/>
  <c r="Y258" i="94"/>
  <c r="H258" i="94" s="1"/>
  <c r="Z258" i="94"/>
  <c r="R259" i="94"/>
  <c r="A259" i="94" s="1"/>
  <c r="S259" i="94"/>
  <c r="B259" i="94" s="1"/>
  <c r="T259" i="94"/>
  <c r="C259" i="94" s="1"/>
  <c r="U259" i="94"/>
  <c r="D259" i="94" s="1"/>
  <c r="F259" i="94" s="1"/>
  <c r="V259" i="94"/>
  <c r="E259" i="94" s="1"/>
  <c r="W259" i="94"/>
  <c r="X259" i="94"/>
  <c r="G259" i="94" s="1"/>
  <c r="Y259" i="94"/>
  <c r="Z259" i="94"/>
  <c r="R260" i="94"/>
  <c r="A260" i="94" s="1"/>
  <c r="S260" i="94"/>
  <c r="B260" i="94" s="1"/>
  <c r="T260" i="94"/>
  <c r="C260" i="94" s="1"/>
  <c r="U260" i="94"/>
  <c r="D260" i="94" s="1"/>
  <c r="V260" i="94"/>
  <c r="E260" i="94" s="1"/>
  <c r="W260" i="94"/>
  <c r="X260" i="94"/>
  <c r="G260" i="94" s="1"/>
  <c r="Y260" i="94"/>
  <c r="H260" i="94" s="1"/>
  <c r="Z260" i="94"/>
  <c r="R261" i="94"/>
  <c r="A261" i="94" s="1"/>
  <c r="S261" i="94"/>
  <c r="B261" i="94" s="1"/>
  <c r="T261" i="94"/>
  <c r="C261" i="94" s="1"/>
  <c r="U261" i="94"/>
  <c r="D261" i="94" s="1"/>
  <c r="V261" i="94"/>
  <c r="E261" i="94" s="1"/>
  <c r="W261" i="94"/>
  <c r="X261" i="94"/>
  <c r="G261" i="94" s="1"/>
  <c r="Y261" i="94"/>
  <c r="H261" i="94" s="1"/>
  <c r="Z261" i="94"/>
  <c r="R262" i="94"/>
  <c r="A262" i="94" s="1"/>
  <c r="S262" i="94"/>
  <c r="B262" i="94" s="1"/>
  <c r="T262" i="94"/>
  <c r="C262" i="94" s="1"/>
  <c r="U262" i="94"/>
  <c r="D262" i="94" s="1"/>
  <c r="V262" i="94"/>
  <c r="E262" i="94" s="1"/>
  <c r="W262" i="94"/>
  <c r="X262" i="94"/>
  <c r="G262" i="94" s="1"/>
  <c r="Y262" i="94"/>
  <c r="H262" i="94" s="1"/>
  <c r="Z262" i="94"/>
  <c r="R263" i="94"/>
  <c r="A263" i="94" s="1"/>
  <c r="S263" i="94"/>
  <c r="B263" i="94" s="1"/>
  <c r="T263" i="94"/>
  <c r="C263" i="94" s="1"/>
  <c r="U263" i="94"/>
  <c r="D263" i="94" s="1"/>
  <c r="F263" i="94" s="1"/>
  <c r="V263" i="94"/>
  <c r="E263" i="94" s="1"/>
  <c r="W263" i="94"/>
  <c r="X263" i="94"/>
  <c r="G263" i="94" s="1"/>
  <c r="Y263" i="94"/>
  <c r="Z263" i="94"/>
  <c r="R264" i="94"/>
  <c r="A264" i="94" s="1"/>
  <c r="S264" i="94"/>
  <c r="B264" i="94" s="1"/>
  <c r="T264" i="94"/>
  <c r="C264" i="94" s="1"/>
  <c r="U264" i="94"/>
  <c r="D264" i="94" s="1"/>
  <c r="V264" i="94"/>
  <c r="E264" i="94" s="1"/>
  <c r="W264" i="94"/>
  <c r="X264" i="94"/>
  <c r="G264" i="94" s="1"/>
  <c r="Y264" i="94"/>
  <c r="H264" i="94" s="1"/>
  <c r="Z264" i="94"/>
  <c r="R265" i="94"/>
  <c r="A265" i="94" s="1"/>
  <c r="S265" i="94"/>
  <c r="B265" i="94" s="1"/>
  <c r="T265" i="94"/>
  <c r="C265" i="94" s="1"/>
  <c r="U265" i="94"/>
  <c r="D265" i="94" s="1"/>
  <c r="V265" i="94"/>
  <c r="E265" i="94" s="1"/>
  <c r="W265" i="94"/>
  <c r="X265" i="94"/>
  <c r="G265" i="94" s="1"/>
  <c r="Y265" i="94"/>
  <c r="H265" i="94" s="1"/>
  <c r="Z265" i="94"/>
  <c r="R266" i="94"/>
  <c r="A266" i="94" s="1"/>
  <c r="S266" i="94"/>
  <c r="B266" i="94" s="1"/>
  <c r="T266" i="94"/>
  <c r="C266" i="94" s="1"/>
  <c r="U266" i="94"/>
  <c r="D266" i="94" s="1"/>
  <c r="V266" i="94"/>
  <c r="E266" i="94" s="1"/>
  <c r="W266" i="94"/>
  <c r="X266" i="94"/>
  <c r="G266" i="94" s="1"/>
  <c r="Y266" i="94"/>
  <c r="H266" i="94" s="1"/>
  <c r="Z266" i="94"/>
  <c r="R267" i="94"/>
  <c r="A267" i="94" s="1"/>
  <c r="S267" i="94"/>
  <c r="B267" i="94" s="1"/>
  <c r="T267" i="94"/>
  <c r="C267" i="94" s="1"/>
  <c r="U267" i="94"/>
  <c r="D267" i="94" s="1"/>
  <c r="F267" i="94" s="1"/>
  <c r="V267" i="94"/>
  <c r="E267" i="94" s="1"/>
  <c r="W267" i="94"/>
  <c r="X267" i="94"/>
  <c r="G267" i="94" s="1"/>
  <c r="Y267" i="94"/>
  <c r="Z267" i="94"/>
  <c r="R268" i="94"/>
  <c r="A268" i="94" s="1"/>
  <c r="S268" i="94"/>
  <c r="B268" i="94" s="1"/>
  <c r="T268" i="94"/>
  <c r="C268" i="94" s="1"/>
  <c r="U268" i="94"/>
  <c r="D268" i="94" s="1"/>
  <c r="V268" i="94"/>
  <c r="E268" i="94" s="1"/>
  <c r="W268" i="94"/>
  <c r="X268" i="94"/>
  <c r="G268" i="94" s="1"/>
  <c r="Y268" i="94"/>
  <c r="H268" i="94" s="1"/>
  <c r="Z268" i="94"/>
  <c r="R269" i="94"/>
  <c r="A269" i="94" s="1"/>
  <c r="S269" i="94"/>
  <c r="B269" i="94" s="1"/>
  <c r="T269" i="94"/>
  <c r="C269" i="94" s="1"/>
  <c r="U269" i="94"/>
  <c r="D269" i="94" s="1"/>
  <c r="V269" i="94"/>
  <c r="E269" i="94" s="1"/>
  <c r="W269" i="94"/>
  <c r="X269" i="94"/>
  <c r="G269" i="94" s="1"/>
  <c r="Y269" i="94"/>
  <c r="H269" i="94" s="1"/>
  <c r="Z269" i="94"/>
  <c r="R270" i="94"/>
  <c r="A270" i="94" s="1"/>
  <c r="S270" i="94"/>
  <c r="B270" i="94" s="1"/>
  <c r="T270" i="94"/>
  <c r="C270" i="94" s="1"/>
  <c r="U270" i="94"/>
  <c r="D270" i="94" s="1"/>
  <c r="V270" i="94"/>
  <c r="E270" i="94" s="1"/>
  <c r="W270" i="94"/>
  <c r="X270" i="94"/>
  <c r="G270" i="94" s="1"/>
  <c r="Y270" i="94"/>
  <c r="H270" i="94" s="1"/>
  <c r="Z270" i="94"/>
  <c r="R271" i="94"/>
  <c r="A271" i="94" s="1"/>
  <c r="S271" i="94"/>
  <c r="B271" i="94" s="1"/>
  <c r="T271" i="94"/>
  <c r="C271" i="94" s="1"/>
  <c r="U271" i="94"/>
  <c r="D271" i="94" s="1"/>
  <c r="F271" i="94" s="1"/>
  <c r="V271" i="94"/>
  <c r="E271" i="94" s="1"/>
  <c r="W271" i="94"/>
  <c r="X271" i="94"/>
  <c r="G271" i="94" s="1"/>
  <c r="Y271" i="94"/>
  <c r="Z271" i="94"/>
  <c r="R272" i="94"/>
  <c r="A272" i="94" s="1"/>
  <c r="S272" i="94"/>
  <c r="B272" i="94" s="1"/>
  <c r="T272" i="94"/>
  <c r="C272" i="94" s="1"/>
  <c r="U272" i="94"/>
  <c r="D272" i="94" s="1"/>
  <c r="V272" i="94"/>
  <c r="E272" i="94" s="1"/>
  <c r="W272" i="94"/>
  <c r="X272" i="94"/>
  <c r="G272" i="94" s="1"/>
  <c r="Y272" i="94"/>
  <c r="H272" i="94" s="1"/>
  <c r="Z272" i="94"/>
  <c r="R273" i="94"/>
  <c r="A273" i="94" s="1"/>
  <c r="S273" i="94"/>
  <c r="B273" i="94" s="1"/>
  <c r="T273" i="94"/>
  <c r="C273" i="94" s="1"/>
  <c r="U273" i="94"/>
  <c r="D273" i="94" s="1"/>
  <c r="V273" i="94"/>
  <c r="E273" i="94" s="1"/>
  <c r="W273" i="94"/>
  <c r="X273" i="94"/>
  <c r="G273" i="94" s="1"/>
  <c r="Y273" i="94"/>
  <c r="H273" i="94" s="1"/>
  <c r="Z273" i="94"/>
  <c r="R274" i="94"/>
  <c r="A274" i="94" s="1"/>
  <c r="S274" i="94"/>
  <c r="B274" i="94" s="1"/>
  <c r="T274" i="94"/>
  <c r="C274" i="94" s="1"/>
  <c r="U274" i="94"/>
  <c r="D274" i="94" s="1"/>
  <c r="V274" i="94"/>
  <c r="E274" i="94" s="1"/>
  <c r="W274" i="94"/>
  <c r="X274" i="94"/>
  <c r="G274" i="94" s="1"/>
  <c r="Y274" i="94"/>
  <c r="H274" i="94" s="1"/>
  <c r="Z274" i="94"/>
  <c r="R275" i="94"/>
  <c r="A275" i="94" s="1"/>
  <c r="S275" i="94"/>
  <c r="B275" i="94" s="1"/>
  <c r="T275" i="94"/>
  <c r="C275" i="94" s="1"/>
  <c r="U275" i="94"/>
  <c r="D275" i="94" s="1"/>
  <c r="F275" i="94" s="1"/>
  <c r="V275" i="94"/>
  <c r="E275" i="94" s="1"/>
  <c r="W275" i="94"/>
  <c r="X275" i="94"/>
  <c r="G275" i="94" s="1"/>
  <c r="Y275" i="94"/>
  <c r="Z275" i="94"/>
  <c r="R276" i="94"/>
  <c r="A276" i="94" s="1"/>
  <c r="S276" i="94"/>
  <c r="B276" i="94" s="1"/>
  <c r="T276" i="94"/>
  <c r="C276" i="94" s="1"/>
  <c r="U276" i="94"/>
  <c r="D276" i="94" s="1"/>
  <c r="V276" i="94"/>
  <c r="E276" i="94" s="1"/>
  <c r="W276" i="94"/>
  <c r="X276" i="94"/>
  <c r="G276" i="94" s="1"/>
  <c r="Y276" i="94"/>
  <c r="H276" i="94" s="1"/>
  <c r="Z276" i="94"/>
  <c r="R277" i="94"/>
  <c r="A277" i="94" s="1"/>
  <c r="S277" i="94"/>
  <c r="B277" i="94" s="1"/>
  <c r="T277" i="94"/>
  <c r="C277" i="94" s="1"/>
  <c r="U277" i="94"/>
  <c r="D277" i="94" s="1"/>
  <c r="V277" i="94"/>
  <c r="E277" i="94" s="1"/>
  <c r="W277" i="94"/>
  <c r="X277" i="94"/>
  <c r="G277" i="94" s="1"/>
  <c r="Y277" i="94"/>
  <c r="H277" i="94" s="1"/>
  <c r="Z277" i="94"/>
  <c r="R278" i="94"/>
  <c r="A278" i="94" s="1"/>
  <c r="S278" i="94"/>
  <c r="B278" i="94" s="1"/>
  <c r="T278" i="94"/>
  <c r="C278" i="94" s="1"/>
  <c r="U278" i="94"/>
  <c r="D278" i="94" s="1"/>
  <c r="V278" i="94"/>
  <c r="E278" i="94" s="1"/>
  <c r="W278" i="94"/>
  <c r="X278" i="94"/>
  <c r="G278" i="94" s="1"/>
  <c r="Y278" i="94"/>
  <c r="H278" i="94" s="1"/>
  <c r="Z278" i="94"/>
  <c r="R279" i="94"/>
  <c r="A279" i="94" s="1"/>
  <c r="S279" i="94"/>
  <c r="B279" i="94" s="1"/>
  <c r="T279" i="94"/>
  <c r="C279" i="94" s="1"/>
  <c r="U279" i="94"/>
  <c r="D279" i="94" s="1"/>
  <c r="F279" i="94" s="1"/>
  <c r="V279" i="94"/>
  <c r="E279" i="94" s="1"/>
  <c r="W279" i="94"/>
  <c r="X279" i="94"/>
  <c r="G279" i="94" s="1"/>
  <c r="Y279" i="94"/>
  <c r="Z279" i="94"/>
  <c r="R280" i="94"/>
  <c r="A280" i="94" s="1"/>
  <c r="S280" i="94"/>
  <c r="B280" i="94" s="1"/>
  <c r="T280" i="94"/>
  <c r="C280" i="94" s="1"/>
  <c r="U280" i="94"/>
  <c r="D280" i="94" s="1"/>
  <c r="V280" i="94"/>
  <c r="E280" i="94" s="1"/>
  <c r="W280" i="94"/>
  <c r="X280" i="94"/>
  <c r="G280" i="94" s="1"/>
  <c r="Y280" i="94"/>
  <c r="H280" i="94" s="1"/>
  <c r="Z280" i="94"/>
  <c r="R281" i="94"/>
  <c r="A281" i="94" s="1"/>
  <c r="S281" i="94"/>
  <c r="B281" i="94" s="1"/>
  <c r="T281" i="94"/>
  <c r="C281" i="94" s="1"/>
  <c r="U281" i="94"/>
  <c r="D281" i="94" s="1"/>
  <c r="V281" i="94"/>
  <c r="E281" i="94" s="1"/>
  <c r="W281" i="94"/>
  <c r="X281" i="94"/>
  <c r="G281" i="94" s="1"/>
  <c r="Y281" i="94"/>
  <c r="H281" i="94" s="1"/>
  <c r="Z281" i="94"/>
  <c r="R282" i="94"/>
  <c r="A282" i="94" s="1"/>
  <c r="S282" i="94"/>
  <c r="B282" i="94" s="1"/>
  <c r="T282" i="94"/>
  <c r="C282" i="94" s="1"/>
  <c r="U282" i="94"/>
  <c r="D282" i="94" s="1"/>
  <c r="V282" i="94"/>
  <c r="E282" i="94" s="1"/>
  <c r="W282" i="94"/>
  <c r="X282" i="94"/>
  <c r="G282" i="94" s="1"/>
  <c r="Y282" i="94"/>
  <c r="H282" i="94" s="1"/>
  <c r="Z282" i="94"/>
  <c r="R283" i="94"/>
  <c r="A283" i="94" s="1"/>
  <c r="S283" i="94"/>
  <c r="B283" i="94" s="1"/>
  <c r="T283" i="94"/>
  <c r="C283" i="94" s="1"/>
  <c r="U283" i="94"/>
  <c r="D283" i="94" s="1"/>
  <c r="F283" i="94" s="1"/>
  <c r="V283" i="94"/>
  <c r="E283" i="94" s="1"/>
  <c r="W283" i="94"/>
  <c r="X283" i="94"/>
  <c r="G283" i="94" s="1"/>
  <c r="Y283" i="94"/>
  <c r="Z283" i="94"/>
  <c r="R284" i="94"/>
  <c r="A284" i="94" s="1"/>
  <c r="S284" i="94"/>
  <c r="B284" i="94" s="1"/>
  <c r="T284" i="94"/>
  <c r="C284" i="94" s="1"/>
  <c r="U284" i="94"/>
  <c r="D284" i="94" s="1"/>
  <c r="V284" i="94"/>
  <c r="E284" i="94" s="1"/>
  <c r="W284" i="94"/>
  <c r="X284" i="94"/>
  <c r="G284" i="94" s="1"/>
  <c r="Y284" i="94"/>
  <c r="H284" i="94" s="1"/>
  <c r="Z284" i="94"/>
  <c r="R285" i="94"/>
  <c r="A285" i="94" s="1"/>
  <c r="S285" i="94"/>
  <c r="B285" i="94" s="1"/>
  <c r="T285" i="94"/>
  <c r="C285" i="94" s="1"/>
  <c r="U285" i="94"/>
  <c r="D285" i="94" s="1"/>
  <c r="V285" i="94"/>
  <c r="E285" i="94" s="1"/>
  <c r="W285" i="94"/>
  <c r="X285" i="94"/>
  <c r="G285" i="94" s="1"/>
  <c r="Y285" i="94"/>
  <c r="H285" i="94" s="1"/>
  <c r="Z285" i="94"/>
  <c r="R286" i="94"/>
  <c r="A286" i="94" s="1"/>
  <c r="S286" i="94"/>
  <c r="B286" i="94" s="1"/>
  <c r="T286" i="94"/>
  <c r="C286" i="94" s="1"/>
  <c r="U286" i="94"/>
  <c r="D286" i="94" s="1"/>
  <c r="V286" i="94"/>
  <c r="E286" i="94" s="1"/>
  <c r="W286" i="94"/>
  <c r="X286" i="94"/>
  <c r="G286" i="94" s="1"/>
  <c r="Y286" i="94"/>
  <c r="H286" i="94" s="1"/>
  <c r="Z286" i="94"/>
  <c r="R287" i="94"/>
  <c r="A287" i="94" s="1"/>
  <c r="S287" i="94"/>
  <c r="B287" i="94" s="1"/>
  <c r="T287" i="94"/>
  <c r="C287" i="94" s="1"/>
  <c r="U287" i="94"/>
  <c r="D287" i="94" s="1"/>
  <c r="F287" i="94" s="1"/>
  <c r="V287" i="94"/>
  <c r="E287" i="94" s="1"/>
  <c r="W287" i="94"/>
  <c r="X287" i="94"/>
  <c r="G287" i="94" s="1"/>
  <c r="Y287" i="94"/>
  <c r="Z287" i="94"/>
  <c r="R288" i="94"/>
  <c r="A288" i="94" s="1"/>
  <c r="S288" i="94"/>
  <c r="B288" i="94" s="1"/>
  <c r="T288" i="94"/>
  <c r="C288" i="94" s="1"/>
  <c r="U288" i="94"/>
  <c r="D288" i="94" s="1"/>
  <c r="V288" i="94"/>
  <c r="E288" i="94" s="1"/>
  <c r="W288" i="94"/>
  <c r="X288" i="94"/>
  <c r="G288" i="94" s="1"/>
  <c r="Y288" i="94"/>
  <c r="H288" i="94" s="1"/>
  <c r="Z288" i="94"/>
  <c r="R289" i="94"/>
  <c r="A289" i="94" s="1"/>
  <c r="S289" i="94"/>
  <c r="B289" i="94" s="1"/>
  <c r="T289" i="94"/>
  <c r="C289" i="94" s="1"/>
  <c r="U289" i="94"/>
  <c r="D289" i="94" s="1"/>
  <c r="V289" i="94"/>
  <c r="E289" i="94" s="1"/>
  <c r="W289" i="94"/>
  <c r="X289" i="94"/>
  <c r="G289" i="94" s="1"/>
  <c r="Y289" i="94"/>
  <c r="H289" i="94" s="1"/>
  <c r="Z289" i="94"/>
  <c r="R290" i="94"/>
  <c r="A290" i="94" s="1"/>
  <c r="S290" i="94"/>
  <c r="B290" i="94" s="1"/>
  <c r="T290" i="94"/>
  <c r="C290" i="94" s="1"/>
  <c r="U290" i="94"/>
  <c r="D290" i="94" s="1"/>
  <c r="V290" i="94"/>
  <c r="E290" i="94" s="1"/>
  <c r="W290" i="94"/>
  <c r="X290" i="94"/>
  <c r="G290" i="94" s="1"/>
  <c r="Y290" i="94"/>
  <c r="H290" i="94" s="1"/>
  <c r="Z290" i="94"/>
  <c r="R291" i="94"/>
  <c r="A291" i="94" s="1"/>
  <c r="S291" i="94"/>
  <c r="B291" i="94" s="1"/>
  <c r="T291" i="94"/>
  <c r="C291" i="94" s="1"/>
  <c r="U291" i="94"/>
  <c r="D291" i="94" s="1"/>
  <c r="F291" i="94" s="1"/>
  <c r="V291" i="94"/>
  <c r="E291" i="94" s="1"/>
  <c r="W291" i="94"/>
  <c r="X291" i="94"/>
  <c r="G291" i="94" s="1"/>
  <c r="Y291" i="94"/>
  <c r="Z291" i="94"/>
  <c r="R292" i="94"/>
  <c r="A292" i="94" s="1"/>
  <c r="S292" i="94"/>
  <c r="B292" i="94" s="1"/>
  <c r="T292" i="94"/>
  <c r="C292" i="94" s="1"/>
  <c r="U292" i="94"/>
  <c r="D292" i="94" s="1"/>
  <c r="V292" i="94"/>
  <c r="E292" i="94" s="1"/>
  <c r="W292" i="94"/>
  <c r="X292" i="94"/>
  <c r="G292" i="94" s="1"/>
  <c r="Y292" i="94"/>
  <c r="H292" i="94" s="1"/>
  <c r="Z292" i="94"/>
  <c r="R293" i="94"/>
  <c r="A293" i="94" s="1"/>
  <c r="S293" i="94"/>
  <c r="B293" i="94" s="1"/>
  <c r="T293" i="94"/>
  <c r="C293" i="94" s="1"/>
  <c r="U293" i="94"/>
  <c r="D293" i="94" s="1"/>
  <c r="V293" i="94"/>
  <c r="E293" i="94" s="1"/>
  <c r="W293" i="94"/>
  <c r="X293" i="94"/>
  <c r="G293" i="94" s="1"/>
  <c r="Y293" i="94"/>
  <c r="H293" i="94" s="1"/>
  <c r="Z293" i="94"/>
  <c r="R294" i="94"/>
  <c r="A294" i="94" s="1"/>
  <c r="S294" i="94"/>
  <c r="B294" i="94" s="1"/>
  <c r="T294" i="94"/>
  <c r="C294" i="94" s="1"/>
  <c r="U294" i="94"/>
  <c r="D294" i="94" s="1"/>
  <c r="V294" i="94"/>
  <c r="E294" i="94" s="1"/>
  <c r="W294" i="94"/>
  <c r="X294" i="94"/>
  <c r="G294" i="94" s="1"/>
  <c r="Y294" i="94"/>
  <c r="H294" i="94" s="1"/>
  <c r="Z294" i="94"/>
  <c r="R295" i="94"/>
  <c r="A295" i="94" s="1"/>
  <c r="S295" i="94"/>
  <c r="B295" i="94" s="1"/>
  <c r="T295" i="94"/>
  <c r="C295" i="94" s="1"/>
  <c r="U295" i="94"/>
  <c r="D295" i="94" s="1"/>
  <c r="F295" i="94" s="1"/>
  <c r="V295" i="94"/>
  <c r="E295" i="94" s="1"/>
  <c r="W295" i="94"/>
  <c r="X295" i="94"/>
  <c r="G295" i="94" s="1"/>
  <c r="Y295" i="94"/>
  <c r="Z295" i="94"/>
  <c r="R296" i="94"/>
  <c r="A296" i="94" s="1"/>
  <c r="S296" i="94"/>
  <c r="B296" i="94" s="1"/>
  <c r="T296" i="94"/>
  <c r="C296" i="94" s="1"/>
  <c r="U296" i="94"/>
  <c r="D296" i="94" s="1"/>
  <c r="V296" i="94"/>
  <c r="E296" i="94" s="1"/>
  <c r="W296" i="94"/>
  <c r="X296" i="94"/>
  <c r="G296" i="94" s="1"/>
  <c r="Y296" i="94"/>
  <c r="H296" i="94" s="1"/>
  <c r="Z296" i="94"/>
  <c r="R297" i="94"/>
  <c r="A297" i="94" s="1"/>
  <c r="S297" i="94"/>
  <c r="B297" i="94" s="1"/>
  <c r="T297" i="94"/>
  <c r="C297" i="94" s="1"/>
  <c r="U297" i="94"/>
  <c r="D297" i="94" s="1"/>
  <c r="V297" i="94"/>
  <c r="E297" i="94" s="1"/>
  <c r="W297" i="94"/>
  <c r="X297" i="94"/>
  <c r="G297" i="94" s="1"/>
  <c r="Y297" i="94"/>
  <c r="H297" i="94" s="1"/>
  <c r="Z297" i="94"/>
  <c r="R298" i="94"/>
  <c r="A298" i="94" s="1"/>
  <c r="S298" i="94"/>
  <c r="B298" i="94" s="1"/>
  <c r="T298" i="94"/>
  <c r="C298" i="94" s="1"/>
  <c r="U298" i="94"/>
  <c r="D298" i="94" s="1"/>
  <c r="V298" i="94"/>
  <c r="E298" i="94" s="1"/>
  <c r="W298" i="94"/>
  <c r="X298" i="94"/>
  <c r="G298" i="94" s="1"/>
  <c r="Y298" i="94"/>
  <c r="H298" i="94" s="1"/>
  <c r="Z298" i="94"/>
  <c r="R299" i="94"/>
  <c r="A299" i="94" s="1"/>
  <c r="S299" i="94"/>
  <c r="B299" i="94" s="1"/>
  <c r="T299" i="94"/>
  <c r="C299" i="94" s="1"/>
  <c r="U299" i="94"/>
  <c r="D299" i="94" s="1"/>
  <c r="F299" i="94" s="1"/>
  <c r="V299" i="94"/>
  <c r="E299" i="94" s="1"/>
  <c r="W299" i="94"/>
  <c r="X299" i="94"/>
  <c r="G299" i="94" s="1"/>
  <c r="Y299" i="94"/>
  <c r="Z299" i="94"/>
  <c r="R300" i="94"/>
  <c r="A300" i="94" s="1"/>
  <c r="S300" i="94"/>
  <c r="B300" i="94" s="1"/>
  <c r="T300" i="94"/>
  <c r="C300" i="94" s="1"/>
  <c r="U300" i="94"/>
  <c r="D300" i="94" s="1"/>
  <c r="V300" i="94"/>
  <c r="E300" i="94" s="1"/>
  <c r="W300" i="94"/>
  <c r="X300" i="94"/>
  <c r="G300" i="94" s="1"/>
  <c r="Y300" i="94"/>
  <c r="H300" i="94" s="1"/>
  <c r="Z300" i="94"/>
  <c r="R301" i="94"/>
  <c r="A301" i="94" s="1"/>
  <c r="S301" i="94"/>
  <c r="B301" i="94" s="1"/>
  <c r="T301" i="94"/>
  <c r="C301" i="94" s="1"/>
  <c r="U301" i="94"/>
  <c r="D301" i="94" s="1"/>
  <c r="V301" i="94"/>
  <c r="E301" i="94" s="1"/>
  <c r="W301" i="94"/>
  <c r="X301" i="94"/>
  <c r="G301" i="94" s="1"/>
  <c r="Y301" i="94"/>
  <c r="H301" i="94" s="1"/>
  <c r="Z301" i="94"/>
  <c r="R302" i="94"/>
  <c r="A302" i="94" s="1"/>
  <c r="S302" i="94"/>
  <c r="B302" i="94" s="1"/>
  <c r="T302" i="94"/>
  <c r="C302" i="94" s="1"/>
  <c r="U302" i="94"/>
  <c r="D302" i="94" s="1"/>
  <c r="V302" i="94"/>
  <c r="E302" i="94" s="1"/>
  <c r="W302" i="94"/>
  <c r="X302" i="94"/>
  <c r="G302" i="94" s="1"/>
  <c r="Y302" i="94"/>
  <c r="H302" i="94" s="1"/>
  <c r="Z302" i="94"/>
  <c r="R303" i="94"/>
  <c r="A303" i="94" s="1"/>
  <c r="S303" i="94"/>
  <c r="B303" i="94" s="1"/>
  <c r="T303" i="94"/>
  <c r="C303" i="94" s="1"/>
  <c r="U303" i="94"/>
  <c r="D303" i="94" s="1"/>
  <c r="F303" i="94" s="1"/>
  <c r="V303" i="94"/>
  <c r="E303" i="94" s="1"/>
  <c r="W303" i="94"/>
  <c r="X303" i="94"/>
  <c r="G303" i="94" s="1"/>
  <c r="Y303" i="94"/>
  <c r="Z303" i="94"/>
  <c r="R304" i="94"/>
  <c r="A304" i="94" s="1"/>
  <c r="S304" i="94"/>
  <c r="B304" i="94" s="1"/>
  <c r="T304" i="94"/>
  <c r="C304" i="94" s="1"/>
  <c r="U304" i="94"/>
  <c r="D304" i="94" s="1"/>
  <c r="V304" i="94"/>
  <c r="E304" i="94" s="1"/>
  <c r="W304" i="94"/>
  <c r="X304" i="94"/>
  <c r="G304" i="94" s="1"/>
  <c r="Y304" i="94"/>
  <c r="H304" i="94" s="1"/>
  <c r="Z304" i="94"/>
  <c r="R305" i="94"/>
  <c r="A305" i="94" s="1"/>
  <c r="S305" i="94"/>
  <c r="B305" i="94" s="1"/>
  <c r="T305" i="94"/>
  <c r="C305" i="94" s="1"/>
  <c r="U305" i="94"/>
  <c r="D305" i="94" s="1"/>
  <c r="V305" i="94"/>
  <c r="E305" i="94" s="1"/>
  <c r="W305" i="94"/>
  <c r="X305" i="94"/>
  <c r="G305" i="94" s="1"/>
  <c r="Y305" i="94"/>
  <c r="H305" i="94" s="1"/>
  <c r="Z305" i="94"/>
  <c r="R306" i="94"/>
  <c r="A306" i="94" s="1"/>
  <c r="S306" i="94"/>
  <c r="B306" i="94" s="1"/>
  <c r="T306" i="94"/>
  <c r="C306" i="94" s="1"/>
  <c r="U306" i="94"/>
  <c r="D306" i="94" s="1"/>
  <c r="V306" i="94"/>
  <c r="E306" i="94" s="1"/>
  <c r="W306" i="94"/>
  <c r="X306" i="94"/>
  <c r="G306" i="94" s="1"/>
  <c r="Y306" i="94"/>
  <c r="H306" i="94" s="1"/>
  <c r="Z306" i="94"/>
  <c r="R307" i="94"/>
  <c r="A307" i="94" s="1"/>
  <c r="S307" i="94"/>
  <c r="B307" i="94" s="1"/>
  <c r="T307" i="94"/>
  <c r="C307" i="94" s="1"/>
  <c r="U307" i="94"/>
  <c r="D307" i="94" s="1"/>
  <c r="F307" i="94" s="1"/>
  <c r="V307" i="94"/>
  <c r="E307" i="94" s="1"/>
  <c r="W307" i="94"/>
  <c r="X307" i="94"/>
  <c r="G307" i="94" s="1"/>
  <c r="Y307" i="94"/>
  <c r="Z307" i="94"/>
  <c r="R308" i="94"/>
  <c r="A308" i="94" s="1"/>
  <c r="S308" i="94"/>
  <c r="B308" i="94" s="1"/>
  <c r="T308" i="94"/>
  <c r="C308" i="94" s="1"/>
  <c r="U308" i="94"/>
  <c r="D308" i="94" s="1"/>
  <c r="V308" i="94"/>
  <c r="E308" i="94" s="1"/>
  <c r="W308" i="94"/>
  <c r="X308" i="94"/>
  <c r="G308" i="94" s="1"/>
  <c r="Y308" i="94"/>
  <c r="H308" i="94" s="1"/>
  <c r="Z308" i="94"/>
  <c r="R309" i="94"/>
  <c r="A309" i="94" s="1"/>
  <c r="S309" i="94"/>
  <c r="B309" i="94" s="1"/>
  <c r="T309" i="94"/>
  <c r="C309" i="94" s="1"/>
  <c r="U309" i="94"/>
  <c r="D309" i="94" s="1"/>
  <c r="V309" i="94"/>
  <c r="E309" i="94" s="1"/>
  <c r="W309" i="94"/>
  <c r="X309" i="94"/>
  <c r="G309" i="94" s="1"/>
  <c r="Y309" i="94"/>
  <c r="H309" i="94" s="1"/>
  <c r="Z309" i="94"/>
  <c r="R310" i="94"/>
  <c r="A310" i="94" s="1"/>
  <c r="S310" i="94"/>
  <c r="B310" i="94" s="1"/>
  <c r="T310" i="94"/>
  <c r="C310" i="94" s="1"/>
  <c r="U310" i="94"/>
  <c r="D310" i="94" s="1"/>
  <c r="V310" i="94"/>
  <c r="E310" i="94" s="1"/>
  <c r="W310" i="94"/>
  <c r="X310" i="94"/>
  <c r="G310" i="94" s="1"/>
  <c r="Y310" i="94"/>
  <c r="H310" i="94" s="1"/>
  <c r="Z310" i="94"/>
  <c r="R311" i="94"/>
  <c r="A311" i="94" s="1"/>
  <c r="S311" i="94"/>
  <c r="B311" i="94" s="1"/>
  <c r="T311" i="94"/>
  <c r="C311" i="94" s="1"/>
  <c r="U311" i="94"/>
  <c r="D311" i="94" s="1"/>
  <c r="F311" i="94" s="1"/>
  <c r="V311" i="94"/>
  <c r="E311" i="94" s="1"/>
  <c r="W311" i="94"/>
  <c r="X311" i="94"/>
  <c r="G311" i="94" s="1"/>
  <c r="Y311" i="94"/>
  <c r="Z311" i="94"/>
  <c r="R312" i="94"/>
  <c r="A312" i="94" s="1"/>
  <c r="S312" i="94"/>
  <c r="B312" i="94" s="1"/>
  <c r="T312" i="94"/>
  <c r="C312" i="94" s="1"/>
  <c r="U312" i="94"/>
  <c r="D312" i="94" s="1"/>
  <c r="V312" i="94"/>
  <c r="E312" i="94" s="1"/>
  <c r="W312" i="94"/>
  <c r="X312" i="94"/>
  <c r="G312" i="94" s="1"/>
  <c r="Y312" i="94"/>
  <c r="H312" i="94" s="1"/>
  <c r="Z312" i="94"/>
  <c r="R313" i="94"/>
  <c r="A313" i="94" s="1"/>
  <c r="S313" i="94"/>
  <c r="B313" i="94" s="1"/>
  <c r="T313" i="94"/>
  <c r="C313" i="94" s="1"/>
  <c r="U313" i="94"/>
  <c r="D313" i="94" s="1"/>
  <c r="V313" i="94"/>
  <c r="E313" i="94" s="1"/>
  <c r="W313" i="94"/>
  <c r="X313" i="94"/>
  <c r="G313" i="94" s="1"/>
  <c r="Y313" i="94"/>
  <c r="H313" i="94" s="1"/>
  <c r="Z313" i="94"/>
  <c r="R314" i="94"/>
  <c r="A314" i="94" s="1"/>
  <c r="S314" i="94"/>
  <c r="B314" i="94" s="1"/>
  <c r="T314" i="94"/>
  <c r="C314" i="94" s="1"/>
  <c r="U314" i="94"/>
  <c r="D314" i="94" s="1"/>
  <c r="V314" i="94"/>
  <c r="E314" i="94" s="1"/>
  <c r="W314" i="94"/>
  <c r="X314" i="94"/>
  <c r="G314" i="94" s="1"/>
  <c r="Y314" i="94"/>
  <c r="H314" i="94" s="1"/>
  <c r="Z314" i="94"/>
  <c r="R315" i="94"/>
  <c r="A315" i="94" s="1"/>
  <c r="S315" i="94"/>
  <c r="B315" i="94" s="1"/>
  <c r="T315" i="94"/>
  <c r="C315" i="94" s="1"/>
  <c r="U315" i="94"/>
  <c r="D315" i="94" s="1"/>
  <c r="F315" i="94" s="1"/>
  <c r="V315" i="94"/>
  <c r="E315" i="94" s="1"/>
  <c r="W315" i="94"/>
  <c r="X315" i="94"/>
  <c r="G315" i="94" s="1"/>
  <c r="Y315" i="94"/>
  <c r="Z315" i="94"/>
  <c r="R316" i="94"/>
  <c r="A316" i="94" s="1"/>
  <c r="S316" i="94"/>
  <c r="B316" i="94" s="1"/>
  <c r="T316" i="94"/>
  <c r="C316" i="94" s="1"/>
  <c r="U316" i="94"/>
  <c r="D316" i="94" s="1"/>
  <c r="V316" i="94"/>
  <c r="E316" i="94" s="1"/>
  <c r="W316" i="94"/>
  <c r="X316" i="94"/>
  <c r="G316" i="94" s="1"/>
  <c r="Y316" i="94"/>
  <c r="H316" i="94" s="1"/>
  <c r="Z316" i="94"/>
  <c r="R317" i="94"/>
  <c r="A317" i="94" s="1"/>
  <c r="S317" i="94"/>
  <c r="B317" i="94" s="1"/>
  <c r="T317" i="94"/>
  <c r="C317" i="94" s="1"/>
  <c r="U317" i="94"/>
  <c r="D317" i="94" s="1"/>
  <c r="V317" i="94"/>
  <c r="E317" i="94" s="1"/>
  <c r="W317" i="94"/>
  <c r="X317" i="94"/>
  <c r="G317" i="94" s="1"/>
  <c r="Y317" i="94"/>
  <c r="H317" i="94" s="1"/>
  <c r="Z317" i="94"/>
  <c r="R318" i="94"/>
  <c r="A318" i="94" s="1"/>
  <c r="S318" i="94"/>
  <c r="B318" i="94" s="1"/>
  <c r="T318" i="94"/>
  <c r="C318" i="94" s="1"/>
  <c r="U318" i="94"/>
  <c r="D318" i="94" s="1"/>
  <c r="V318" i="94"/>
  <c r="E318" i="94" s="1"/>
  <c r="W318" i="94"/>
  <c r="X318" i="94"/>
  <c r="G318" i="94" s="1"/>
  <c r="Y318" i="94"/>
  <c r="H318" i="94" s="1"/>
  <c r="Z318" i="94"/>
  <c r="R319" i="94"/>
  <c r="A319" i="94" s="1"/>
  <c r="S319" i="94"/>
  <c r="B319" i="94" s="1"/>
  <c r="T319" i="94"/>
  <c r="C319" i="94" s="1"/>
  <c r="U319" i="94"/>
  <c r="D319" i="94" s="1"/>
  <c r="F319" i="94" s="1"/>
  <c r="V319" i="94"/>
  <c r="E319" i="94" s="1"/>
  <c r="W319" i="94"/>
  <c r="X319" i="94"/>
  <c r="G319" i="94" s="1"/>
  <c r="Y319" i="94"/>
  <c r="Z319" i="94"/>
  <c r="R320" i="94"/>
  <c r="A320" i="94" s="1"/>
  <c r="S320" i="94"/>
  <c r="B320" i="94" s="1"/>
  <c r="T320" i="94"/>
  <c r="C320" i="94" s="1"/>
  <c r="U320" i="94"/>
  <c r="D320" i="94" s="1"/>
  <c r="V320" i="94"/>
  <c r="E320" i="94" s="1"/>
  <c r="W320" i="94"/>
  <c r="X320" i="94"/>
  <c r="G320" i="94" s="1"/>
  <c r="Y320" i="94"/>
  <c r="H320" i="94" s="1"/>
  <c r="Z320" i="94"/>
  <c r="R321" i="94"/>
  <c r="A321" i="94" s="1"/>
  <c r="S321" i="94"/>
  <c r="B321" i="94" s="1"/>
  <c r="T321" i="94"/>
  <c r="C321" i="94" s="1"/>
  <c r="U321" i="94"/>
  <c r="D321" i="94" s="1"/>
  <c r="V321" i="94"/>
  <c r="E321" i="94" s="1"/>
  <c r="W321" i="94"/>
  <c r="X321" i="94"/>
  <c r="G321" i="94" s="1"/>
  <c r="Y321" i="94"/>
  <c r="H321" i="94" s="1"/>
  <c r="Z321" i="94"/>
  <c r="R322" i="94"/>
  <c r="A322" i="94" s="1"/>
  <c r="S322" i="94"/>
  <c r="B322" i="94" s="1"/>
  <c r="T322" i="94"/>
  <c r="C322" i="94" s="1"/>
  <c r="U322" i="94"/>
  <c r="D322" i="94" s="1"/>
  <c r="V322" i="94"/>
  <c r="E322" i="94" s="1"/>
  <c r="W322" i="94"/>
  <c r="X322" i="94"/>
  <c r="G322" i="94" s="1"/>
  <c r="Y322" i="94"/>
  <c r="H322" i="94" s="1"/>
  <c r="Z322" i="94"/>
  <c r="R323" i="94"/>
  <c r="A323" i="94" s="1"/>
  <c r="S323" i="94"/>
  <c r="B323" i="94" s="1"/>
  <c r="T323" i="94"/>
  <c r="C323" i="94" s="1"/>
  <c r="U323" i="94"/>
  <c r="D323" i="94" s="1"/>
  <c r="F323" i="94" s="1"/>
  <c r="V323" i="94"/>
  <c r="E323" i="94" s="1"/>
  <c r="W323" i="94"/>
  <c r="X323" i="94"/>
  <c r="G323" i="94" s="1"/>
  <c r="Y323" i="94"/>
  <c r="Z323" i="94"/>
  <c r="R324" i="94"/>
  <c r="A324" i="94" s="1"/>
  <c r="S324" i="94"/>
  <c r="B324" i="94" s="1"/>
  <c r="T324" i="94"/>
  <c r="C324" i="94" s="1"/>
  <c r="U324" i="94"/>
  <c r="D324" i="94" s="1"/>
  <c r="V324" i="94"/>
  <c r="E324" i="94" s="1"/>
  <c r="W324" i="94"/>
  <c r="X324" i="94"/>
  <c r="G324" i="94" s="1"/>
  <c r="Y324" i="94"/>
  <c r="H324" i="94" s="1"/>
  <c r="Z324" i="94"/>
  <c r="R325" i="94"/>
  <c r="A325" i="94" s="1"/>
  <c r="S325" i="94"/>
  <c r="B325" i="94" s="1"/>
  <c r="T325" i="94"/>
  <c r="C325" i="94" s="1"/>
  <c r="U325" i="94"/>
  <c r="D325" i="94" s="1"/>
  <c r="V325" i="94"/>
  <c r="E325" i="94" s="1"/>
  <c r="W325" i="94"/>
  <c r="X325" i="94"/>
  <c r="G325" i="94" s="1"/>
  <c r="Y325" i="94"/>
  <c r="H325" i="94" s="1"/>
  <c r="Z325" i="94"/>
  <c r="R326" i="94"/>
  <c r="A326" i="94" s="1"/>
  <c r="S326" i="94"/>
  <c r="B326" i="94" s="1"/>
  <c r="T326" i="94"/>
  <c r="C326" i="94" s="1"/>
  <c r="U326" i="94"/>
  <c r="D326" i="94" s="1"/>
  <c r="V326" i="94"/>
  <c r="E326" i="94" s="1"/>
  <c r="W326" i="94"/>
  <c r="X326" i="94"/>
  <c r="G326" i="94" s="1"/>
  <c r="Y326" i="94"/>
  <c r="H326" i="94" s="1"/>
  <c r="Z326" i="94"/>
  <c r="R327" i="94"/>
  <c r="A327" i="94" s="1"/>
  <c r="S327" i="94"/>
  <c r="B327" i="94" s="1"/>
  <c r="T327" i="94"/>
  <c r="C327" i="94" s="1"/>
  <c r="U327" i="94"/>
  <c r="D327" i="94" s="1"/>
  <c r="F327" i="94" s="1"/>
  <c r="V327" i="94"/>
  <c r="E327" i="94" s="1"/>
  <c r="W327" i="94"/>
  <c r="X327" i="94"/>
  <c r="G327" i="94" s="1"/>
  <c r="Y327" i="94"/>
  <c r="Z327" i="94"/>
  <c r="R328" i="94"/>
  <c r="A328" i="94" s="1"/>
  <c r="S328" i="94"/>
  <c r="B328" i="94" s="1"/>
  <c r="T328" i="94"/>
  <c r="C328" i="94" s="1"/>
  <c r="U328" i="94"/>
  <c r="D328" i="94" s="1"/>
  <c r="V328" i="94"/>
  <c r="E328" i="94" s="1"/>
  <c r="W328" i="94"/>
  <c r="X328" i="94"/>
  <c r="G328" i="94" s="1"/>
  <c r="Y328" i="94"/>
  <c r="H328" i="94" s="1"/>
  <c r="Z328" i="94"/>
  <c r="R329" i="94"/>
  <c r="A329" i="94" s="1"/>
  <c r="S329" i="94"/>
  <c r="B329" i="94" s="1"/>
  <c r="T329" i="94"/>
  <c r="C329" i="94" s="1"/>
  <c r="U329" i="94"/>
  <c r="D329" i="94" s="1"/>
  <c r="V329" i="94"/>
  <c r="E329" i="94" s="1"/>
  <c r="W329" i="94"/>
  <c r="X329" i="94"/>
  <c r="G329" i="94" s="1"/>
  <c r="Y329" i="94"/>
  <c r="H329" i="94" s="1"/>
  <c r="Z329" i="94"/>
  <c r="R330" i="94"/>
  <c r="A330" i="94" s="1"/>
  <c r="S330" i="94"/>
  <c r="B330" i="94" s="1"/>
  <c r="T330" i="94"/>
  <c r="C330" i="94" s="1"/>
  <c r="U330" i="94"/>
  <c r="D330" i="94" s="1"/>
  <c r="V330" i="94"/>
  <c r="E330" i="94" s="1"/>
  <c r="W330" i="94"/>
  <c r="X330" i="94"/>
  <c r="G330" i="94" s="1"/>
  <c r="Y330" i="94"/>
  <c r="H330" i="94" s="1"/>
  <c r="Z330" i="94"/>
  <c r="R331" i="94"/>
  <c r="A331" i="94" s="1"/>
  <c r="S331" i="94"/>
  <c r="B331" i="94" s="1"/>
  <c r="T331" i="94"/>
  <c r="C331" i="94" s="1"/>
  <c r="U331" i="94"/>
  <c r="D331" i="94" s="1"/>
  <c r="F331" i="94" s="1"/>
  <c r="V331" i="94"/>
  <c r="E331" i="94" s="1"/>
  <c r="W331" i="94"/>
  <c r="X331" i="94"/>
  <c r="G331" i="94" s="1"/>
  <c r="Y331" i="94"/>
  <c r="Z331" i="94"/>
  <c r="R332" i="94"/>
  <c r="A332" i="94" s="1"/>
  <c r="S332" i="94"/>
  <c r="B332" i="94" s="1"/>
  <c r="T332" i="94"/>
  <c r="C332" i="94" s="1"/>
  <c r="U332" i="94"/>
  <c r="D332" i="94" s="1"/>
  <c r="V332" i="94"/>
  <c r="E332" i="94" s="1"/>
  <c r="W332" i="94"/>
  <c r="X332" i="94"/>
  <c r="G332" i="94" s="1"/>
  <c r="Y332" i="94"/>
  <c r="H332" i="94" s="1"/>
  <c r="Z332" i="94"/>
  <c r="R333" i="94"/>
  <c r="A333" i="94" s="1"/>
  <c r="S333" i="94"/>
  <c r="B333" i="94" s="1"/>
  <c r="T333" i="94"/>
  <c r="C333" i="94" s="1"/>
  <c r="U333" i="94"/>
  <c r="D333" i="94" s="1"/>
  <c r="V333" i="94"/>
  <c r="E333" i="94" s="1"/>
  <c r="W333" i="94"/>
  <c r="X333" i="94"/>
  <c r="G333" i="94" s="1"/>
  <c r="Y333" i="94"/>
  <c r="H333" i="94" s="1"/>
  <c r="Z333" i="94"/>
  <c r="R334" i="94"/>
  <c r="A334" i="94" s="1"/>
  <c r="S334" i="94"/>
  <c r="B334" i="94" s="1"/>
  <c r="T334" i="94"/>
  <c r="C334" i="94" s="1"/>
  <c r="U334" i="94"/>
  <c r="D334" i="94" s="1"/>
  <c r="V334" i="94"/>
  <c r="E334" i="94" s="1"/>
  <c r="W334" i="94"/>
  <c r="X334" i="94"/>
  <c r="G334" i="94" s="1"/>
  <c r="Y334" i="94"/>
  <c r="H334" i="94" s="1"/>
  <c r="Z334" i="94"/>
  <c r="R335" i="94"/>
  <c r="A335" i="94" s="1"/>
  <c r="S335" i="94"/>
  <c r="B335" i="94" s="1"/>
  <c r="T335" i="94"/>
  <c r="C335" i="94" s="1"/>
  <c r="U335" i="94"/>
  <c r="D335" i="94" s="1"/>
  <c r="V335" i="94"/>
  <c r="E335" i="94" s="1"/>
  <c r="W335" i="94"/>
  <c r="X335" i="94"/>
  <c r="G335" i="94" s="1"/>
  <c r="Y335" i="94"/>
  <c r="Z335" i="94"/>
  <c r="R336" i="94"/>
  <c r="A336" i="94" s="1"/>
  <c r="S336" i="94"/>
  <c r="B336" i="94" s="1"/>
  <c r="T336" i="94"/>
  <c r="C336" i="94" s="1"/>
  <c r="U336" i="94"/>
  <c r="D336" i="94" s="1"/>
  <c r="V336" i="94"/>
  <c r="E336" i="94" s="1"/>
  <c r="W336" i="94"/>
  <c r="X336" i="94"/>
  <c r="G336" i="94" s="1"/>
  <c r="Y336" i="94"/>
  <c r="H336" i="94" s="1"/>
  <c r="Z336" i="94"/>
  <c r="R337" i="94"/>
  <c r="A337" i="94" s="1"/>
  <c r="S337" i="94"/>
  <c r="B337" i="94" s="1"/>
  <c r="T337" i="94"/>
  <c r="C337" i="94" s="1"/>
  <c r="U337" i="94"/>
  <c r="D337" i="94" s="1"/>
  <c r="V337" i="94"/>
  <c r="E337" i="94" s="1"/>
  <c r="W337" i="94"/>
  <c r="X337" i="94"/>
  <c r="G337" i="94" s="1"/>
  <c r="Y337" i="94"/>
  <c r="H337" i="94" s="1"/>
  <c r="Z337" i="94"/>
  <c r="R338" i="94"/>
  <c r="A338" i="94" s="1"/>
  <c r="S338" i="94"/>
  <c r="B338" i="94" s="1"/>
  <c r="T338" i="94"/>
  <c r="C338" i="94" s="1"/>
  <c r="U338" i="94"/>
  <c r="D338" i="94" s="1"/>
  <c r="V338" i="94"/>
  <c r="E338" i="94" s="1"/>
  <c r="W338" i="94"/>
  <c r="X338" i="94"/>
  <c r="G338" i="94" s="1"/>
  <c r="Y338" i="94"/>
  <c r="H338" i="94" s="1"/>
  <c r="Z338" i="94"/>
  <c r="R339" i="94"/>
  <c r="A339" i="94" s="1"/>
  <c r="S339" i="94"/>
  <c r="B339" i="94" s="1"/>
  <c r="T339" i="94"/>
  <c r="C339" i="94" s="1"/>
  <c r="U339" i="94"/>
  <c r="D339" i="94" s="1"/>
  <c r="V339" i="94"/>
  <c r="E339" i="94" s="1"/>
  <c r="W339" i="94"/>
  <c r="X339" i="94"/>
  <c r="G339" i="94" s="1"/>
  <c r="Y339" i="94"/>
  <c r="Z339" i="94"/>
  <c r="R340" i="94"/>
  <c r="A340" i="94" s="1"/>
  <c r="S340" i="94"/>
  <c r="B340" i="94" s="1"/>
  <c r="T340" i="94"/>
  <c r="C340" i="94" s="1"/>
  <c r="U340" i="94"/>
  <c r="D340" i="94" s="1"/>
  <c r="V340" i="94"/>
  <c r="E340" i="94" s="1"/>
  <c r="W340" i="94"/>
  <c r="X340" i="94"/>
  <c r="G340" i="94" s="1"/>
  <c r="Y340" i="94"/>
  <c r="H340" i="94" s="1"/>
  <c r="Z340" i="94"/>
  <c r="R341" i="94"/>
  <c r="A341" i="94" s="1"/>
  <c r="S341" i="94"/>
  <c r="B341" i="94" s="1"/>
  <c r="T341" i="94"/>
  <c r="C341" i="94" s="1"/>
  <c r="U341" i="94"/>
  <c r="D341" i="94" s="1"/>
  <c r="V341" i="94"/>
  <c r="E341" i="94" s="1"/>
  <c r="W341" i="94"/>
  <c r="X341" i="94"/>
  <c r="G341" i="94" s="1"/>
  <c r="Y341" i="94"/>
  <c r="H341" i="94" s="1"/>
  <c r="Z341" i="94"/>
  <c r="R342" i="94"/>
  <c r="A342" i="94" s="1"/>
  <c r="S342" i="94"/>
  <c r="B342" i="94" s="1"/>
  <c r="T342" i="94"/>
  <c r="C342" i="94" s="1"/>
  <c r="U342" i="94"/>
  <c r="D342" i="94" s="1"/>
  <c r="V342" i="94"/>
  <c r="E342" i="94" s="1"/>
  <c r="W342" i="94"/>
  <c r="X342" i="94"/>
  <c r="G342" i="94" s="1"/>
  <c r="Y342" i="94"/>
  <c r="H342" i="94" s="1"/>
  <c r="Z342" i="94"/>
  <c r="R343" i="94"/>
  <c r="A343" i="94" s="1"/>
  <c r="S343" i="94"/>
  <c r="B343" i="94" s="1"/>
  <c r="T343" i="94"/>
  <c r="C343" i="94" s="1"/>
  <c r="U343" i="94"/>
  <c r="D343" i="94" s="1"/>
  <c r="V343" i="94"/>
  <c r="E343" i="94" s="1"/>
  <c r="W343" i="94"/>
  <c r="X343" i="94"/>
  <c r="G343" i="94" s="1"/>
  <c r="Y343" i="94"/>
  <c r="Z343" i="94"/>
  <c r="R344" i="94"/>
  <c r="A344" i="94" s="1"/>
  <c r="S344" i="94"/>
  <c r="B344" i="94" s="1"/>
  <c r="T344" i="94"/>
  <c r="C344" i="94" s="1"/>
  <c r="U344" i="94"/>
  <c r="D344" i="94" s="1"/>
  <c r="V344" i="94"/>
  <c r="E344" i="94" s="1"/>
  <c r="W344" i="94"/>
  <c r="X344" i="94"/>
  <c r="G344" i="94" s="1"/>
  <c r="Y344" i="94"/>
  <c r="H344" i="94" s="1"/>
  <c r="Z344" i="94"/>
  <c r="R345" i="94"/>
  <c r="A345" i="94" s="1"/>
  <c r="S345" i="94"/>
  <c r="B345" i="94" s="1"/>
  <c r="T345" i="94"/>
  <c r="C345" i="94" s="1"/>
  <c r="U345" i="94"/>
  <c r="D345" i="94" s="1"/>
  <c r="V345" i="94"/>
  <c r="E345" i="94" s="1"/>
  <c r="W345" i="94"/>
  <c r="X345" i="94"/>
  <c r="G345" i="94" s="1"/>
  <c r="Y345" i="94"/>
  <c r="H345" i="94" s="1"/>
  <c r="Z345" i="94"/>
  <c r="R346" i="94"/>
  <c r="A346" i="94" s="1"/>
  <c r="S346" i="94"/>
  <c r="B346" i="94" s="1"/>
  <c r="T346" i="94"/>
  <c r="C346" i="94" s="1"/>
  <c r="U346" i="94"/>
  <c r="D346" i="94" s="1"/>
  <c r="V346" i="94"/>
  <c r="E346" i="94" s="1"/>
  <c r="W346" i="94"/>
  <c r="X346" i="94"/>
  <c r="G346" i="94" s="1"/>
  <c r="Y346" i="94"/>
  <c r="H346" i="94" s="1"/>
  <c r="Z346" i="94"/>
  <c r="R347" i="94"/>
  <c r="A347" i="94" s="1"/>
  <c r="S347" i="94"/>
  <c r="B347" i="94" s="1"/>
  <c r="T347" i="94"/>
  <c r="C347" i="94" s="1"/>
  <c r="U347" i="94"/>
  <c r="D347" i="94" s="1"/>
  <c r="V347" i="94"/>
  <c r="E347" i="94" s="1"/>
  <c r="W347" i="94"/>
  <c r="X347" i="94"/>
  <c r="G347" i="94" s="1"/>
  <c r="Y347" i="94"/>
  <c r="Z347" i="94"/>
  <c r="R348" i="94"/>
  <c r="A348" i="94" s="1"/>
  <c r="S348" i="94"/>
  <c r="B348" i="94" s="1"/>
  <c r="T348" i="94"/>
  <c r="C348" i="94" s="1"/>
  <c r="U348" i="94"/>
  <c r="D348" i="94" s="1"/>
  <c r="V348" i="94"/>
  <c r="E348" i="94" s="1"/>
  <c r="W348" i="94"/>
  <c r="X348" i="94"/>
  <c r="G348" i="94" s="1"/>
  <c r="Y348" i="94"/>
  <c r="H348" i="94" s="1"/>
  <c r="Z348" i="94"/>
  <c r="R349" i="94"/>
  <c r="A349" i="94" s="1"/>
  <c r="S349" i="94"/>
  <c r="B349" i="94" s="1"/>
  <c r="T349" i="94"/>
  <c r="C349" i="94" s="1"/>
  <c r="U349" i="94"/>
  <c r="D349" i="94" s="1"/>
  <c r="V349" i="94"/>
  <c r="E349" i="94" s="1"/>
  <c r="W349" i="94"/>
  <c r="X349" i="94"/>
  <c r="G349" i="94" s="1"/>
  <c r="Y349" i="94"/>
  <c r="H349" i="94" s="1"/>
  <c r="Z349" i="94"/>
  <c r="R350" i="94"/>
  <c r="A350" i="94" s="1"/>
  <c r="S350" i="94"/>
  <c r="B350" i="94" s="1"/>
  <c r="T350" i="94"/>
  <c r="C350" i="94" s="1"/>
  <c r="U350" i="94"/>
  <c r="D350" i="94" s="1"/>
  <c r="V350" i="94"/>
  <c r="E350" i="94" s="1"/>
  <c r="W350" i="94"/>
  <c r="X350" i="94"/>
  <c r="G350" i="94" s="1"/>
  <c r="Y350" i="94"/>
  <c r="H350" i="94" s="1"/>
  <c r="Z350" i="94"/>
  <c r="R351" i="94"/>
  <c r="A351" i="94" s="1"/>
  <c r="S351" i="94"/>
  <c r="B351" i="94" s="1"/>
  <c r="T351" i="94"/>
  <c r="C351" i="94" s="1"/>
  <c r="U351" i="94"/>
  <c r="D351" i="94" s="1"/>
  <c r="V351" i="94"/>
  <c r="E351" i="94" s="1"/>
  <c r="W351" i="94"/>
  <c r="X351" i="94"/>
  <c r="G351" i="94" s="1"/>
  <c r="Y351" i="94"/>
  <c r="Z351" i="94"/>
  <c r="R352" i="94"/>
  <c r="A352" i="94" s="1"/>
  <c r="S352" i="94"/>
  <c r="B352" i="94" s="1"/>
  <c r="T352" i="94"/>
  <c r="C352" i="94" s="1"/>
  <c r="U352" i="94"/>
  <c r="D352" i="94" s="1"/>
  <c r="F352" i="94" s="1"/>
  <c r="V352" i="94"/>
  <c r="E352" i="94" s="1"/>
  <c r="W352" i="94"/>
  <c r="X352" i="94"/>
  <c r="G352" i="94" s="1"/>
  <c r="Y352" i="94"/>
  <c r="H352" i="94" s="1"/>
  <c r="Z352" i="94"/>
  <c r="R353" i="94"/>
  <c r="A353" i="94" s="1"/>
  <c r="S353" i="94"/>
  <c r="B353" i="94" s="1"/>
  <c r="T353" i="94"/>
  <c r="C353" i="94" s="1"/>
  <c r="U353" i="94"/>
  <c r="D353" i="94" s="1"/>
  <c r="V353" i="94"/>
  <c r="E353" i="94" s="1"/>
  <c r="W353" i="94"/>
  <c r="X353" i="94"/>
  <c r="G353" i="94" s="1"/>
  <c r="Y353" i="94"/>
  <c r="H353" i="94" s="1"/>
  <c r="Z353" i="94"/>
  <c r="R354" i="94"/>
  <c r="A354" i="94" s="1"/>
  <c r="S354" i="94"/>
  <c r="B354" i="94" s="1"/>
  <c r="T354" i="94"/>
  <c r="C354" i="94" s="1"/>
  <c r="U354" i="94"/>
  <c r="D354" i="94" s="1"/>
  <c r="V354" i="94"/>
  <c r="E354" i="94" s="1"/>
  <c r="W354" i="94"/>
  <c r="X354" i="94"/>
  <c r="G354" i="94" s="1"/>
  <c r="Y354" i="94"/>
  <c r="H354" i="94" s="1"/>
  <c r="Z354" i="94"/>
  <c r="R355" i="94"/>
  <c r="A355" i="94" s="1"/>
  <c r="S355" i="94"/>
  <c r="B355" i="94" s="1"/>
  <c r="T355" i="94"/>
  <c r="C355" i="94" s="1"/>
  <c r="U355" i="94"/>
  <c r="D355" i="94" s="1"/>
  <c r="V355" i="94"/>
  <c r="E355" i="94" s="1"/>
  <c r="W355" i="94"/>
  <c r="X355" i="94"/>
  <c r="G355" i="94" s="1"/>
  <c r="Y355" i="94"/>
  <c r="Z355" i="94"/>
  <c r="R356" i="94"/>
  <c r="A356" i="94" s="1"/>
  <c r="S356" i="94"/>
  <c r="B356" i="94" s="1"/>
  <c r="T356" i="94"/>
  <c r="C356" i="94" s="1"/>
  <c r="U356" i="94"/>
  <c r="D356" i="94" s="1"/>
  <c r="F356" i="94" s="1"/>
  <c r="V356" i="94"/>
  <c r="E356" i="94" s="1"/>
  <c r="W356" i="94"/>
  <c r="X356" i="94"/>
  <c r="G356" i="94" s="1"/>
  <c r="Y356" i="94"/>
  <c r="H356" i="94" s="1"/>
  <c r="Z356" i="94"/>
  <c r="R357" i="94"/>
  <c r="A357" i="94" s="1"/>
  <c r="S357" i="94"/>
  <c r="B357" i="94" s="1"/>
  <c r="T357" i="94"/>
  <c r="C357" i="94" s="1"/>
  <c r="U357" i="94"/>
  <c r="D357" i="94" s="1"/>
  <c r="V357" i="94"/>
  <c r="E357" i="94" s="1"/>
  <c r="W357" i="94"/>
  <c r="X357" i="94"/>
  <c r="G357" i="94" s="1"/>
  <c r="Y357" i="94"/>
  <c r="H357" i="94" s="1"/>
  <c r="Z357" i="94"/>
  <c r="R358" i="94"/>
  <c r="A358" i="94" s="1"/>
  <c r="S358" i="94"/>
  <c r="B358" i="94" s="1"/>
  <c r="T358" i="94"/>
  <c r="C358" i="94" s="1"/>
  <c r="U358" i="94"/>
  <c r="D358" i="94" s="1"/>
  <c r="V358" i="94"/>
  <c r="E358" i="94" s="1"/>
  <c r="W358" i="94"/>
  <c r="X358" i="94"/>
  <c r="G358" i="94" s="1"/>
  <c r="Y358" i="94"/>
  <c r="H358" i="94" s="1"/>
  <c r="Z358" i="94"/>
  <c r="R359" i="94"/>
  <c r="A359" i="94" s="1"/>
  <c r="S359" i="94"/>
  <c r="B359" i="94" s="1"/>
  <c r="T359" i="94"/>
  <c r="C359" i="94" s="1"/>
  <c r="U359" i="94"/>
  <c r="D359" i="94" s="1"/>
  <c r="V359" i="94"/>
  <c r="E359" i="94" s="1"/>
  <c r="W359" i="94"/>
  <c r="X359" i="94"/>
  <c r="G359" i="94" s="1"/>
  <c r="Y359" i="94"/>
  <c r="Z359" i="94"/>
  <c r="R360" i="94"/>
  <c r="A360" i="94" s="1"/>
  <c r="S360" i="94"/>
  <c r="B360" i="94" s="1"/>
  <c r="T360" i="94"/>
  <c r="C360" i="94" s="1"/>
  <c r="U360" i="94"/>
  <c r="D360" i="94" s="1"/>
  <c r="F360" i="94" s="1"/>
  <c r="V360" i="94"/>
  <c r="E360" i="94" s="1"/>
  <c r="W360" i="94"/>
  <c r="X360" i="94"/>
  <c r="G360" i="94" s="1"/>
  <c r="Y360" i="94"/>
  <c r="H360" i="94" s="1"/>
  <c r="Z360" i="94"/>
  <c r="R361" i="94"/>
  <c r="A361" i="94" s="1"/>
  <c r="S361" i="94"/>
  <c r="B361" i="94" s="1"/>
  <c r="T361" i="94"/>
  <c r="C361" i="94" s="1"/>
  <c r="U361" i="94"/>
  <c r="D361" i="94" s="1"/>
  <c r="V361" i="94"/>
  <c r="E361" i="94" s="1"/>
  <c r="W361" i="94"/>
  <c r="X361" i="94"/>
  <c r="G361" i="94" s="1"/>
  <c r="Y361" i="94"/>
  <c r="H361" i="94" s="1"/>
  <c r="Z361" i="94"/>
  <c r="R362" i="94"/>
  <c r="A362" i="94" s="1"/>
  <c r="S362" i="94"/>
  <c r="B362" i="94" s="1"/>
  <c r="T362" i="94"/>
  <c r="C362" i="94" s="1"/>
  <c r="U362" i="94"/>
  <c r="D362" i="94" s="1"/>
  <c r="F362" i="94" s="1"/>
  <c r="V362" i="94"/>
  <c r="E362" i="94" s="1"/>
  <c r="W362" i="94"/>
  <c r="X362" i="94"/>
  <c r="G362" i="94" s="1"/>
  <c r="Y362" i="94"/>
  <c r="H362" i="94" s="1"/>
  <c r="Z362" i="94"/>
  <c r="R363" i="94"/>
  <c r="A363" i="94" s="1"/>
  <c r="S363" i="94"/>
  <c r="B363" i="94" s="1"/>
  <c r="T363" i="94"/>
  <c r="C363" i="94" s="1"/>
  <c r="U363" i="94"/>
  <c r="D363" i="94" s="1"/>
  <c r="V363" i="94"/>
  <c r="E363" i="94" s="1"/>
  <c r="W363" i="94"/>
  <c r="X363" i="94"/>
  <c r="G363" i="94" s="1"/>
  <c r="Y363" i="94"/>
  <c r="Z363" i="94"/>
  <c r="R364" i="94"/>
  <c r="A364" i="94" s="1"/>
  <c r="S364" i="94"/>
  <c r="B364" i="94" s="1"/>
  <c r="T364" i="94"/>
  <c r="C364" i="94" s="1"/>
  <c r="U364" i="94"/>
  <c r="D364" i="94" s="1"/>
  <c r="F364" i="94" s="1"/>
  <c r="V364" i="94"/>
  <c r="E364" i="94" s="1"/>
  <c r="W364" i="94"/>
  <c r="X364" i="94"/>
  <c r="G364" i="94" s="1"/>
  <c r="Y364" i="94"/>
  <c r="H364" i="94" s="1"/>
  <c r="Z364" i="94"/>
  <c r="R365" i="94"/>
  <c r="A365" i="94" s="1"/>
  <c r="S365" i="94"/>
  <c r="B365" i="94" s="1"/>
  <c r="T365" i="94"/>
  <c r="C365" i="94" s="1"/>
  <c r="U365" i="94"/>
  <c r="D365" i="94" s="1"/>
  <c r="V365" i="94"/>
  <c r="E365" i="94" s="1"/>
  <c r="W365" i="94"/>
  <c r="X365" i="94"/>
  <c r="G365" i="94" s="1"/>
  <c r="Y365" i="94"/>
  <c r="H365" i="94" s="1"/>
  <c r="Z365" i="94"/>
  <c r="R366" i="94"/>
  <c r="A366" i="94" s="1"/>
  <c r="S366" i="94"/>
  <c r="B366" i="94" s="1"/>
  <c r="T366" i="94"/>
  <c r="C366" i="94" s="1"/>
  <c r="U366" i="94"/>
  <c r="D366" i="94" s="1"/>
  <c r="F366" i="94" s="1"/>
  <c r="V366" i="94"/>
  <c r="E366" i="94" s="1"/>
  <c r="W366" i="94"/>
  <c r="X366" i="94"/>
  <c r="G366" i="94" s="1"/>
  <c r="Y366" i="94"/>
  <c r="H366" i="94" s="1"/>
  <c r="Z366" i="94"/>
  <c r="R367" i="94"/>
  <c r="A367" i="94" s="1"/>
  <c r="S367" i="94"/>
  <c r="B367" i="94" s="1"/>
  <c r="T367" i="94"/>
  <c r="C367" i="94" s="1"/>
  <c r="U367" i="94"/>
  <c r="D367" i="94" s="1"/>
  <c r="V367" i="94"/>
  <c r="E367" i="94" s="1"/>
  <c r="W367" i="94"/>
  <c r="X367" i="94"/>
  <c r="G367" i="94" s="1"/>
  <c r="Y367" i="94"/>
  <c r="Z367" i="94"/>
  <c r="R368" i="94"/>
  <c r="A368" i="94" s="1"/>
  <c r="S368" i="94"/>
  <c r="B368" i="94" s="1"/>
  <c r="T368" i="94"/>
  <c r="C368" i="94" s="1"/>
  <c r="U368" i="94"/>
  <c r="D368" i="94" s="1"/>
  <c r="F368" i="94" s="1"/>
  <c r="V368" i="94"/>
  <c r="E368" i="94" s="1"/>
  <c r="W368" i="94"/>
  <c r="X368" i="94"/>
  <c r="G368" i="94" s="1"/>
  <c r="Y368" i="94"/>
  <c r="H368" i="94" s="1"/>
  <c r="Z368" i="94"/>
  <c r="R369" i="94"/>
  <c r="A369" i="94" s="1"/>
  <c r="S369" i="94"/>
  <c r="B369" i="94" s="1"/>
  <c r="T369" i="94"/>
  <c r="C369" i="94" s="1"/>
  <c r="U369" i="94"/>
  <c r="D369" i="94" s="1"/>
  <c r="V369" i="94"/>
  <c r="E369" i="94" s="1"/>
  <c r="W369" i="94"/>
  <c r="X369" i="94"/>
  <c r="G369" i="94" s="1"/>
  <c r="Y369" i="94"/>
  <c r="H369" i="94" s="1"/>
  <c r="Z369" i="94"/>
  <c r="R370" i="94"/>
  <c r="A370" i="94" s="1"/>
  <c r="S370" i="94"/>
  <c r="B370" i="94" s="1"/>
  <c r="T370" i="94"/>
  <c r="C370" i="94" s="1"/>
  <c r="U370" i="94"/>
  <c r="D370" i="94" s="1"/>
  <c r="F370" i="94" s="1"/>
  <c r="V370" i="94"/>
  <c r="E370" i="94" s="1"/>
  <c r="W370" i="94"/>
  <c r="X370" i="94"/>
  <c r="G370" i="94" s="1"/>
  <c r="Y370" i="94"/>
  <c r="H370" i="94" s="1"/>
  <c r="Z370" i="94"/>
  <c r="R371" i="94"/>
  <c r="A371" i="94" s="1"/>
  <c r="S371" i="94"/>
  <c r="B371" i="94" s="1"/>
  <c r="T371" i="94"/>
  <c r="C371" i="94" s="1"/>
  <c r="U371" i="94"/>
  <c r="D371" i="94" s="1"/>
  <c r="V371" i="94"/>
  <c r="E371" i="94" s="1"/>
  <c r="W371" i="94"/>
  <c r="X371" i="94"/>
  <c r="G371" i="94" s="1"/>
  <c r="Y371" i="94"/>
  <c r="Z371" i="94"/>
  <c r="R372" i="94"/>
  <c r="A372" i="94" s="1"/>
  <c r="S372" i="94"/>
  <c r="B372" i="94" s="1"/>
  <c r="T372" i="94"/>
  <c r="C372" i="94" s="1"/>
  <c r="U372" i="94"/>
  <c r="D372" i="94" s="1"/>
  <c r="F372" i="94" s="1"/>
  <c r="V372" i="94"/>
  <c r="E372" i="94" s="1"/>
  <c r="W372" i="94"/>
  <c r="X372" i="94"/>
  <c r="G372" i="94" s="1"/>
  <c r="Y372" i="94"/>
  <c r="H372" i="94" s="1"/>
  <c r="Z372" i="94"/>
  <c r="R373" i="94"/>
  <c r="A373" i="94" s="1"/>
  <c r="S373" i="94"/>
  <c r="B373" i="94" s="1"/>
  <c r="T373" i="94"/>
  <c r="C373" i="94" s="1"/>
  <c r="U373" i="94"/>
  <c r="D373" i="94" s="1"/>
  <c r="V373" i="94"/>
  <c r="E373" i="94" s="1"/>
  <c r="W373" i="94"/>
  <c r="X373" i="94"/>
  <c r="G373" i="94" s="1"/>
  <c r="Y373" i="94"/>
  <c r="H373" i="94" s="1"/>
  <c r="Z373" i="94"/>
  <c r="R374" i="94"/>
  <c r="A374" i="94" s="1"/>
  <c r="S374" i="94"/>
  <c r="B374" i="94" s="1"/>
  <c r="T374" i="94"/>
  <c r="C374" i="94" s="1"/>
  <c r="U374" i="94"/>
  <c r="D374" i="94" s="1"/>
  <c r="F374" i="94" s="1"/>
  <c r="V374" i="94"/>
  <c r="E374" i="94" s="1"/>
  <c r="W374" i="94"/>
  <c r="X374" i="94"/>
  <c r="G374" i="94" s="1"/>
  <c r="Y374" i="94"/>
  <c r="H374" i="94" s="1"/>
  <c r="Z374" i="94"/>
  <c r="R375" i="94"/>
  <c r="A375" i="94" s="1"/>
  <c r="S375" i="94"/>
  <c r="B375" i="94" s="1"/>
  <c r="T375" i="94"/>
  <c r="C375" i="94" s="1"/>
  <c r="U375" i="94"/>
  <c r="D375" i="94" s="1"/>
  <c r="V375" i="94"/>
  <c r="E375" i="94" s="1"/>
  <c r="W375" i="94"/>
  <c r="X375" i="94"/>
  <c r="G375" i="94" s="1"/>
  <c r="Y375" i="94"/>
  <c r="Z375" i="94"/>
  <c r="R376" i="94"/>
  <c r="A376" i="94" s="1"/>
  <c r="S376" i="94"/>
  <c r="B376" i="94" s="1"/>
  <c r="T376" i="94"/>
  <c r="C376" i="94" s="1"/>
  <c r="U376" i="94"/>
  <c r="D376" i="94" s="1"/>
  <c r="F376" i="94" s="1"/>
  <c r="V376" i="94"/>
  <c r="E376" i="94" s="1"/>
  <c r="W376" i="94"/>
  <c r="X376" i="94"/>
  <c r="G376" i="94" s="1"/>
  <c r="Y376" i="94"/>
  <c r="H376" i="94" s="1"/>
  <c r="Z376" i="94"/>
  <c r="R377" i="94"/>
  <c r="A377" i="94" s="1"/>
  <c r="S377" i="94"/>
  <c r="B377" i="94" s="1"/>
  <c r="T377" i="94"/>
  <c r="C377" i="94" s="1"/>
  <c r="U377" i="94"/>
  <c r="D377" i="94" s="1"/>
  <c r="V377" i="94"/>
  <c r="E377" i="94" s="1"/>
  <c r="W377" i="94"/>
  <c r="X377" i="94"/>
  <c r="G377" i="94" s="1"/>
  <c r="Y377" i="94"/>
  <c r="H377" i="94" s="1"/>
  <c r="Z377" i="94"/>
  <c r="R378" i="94"/>
  <c r="A378" i="94" s="1"/>
  <c r="S378" i="94"/>
  <c r="B378" i="94" s="1"/>
  <c r="T378" i="94"/>
  <c r="C378" i="94" s="1"/>
  <c r="U378" i="94"/>
  <c r="D378" i="94" s="1"/>
  <c r="F378" i="94" s="1"/>
  <c r="V378" i="94"/>
  <c r="E378" i="94" s="1"/>
  <c r="W378" i="94"/>
  <c r="X378" i="94"/>
  <c r="G378" i="94" s="1"/>
  <c r="Y378" i="94"/>
  <c r="H378" i="94" s="1"/>
  <c r="Z378" i="94"/>
  <c r="R379" i="94"/>
  <c r="A379" i="94" s="1"/>
  <c r="S379" i="94"/>
  <c r="B379" i="94" s="1"/>
  <c r="T379" i="94"/>
  <c r="C379" i="94" s="1"/>
  <c r="U379" i="94"/>
  <c r="D379" i="94" s="1"/>
  <c r="V379" i="94"/>
  <c r="E379" i="94" s="1"/>
  <c r="W379" i="94"/>
  <c r="X379" i="94"/>
  <c r="G379" i="94" s="1"/>
  <c r="Y379" i="94"/>
  <c r="Z379" i="94"/>
  <c r="R380" i="94"/>
  <c r="A380" i="94" s="1"/>
  <c r="S380" i="94"/>
  <c r="B380" i="94" s="1"/>
  <c r="T380" i="94"/>
  <c r="C380" i="94" s="1"/>
  <c r="U380" i="94"/>
  <c r="D380" i="94" s="1"/>
  <c r="F380" i="94" s="1"/>
  <c r="V380" i="94"/>
  <c r="E380" i="94" s="1"/>
  <c r="W380" i="94"/>
  <c r="X380" i="94"/>
  <c r="G380" i="94" s="1"/>
  <c r="Y380" i="94"/>
  <c r="H380" i="94" s="1"/>
  <c r="Z380" i="94"/>
  <c r="R381" i="94"/>
  <c r="A381" i="94" s="1"/>
  <c r="S381" i="94"/>
  <c r="B381" i="94" s="1"/>
  <c r="T381" i="94"/>
  <c r="C381" i="94" s="1"/>
  <c r="U381" i="94"/>
  <c r="D381" i="94" s="1"/>
  <c r="V381" i="94"/>
  <c r="E381" i="94" s="1"/>
  <c r="W381" i="94"/>
  <c r="X381" i="94"/>
  <c r="G381" i="94" s="1"/>
  <c r="Y381" i="94"/>
  <c r="H381" i="94" s="1"/>
  <c r="Z381" i="94"/>
  <c r="R382" i="94"/>
  <c r="A382" i="94" s="1"/>
  <c r="S382" i="94"/>
  <c r="B382" i="94" s="1"/>
  <c r="T382" i="94"/>
  <c r="C382" i="94" s="1"/>
  <c r="U382" i="94"/>
  <c r="D382" i="94" s="1"/>
  <c r="F382" i="94" s="1"/>
  <c r="V382" i="94"/>
  <c r="E382" i="94" s="1"/>
  <c r="W382" i="94"/>
  <c r="X382" i="94"/>
  <c r="G382" i="94" s="1"/>
  <c r="Y382" i="94"/>
  <c r="H382" i="94" s="1"/>
  <c r="Z382" i="94"/>
  <c r="R383" i="94"/>
  <c r="A383" i="94" s="1"/>
  <c r="S383" i="94"/>
  <c r="B383" i="94" s="1"/>
  <c r="T383" i="94"/>
  <c r="C383" i="94" s="1"/>
  <c r="U383" i="94"/>
  <c r="D383" i="94" s="1"/>
  <c r="V383" i="94"/>
  <c r="E383" i="94" s="1"/>
  <c r="W383" i="94"/>
  <c r="X383" i="94"/>
  <c r="G383" i="94" s="1"/>
  <c r="Y383" i="94"/>
  <c r="Z383" i="94"/>
  <c r="R384" i="94"/>
  <c r="A384" i="94" s="1"/>
  <c r="S384" i="94"/>
  <c r="B384" i="94" s="1"/>
  <c r="T384" i="94"/>
  <c r="C384" i="94" s="1"/>
  <c r="U384" i="94"/>
  <c r="D384" i="94" s="1"/>
  <c r="F384" i="94" s="1"/>
  <c r="V384" i="94"/>
  <c r="E384" i="94" s="1"/>
  <c r="W384" i="94"/>
  <c r="X384" i="94"/>
  <c r="G384" i="94" s="1"/>
  <c r="Y384" i="94"/>
  <c r="H384" i="94" s="1"/>
  <c r="Z384" i="94"/>
  <c r="R385" i="94"/>
  <c r="A385" i="94" s="1"/>
  <c r="S385" i="94"/>
  <c r="B385" i="94" s="1"/>
  <c r="T385" i="94"/>
  <c r="C385" i="94" s="1"/>
  <c r="U385" i="94"/>
  <c r="D385" i="94" s="1"/>
  <c r="V385" i="94"/>
  <c r="E385" i="94" s="1"/>
  <c r="W385" i="94"/>
  <c r="X385" i="94"/>
  <c r="G385" i="94" s="1"/>
  <c r="Y385" i="94"/>
  <c r="H385" i="94" s="1"/>
  <c r="Z385" i="94"/>
  <c r="R386" i="94"/>
  <c r="A386" i="94" s="1"/>
  <c r="S386" i="94"/>
  <c r="B386" i="94" s="1"/>
  <c r="T386" i="94"/>
  <c r="C386" i="94" s="1"/>
  <c r="U386" i="94"/>
  <c r="D386" i="94" s="1"/>
  <c r="F386" i="94" s="1"/>
  <c r="V386" i="94"/>
  <c r="E386" i="94" s="1"/>
  <c r="W386" i="94"/>
  <c r="X386" i="94"/>
  <c r="G386" i="94" s="1"/>
  <c r="Y386" i="94"/>
  <c r="H386" i="94" s="1"/>
  <c r="Z386" i="94"/>
  <c r="R387" i="94"/>
  <c r="A387" i="94" s="1"/>
  <c r="S387" i="94"/>
  <c r="B387" i="94" s="1"/>
  <c r="T387" i="94"/>
  <c r="C387" i="94" s="1"/>
  <c r="U387" i="94"/>
  <c r="D387" i="94" s="1"/>
  <c r="V387" i="94"/>
  <c r="E387" i="94" s="1"/>
  <c r="W387" i="94"/>
  <c r="X387" i="94"/>
  <c r="G387" i="94" s="1"/>
  <c r="Y387" i="94"/>
  <c r="Z387" i="94"/>
  <c r="R388" i="94"/>
  <c r="A388" i="94" s="1"/>
  <c r="S388" i="94"/>
  <c r="B388" i="94" s="1"/>
  <c r="T388" i="94"/>
  <c r="C388" i="94" s="1"/>
  <c r="U388" i="94"/>
  <c r="D388" i="94" s="1"/>
  <c r="F388" i="94" s="1"/>
  <c r="V388" i="94"/>
  <c r="E388" i="94" s="1"/>
  <c r="W388" i="94"/>
  <c r="X388" i="94"/>
  <c r="G388" i="94" s="1"/>
  <c r="Y388" i="94"/>
  <c r="H388" i="94" s="1"/>
  <c r="Z388" i="94"/>
  <c r="R389" i="94"/>
  <c r="A389" i="94" s="1"/>
  <c r="S389" i="94"/>
  <c r="B389" i="94" s="1"/>
  <c r="T389" i="94"/>
  <c r="C389" i="94" s="1"/>
  <c r="U389" i="94"/>
  <c r="D389" i="94" s="1"/>
  <c r="V389" i="94"/>
  <c r="E389" i="94" s="1"/>
  <c r="W389" i="94"/>
  <c r="X389" i="94"/>
  <c r="G389" i="94" s="1"/>
  <c r="Y389" i="94"/>
  <c r="H389" i="94" s="1"/>
  <c r="Z389" i="94"/>
  <c r="R390" i="94"/>
  <c r="A390" i="94" s="1"/>
  <c r="S390" i="94"/>
  <c r="B390" i="94" s="1"/>
  <c r="T390" i="94"/>
  <c r="C390" i="94" s="1"/>
  <c r="U390" i="94"/>
  <c r="D390" i="94" s="1"/>
  <c r="F390" i="94" s="1"/>
  <c r="V390" i="94"/>
  <c r="E390" i="94" s="1"/>
  <c r="W390" i="94"/>
  <c r="X390" i="94"/>
  <c r="G390" i="94" s="1"/>
  <c r="Y390" i="94"/>
  <c r="H390" i="94" s="1"/>
  <c r="Z390" i="94"/>
  <c r="R391" i="94"/>
  <c r="A391" i="94" s="1"/>
  <c r="S391" i="94"/>
  <c r="B391" i="94" s="1"/>
  <c r="T391" i="94"/>
  <c r="C391" i="94" s="1"/>
  <c r="U391" i="94"/>
  <c r="D391" i="94" s="1"/>
  <c r="V391" i="94"/>
  <c r="E391" i="94" s="1"/>
  <c r="W391" i="94"/>
  <c r="X391" i="94"/>
  <c r="G391" i="94" s="1"/>
  <c r="Y391" i="94"/>
  <c r="Z391" i="94"/>
  <c r="R392" i="94"/>
  <c r="A392" i="94" s="1"/>
  <c r="S392" i="94"/>
  <c r="B392" i="94" s="1"/>
  <c r="T392" i="94"/>
  <c r="C392" i="94" s="1"/>
  <c r="U392" i="94"/>
  <c r="D392" i="94" s="1"/>
  <c r="F392" i="94" s="1"/>
  <c r="V392" i="94"/>
  <c r="E392" i="94" s="1"/>
  <c r="W392" i="94"/>
  <c r="X392" i="94"/>
  <c r="G392" i="94" s="1"/>
  <c r="Y392" i="94"/>
  <c r="H392" i="94" s="1"/>
  <c r="Z392" i="94"/>
  <c r="R393" i="94"/>
  <c r="A393" i="94" s="1"/>
  <c r="S393" i="94"/>
  <c r="B393" i="94" s="1"/>
  <c r="T393" i="94"/>
  <c r="C393" i="94" s="1"/>
  <c r="U393" i="94"/>
  <c r="D393" i="94" s="1"/>
  <c r="V393" i="94"/>
  <c r="E393" i="94" s="1"/>
  <c r="W393" i="94"/>
  <c r="X393" i="94"/>
  <c r="G393" i="94" s="1"/>
  <c r="Y393" i="94"/>
  <c r="H393" i="94" s="1"/>
  <c r="Z393" i="94"/>
  <c r="R394" i="94"/>
  <c r="A394" i="94" s="1"/>
  <c r="S394" i="94"/>
  <c r="B394" i="94" s="1"/>
  <c r="T394" i="94"/>
  <c r="C394" i="94" s="1"/>
  <c r="U394" i="94"/>
  <c r="D394" i="94" s="1"/>
  <c r="F394" i="94" s="1"/>
  <c r="V394" i="94"/>
  <c r="E394" i="94" s="1"/>
  <c r="W394" i="94"/>
  <c r="X394" i="94"/>
  <c r="G394" i="94" s="1"/>
  <c r="Y394" i="94"/>
  <c r="H394" i="94" s="1"/>
  <c r="Z394" i="94"/>
  <c r="R395" i="94"/>
  <c r="A395" i="94" s="1"/>
  <c r="S395" i="94"/>
  <c r="B395" i="94" s="1"/>
  <c r="T395" i="94"/>
  <c r="C395" i="94" s="1"/>
  <c r="U395" i="94"/>
  <c r="D395" i="94" s="1"/>
  <c r="V395" i="94"/>
  <c r="E395" i="94" s="1"/>
  <c r="W395" i="94"/>
  <c r="X395" i="94"/>
  <c r="G395" i="94" s="1"/>
  <c r="Y395" i="94"/>
  <c r="Z395" i="94"/>
  <c r="R396" i="94"/>
  <c r="A396" i="94" s="1"/>
  <c r="S396" i="94"/>
  <c r="B396" i="94" s="1"/>
  <c r="T396" i="94"/>
  <c r="C396" i="94" s="1"/>
  <c r="U396" i="94"/>
  <c r="D396" i="94" s="1"/>
  <c r="F396" i="94" s="1"/>
  <c r="V396" i="94"/>
  <c r="E396" i="94" s="1"/>
  <c r="W396" i="94"/>
  <c r="X396" i="94"/>
  <c r="G396" i="94" s="1"/>
  <c r="Y396" i="94"/>
  <c r="H396" i="94" s="1"/>
  <c r="Z396" i="94"/>
  <c r="R397" i="94"/>
  <c r="A397" i="94" s="1"/>
  <c r="S397" i="94"/>
  <c r="B397" i="94" s="1"/>
  <c r="T397" i="94"/>
  <c r="C397" i="94" s="1"/>
  <c r="U397" i="94"/>
  <c r="D397" i="94" s="1"/>
  <c r="V397" i="94"/>
  <c r="E397" i="94" s="1"/>
  <c r="W397" i="94"/>
  <c r="X397" i="94"/>
  <c r="G397" i="94" s="1"/>
  <c r="Y397" i="94"/>
  <c r="H397" i="94" s="1"/>
  <c r="Z397" i="94"/>
  <c r="R398" i="94"/>
  <c r="A398" i="94" s="1"/>
  <c r="S398" i="94"/>
  <c r="B398" i="94" s="1"/>
  <c r="T398" i="94"/>
  <c r="C398" i="94" s="1"/>
  <c r="U398" i="94"/>
  <c r="D398" i="94" s="1"/>
  <c r="F398" i="94" s="1"/>
  <c r="V398" i="94"/>
  <c r="E398" i="94" s="1"/>
  <c r="W398" i="94"/>
  <c r="X398" i="94"/>
  <c r="G398" i="94" s="1"/>
  <c r="Y398" i="94"/>
  <c r="H398" i="94" s="1"/>
  <c r="Z398" i="94"/>
  <c r="R399" i="94"/>
  <c r="A399" i="94" s="1"/>
  <c r="S399" i="94"/>
  <c r="B399" i="94" s="1"/>
  <c r="T399" i="94"/>
  <c r="C399" i="94" s="1"/>
  <c r="U399" i="94"/>
  <c r="D399" i="94" s="1"/>
  <c r="V399" i="94"/>
  <c r="E399" i="94" s="1"/>
  <c r="W399" i="94"/>
  <c r="X399" i="94"/>
  <c r="G399" i="94" s="1"/>
  <c r="Y399" i="94"/>
  <c r="Z399" i="94"/>
  <c r="R400" i="94"/>
  <c r="A400" i="94" s="1"/>
  <c r="S400" i="94"/>
  <c r="B400" i="94" s="1"/>
  <c r="T400" i="94"/>
  <c r="C400" i="94" s="1"/>
  <c r="U400" i="94"/>
  <c r="D400" i="94" s="1"/>
  <c r="F400" i="94" s="1"/>
  <c r="V400" i="94"/>
  <c r="E400" i="94" s="1"/>
  <c r="W400" i="94"/>
  <c r="X400" i="94"/>
  <c r="G400" i="94" s="1"/>
  <c r="Y400" i="94"/>
  <c r="H400" i="94" s="1"/>
  <c r="Z400" i="94"/>
  <c r="R401" i="94"/>
  <c r="A401" i="94" s="1"/>
  <c r="S401" i="94"/>
  <c r="B401" i="94" s="1"/>
  <c r="T401" i="94"/>
  <c r="C401" i="94" s="1"/>
  <c r="U401" i="94"/>
  <c r="D401" i="94" s="1"/>
  <c r="V401" i="94"/>
  <c r="E401" i="94" s="1"/>
  <c r="W401" i="94"/>
  <c r="X401" i="94"/>
  <c r="G401" i="94" s="1"/>
  <c r="Y401" i="94"/>
  <c r="H401" i="94" s="1"/>
  <c r="Z401" i="94"/>
  <c r="R402" i="94"/>
  <c r="A402" i="94" s="1"/>
  <c r="S402" i="94"/>
  <c r="B402" i="94" s="1"/>
  <c r="T402" i="94"/>
  <c r="C402" i="94" s="1"/>
  <c r="U402" i="94"/>
  <c r="D402" i="94" s="1"/>
  <c r="F402" i="94" s="1"/>
  <c r="V402" i="94"/>
  <c r="E402" i="94" s="1"/>
  <c r="W402" i="94"/>
  <c r="X402" i="94"/>
  <c r="G402" i="94" s="1"/>
  <c r="Y402" i="94"/>
  <c r="H402" i="94" s="1"/>
  <c r="Z402" i="94"/>
  <c r="R403" i="94"/>
  <c r="A403" i="94" s="1"/>
  <c r="S403" i="94"/>
  <c r="B403" i="94" s="1"/>
  <c r="T403" i="94"/>
  <c r="C403" i="94" s="1"/>
  <c r="U403" i="94"/>
  <c r="D403" i="94" s="1"/>
  <c r="V403" i="94"/>
  <c r="E403" i="94" s="1"/>
  <c r="W403" i="94"/>
  <c r="X403" i="94"/>
  <c r="G403" i="94" s="1"/>
  <c r="Y403" i="94"/>
  <c r="Z403" i="94"/>
  <c r="R404" i="94"/>
  <c r="A404" i="94" s="1"/>
  <c r="S404" i="94"/>
  <c r="B404" i="94" s="1"/>
  <c r="T404" i="94"/>
  <c r="C404" i="94" s="1"/>
  <c r="U404" i="94"/>
  <c r="D404" i="94" s="1"/>
  <c r="F404" i="94" s="1"/>
  <c r="V404" i="94"/>
  <c r="E404" i="94" s="1"/>
  <c r="W404" i="94"/>
  <c r="X404" i="94"/>
  <c r="G404" i="94" s="1"/>
  <c r="Y404" i="94"/>
  <c r="H404" i="94" s="1"/>
  <c r="Z404" i="94"/>
  <c r="R405" i="94"/>
  <c r="A405" i="94" s="1"/>
  <c r="S405" i="94"/>
  <c r="B405" i="94" s="1"/>
  <c r="T405" i="94"/>
  <c r="C405" i="94" s="1"/>
  <c r="U405" i="94"/>
  <c r="D405" i="94" s="1"/>
  <c r="V405" i="94"/>
  <c r="E405" i="94" s="1"/>
  <c r="W405" i="94"/>
  <c r="X405" i="94"/>
  <c r="G405" i="94" s="1"/>
  <c r="Y405" i="94"/>
  <c r="H405" i="94" s="1"/>
  <c r="Z405" i="94"/>
  <c r="R406" i="94"/>
  <c r="A406" i="94" s="1"/>
  <c r="S406" i="94"/>
  <c r="B406" i="94" s="1"/>
  <c r="T406" i="94"/>
  <c r="C406" i="94" s="1"/>
  <c r="U406" i="94"/>
  <c r="D406" i="94" s="1"/>
  <c r="F406" i="94" s="1"/>
  <c r="V406" i="94"/>
  <c r="E406" i="94" s="1"/>
  <c r="W406" i="94"/>
  <c r="X406" i="94"/>
  <c r="G406" i="94" s="1"/>
  <c r="Y406" i="94"/>
  <c r="H406" i="94" s="1"/>
  <c r="Z406" i="94"/>
  <c r="R407" i="94"/>
  <c r="A407" i="94" s="1"/>
  <c r="S407" i="94"/>
  <c r="B407" i="94" s="1"/>
  <c r="T407" i="94"/>
  <c r="C407" i="94" s="1"/>
  <c r="U407" i="94"/>
  <c r="D407" i="94" s="1"/>
  <c r="V407" i="94"/>
  <c r="E407" i="94" s="1"/>
  <c r="W407" i="94"/>
  <c r="X407" i="94"/>
  <c r="G407" i="94" s="1"/>
  <c r="Y407" i="94"/>
  <c r="Z407" i="94"/>
  <c r="R408" i="94"/>
  <c r="A408" i="94" s="1"/>
  <c r="S408" i="94"/>
  <c r="B408" i="94" s="1"/>
  <c r="T408" i="94"/>
  <c r="C408" i="94" s="1"/>
  <c r="U408" i="94"/>
  <c r="D408" i="94" s="1"/>
  <c r="F408" i="94" s="1"/>
  <c r="V408" i="94"/>
  <c r="E408" i="94" s="1"/>
  <c r="W408" i="94"/>
  <c r="X408" i="94"/>
  <c r="G408" i="94" s="1"/>
  <c r="Y408" i="94"/>
  <c r="H408" i="94" s="1"/>
  <c r="Z408" i="94"/>
  <c r="R409" i="94"/>
  <c r="A409" i="94" s="1"/>
  <c r="S409" i="94"/>
  <c r="B409" i="94" s="1"/>
  <c r="T409" i="94"/>
  <c r="C409" i="94" s="1"/>
  <c r="U409" i="94"/>
  <c r="D409" i="94" s="1"/>
  <c r="V409" i="94"/>
  <c r="E409" i="94" s="1"/>
  <c r="W409" i="94"/>
  <c r="X409" i="94"/>
  <c r="G409" i="94" s="1"/>
  <c r="Y409" i="94"/>
  <c r="H409" i="94" s="1"/>
  <c r="Z409" i="94"/>
  <c r="R410" i="94"/>
  <c r="A410" i="94" s="1"/>
  <c r="S410" i="94"/>
  <c r="B410" i="94" s="1"/>
  <c r="T410" i="94"/>
  <c r="C410" i="94" s="1"/>
  <c r="U410" i="94"/>
  <c r="D410" i="94" s="1"/>
  <c r="F410" i="94" s="1"/>
  <c r="V410" i="94"/>
  <c r="E410" i="94" s="1"/>
  <c r="W410" i="94"/>
  <c r="X410" i="94"/>
  <c r="G410" i="94" s="1"/>
  <c r="Y410" i="94"/>
  <c r="H410" i="94" s="1"/>
  <c r="Z410" i="94"/>
  <c r="R411" i="94"/>
  <c r="A411" i="94" s="1"/>
  <c r="S411" i="94"/>
  <c r="B411" i="94" s="1"/>
  <c r="T411" i="94"/>
  <c r="C411" i="94" s="1"/>
  <c r="U411" i="94"/>
  <c r="D411" i="94" s="1"/>
  <c r="V411" i="94"/>
  <c r="E411" i="94" s="1"/>
  <c r="W411" i="94"/>
  <c r="X411" i="94"/>
  <c r="G411" i="94" s="1"/>
  <c r="Y411" i="94"/>
  <c r="Z411" i="94"/>
  <c r="R412" i="94"/>
  <c r="A412" i="94" s="1"/>
  <c r="S412" i="94"/>
  <c r="B412" i="94" s="1"/>
  <c r="T412" i="94"/>
  <c r="C412" i="94" s="1"/>
  <c r="U412" i="94"/>
  <c r="D412" i="94" s="1"/>
  <c r="F412" i="94" s="1"/>
  <c r="V412" i="94"/>
  <c r="E412" i="94" s="1"/>
  <c r="W412" i="94"/>
  <c r="X412" i="94"/>
  <c r="G412" i="94" s="1"/>
  <c r="Y412" i="94"/>
  <c r="H412" i="94" s="1"/>
  <c r="Z412" i="94"/>
  <c r="R413" i="94"/>
  <c r="A413" i="94" s="1"/>
  <c r="S413" i="94"/>
  <c r="B413" i="94" s="1"/>
  <c r="T413" i="94"/>
  <c r="C413" i="94" s="1"/>
  <c r="U413" i="94"/>
  <c r="D413" i="94" s="1"/>
  <c r="V413" i="94"/>
  <c r="E413" i="94" s="1"/>
  <c r="W413" i="94"/>
  <c r="X413" i="94"/>
  <c r="G413" i="94" s="1"/>
  <c r="Y413" i="94"/>
  <c r="H413" i="94" s="1"/>
  <c r="Z413" i="94"/>
  <c r="R414" i="94"/>
  <c r="A414" i="94" s="1"/>
  <c r="S414" i="94"/>
  <c r="B414" i="94" s="1"/>
  <c r="T414" i="94"/>
  <c r="C414" i="94" s="1"/>
  <c r="U414" i="94"/>
  <c r="D414" i="94" s="1"/>
  <c r="F414" i="94" s="1"/>
  <c r="V414" i="94"/>
  <c r="E414" i="94" s="1"/>
  <c r="W414" i="94"/>
  <c r="X414" i="94"/>
  <c r="G414" i="94" s="1"/>
  <c r="Y414" i="94"/>
  <c r="H414" i="94" s="1"/>
  <c r="Z414" i="94"/>
  <c r="R415" i="94"/>
  <c r="A415" i="94" s="1"/>
  <c r="S415" i="94"/>
  <c r="B415" i="94" s="1"/>
  <c r="T415" i="94"/>
  <c r="C415" i="94" s="1"/>
  <c r="U415" i="94"/>
  <c r="D415" i="94" s="1"/>
  <c r="V415" i="94"/>
  <c r="E415" i="94" s="1"/>
  <c r="W415" i="94"/>
  <c r="X415" i="94"/>
  <c r="G415" i="94" s="1"/>
  <c r="Y415" i="94"/>
  <c r="Z415" i="94"/>
  <c r="R416" i="94"/>
  <c r="A416" i="94" s="1"/>
  <c r="S416" i="94"/>
  <c r="B416" i="94" s="1"/>
  <c r="T416" i="94"/>
  <c r="C416" i="94" s="1"/>
  <c r="U416" i="94"/>
  <c r="D416" i="94" s="1"/>
  <c r="F416" i="94" s="1"/>
  <c r="V416" i="94"/>
  <c r="E416" i="94" s="1"/>
  <c r="W416" i="94"/>
  <c r="X416" i="94"/>
  <c r="G416" i="94" s="1"/>
  <c r="Y416" i="94"/>
  <c r="H416" i="94" s="1"/>
  <c r="Z416" i="94"/>
  <c r="R417" i="94"/>
  <c r="A417" i="94" s="1"/>
  <c r="S417" i="94"/>
  <c r="B417" i="94" s="1"/>
  <c r="T417" i="94"/>
  <c r="C417" i="94" s="1"/>
  <c r="U417" i="94"/>
  <c r="D417" i="94" s="1"/>
  <c r="V417" i="94"/>
  <c r="E417" i="94" s="1"/>
  <c r="W417" i="94"/>
  <c r="X417" i="94"/>
  <c r="G417" i="94" s="1"/>
  <c r="Y417" i="94"/>
  <c r="H417" i="94" s="1"/>
  <c r="Z417" i="94"/>
  <c r="R418" i="94"/>
  <c r="A418" i="94" s="1"/>
  <c r="S418" i="94"/>
  <c r="B418" i="94" s="1"/>
  <c r="T418" i="94"/>
  <c r="C418" i="94" s="1"/>
  <c r="U418" i="94"/>
  <c r="D418" i="94" s="1"/>
  <c r="F418" i="94" s="1"/>
  <c r="V418" i="94"/>
  <c r="E418" i="94" s="1"/>
  <c r="W418" i="94"/>
  <c r="X418" i="94"/>
  <c r="G418" i="94" s="1"/>
  <c r="Y418" i="94"/>
  <c r="H418" i="94" s="1"/>
  <c r="Z418" i="94"/>
  <c r="R419" i="94"/>
  <c r="A419" i="94" s="1"/>
  <c r="S419" i="94"/>
  <c r="B419" i="94" s="1"/>
  <c r="T419" i="94"/>
  <c r="C419" i="94" s="1"/>
  <c r="U419" i="94"/>
  <c r="D419" i="94" s="1"/>
  <c r="V419" i="94"/>
  <c r="E419" i="94" s="1"/>
  <c r="W419" i="94"/>
  <c r="X419" i="94"/>
  <c r="G419" i="94" s="1"/>
  <c r="Y419" i="94"/>
  <c r="Z419" i="94"/>
  <c r="R420" i="94"/>
  <c r="A420" i="94" s="1"/>
  <c r="S420" i="94"/>
  <c r="B420" i="94" s="1"/>
  <c r="T420" i="94"/>
  <c r="C420" i="94" s="1"/>
  <c r="U420" i="94"/>
  <c r="D420" i="94" s="1"/>
  <c r="F420" i="94" s="1"/>
  <c r="V420" i="94"/>
  <c r="E420" i="94" s="1"/>
  <c r="W420" i="94"/>
  <c r="X420" i="94"/>
  <c r="G420" i="94" s="1"/>
  <c r="Y420" i="94"/>
  <c r="H420" i="94" s="1"/>
  <c r="Z420" i="94"/>
  <c r="R421" i="94"/>
  <c r="A421" i="94" s="1"/>
  <c r="S421" i="94"/>
  <c r="B421" i="94" s="1"/>
  <c r="T421" i="94"/>
  <c r="C421" i="94" s="1"/>
  <c r="U421" i="94"/>
  <c r="D421" i="94" s="1"/>
  <c r="V421" i="94"/>
  <c r="E421" i="94" s="1"/>
  <c r="W421" i="94"/>
  <c r="X421" i="94"/>
  <c r="G421" i="94" s="1"/>
  <c r="Y421" i="94"/>
  <c r="H421" i="94" s="1"/>
  <c r="Z421" i="94"/>
  <c r="R422" i="94"/>
  <c r="A422" i="94" s="1"/>
  <c r="S422" i="94"/>
  <c r="B422" i="94" s="1"/>
  <c r="T422" i="94"/>
  <c r="C422" i="94" s="1"/>
  <c r="U422" i="94"/>
  <c r="D422" i="94" s="1"/>
  <c r="F422" i="94" s="1"/>
  <c r="V422" i="94"/>
  <c r="E422" i="94" s="1"/>
  <c r="W422" i="94"/>
  <c r="X422" i="94"/>
  <c r="G422" i="94" s="1"/>
  <c r="Y422" i="94"/>
  <c r="H422" i="94" s="1"/>
  <c r="Z422" i="94"/>
  <c r="R423" i="94"/>
  <c r="A423" i="94" s="1"/>
  <c r="S423" i="94"/>
  <c r="B423" i="94" s="1"/>
  <c r="T423" i="94"/>
  <c r="C423" i="94" s="1"/>
  <c r="U423" i="94"/>
  <c r="D423" i="94" s="1"/>
  <c r="V423" i="94"/>
  <c r="E423" i="94" s="1"/>
  <c r="W423" i="94"/>
  <c r="X423" i="94"/>
  <c r="G423" i="94" s="1"/>
  <c r="Y423" i="94"/>
  <c r="Z423" i="94"/>
  <c r="R424" i="94"/>
  <c r="A424" i="94" s="1"/>
  <c r="S424" i="94"/>
  <c r="B424" i="94" s="1"/>
  <c r="T424" i="94"/>
  <c r="C424" i="94" s="1"/>
  <c r="U424" i="94"/>
  <c r="D424" i="94" s="1"/>
  <c r="F424" i="94" s="1"/>
  <c r="V424" i="94"/>
  <c r="E424" i="94" s="1"/>
  <c r="W424" i="94"/>
  <c r="X424" i="94"/>
  <c r="G424" i="94" s="1"/>
  <c r="Y424" i="94"/>
  <c r="H424" i="94" s="1"/>
  <c r="Z424" i="94"/>
  <c r="R425" i="94"/>
  <c r="A425" i="94" s="1"/>
  <c r="S425" i="94"/>
  <c r="B425" i="94" s="1"/>
  <c r="T425" i="94"/>
  <c r="C425" i="94" s="1"/>
  <c r="U425" i="94"/>
  <c r="D425" i="94" s="1"/>
  <c r="V425" i="94"/>
  <c r="E425" i="94" s="1"/>
  <c r="W425" i="94"/>
  <c r="X425" i="94"/>
  <c r="G425" i="94" s="1"/>
  <c r="Y425" i="94"/>
  <c r="H425" i="94" s="1"/>
  <c r="Z425" i="94"/>
  <c r="R426" i="94"/>
  <c r="A426" i="94" s="1"/>
  <c r="S426" i="94"/>
  <c r="B426" i="94" s="1"/>
  <c r="T426" i="94"/>
  <c r="C426" i="94" s="1"/>
  <c r="U426" i="94"/>
  <c r="D426" i="94" s="1"/>
  <c r="F426" i="94" s="1"/>
  <c r="V426" i="94"/>
  <c r="E426" i="94" s="1"/>
  <c r="W426" i="94"/>
  <c r="X426" i="94"/>
  <c r="G426" i="94" s="1"/>
  <c r="Y426" i="94"/>
  <c r="H426" i="94" s="1"/>
  <c r="Z426" i="94"/>
  <c r="R427" i="94"/>
  <c r="A427" i="94" s="1"/>
  <c r="S427" i="94"/>
  <c r="B427" i="94" s="1"/>
  <c r="T427" i="94"/>
  <c r="C427" i="94" s="1"/>
  <c r="U427" i="94"/>
  <c r="D427" i="94" s="1"/>
  <c r="V427" i="94"/>
  <c r="E427" i="94" s="1"/>
  <c r="W427" i="94"/>
  <c r="X427" i="94"/>
  <c r="G427" i="94" s="1"/>
  <c r="Y427" i="94"/>
  <c r="Z427" i="94"/>
  <c r="R428" i="94"/>
  <c r="A428" i="94" s="1"/>
  <c r="S428" i="94"/>
  <c r="B428" i="94" s="1"/>
  <c r="T428" i="94"/>
  <c r="C428" i="94" s="1"/>
  <c r="U428" i="94"/>
  <c r="D428" i="94" s="1"/>
  <c r="F428" i="94" s="1"/>
  <c r="V428" i="94"/>
  <c r="E428" i="94" s="1"/>
  <c r="W428" i="94"/>
  <c r="X428" i="94"/>
  <c r="G428" i="94" s="1"/>
  <c r="Y428" i="94"/>
  <c r="H428" i="94" s="1"/>
  <c r="Z428" i="94"/>
  <c r="R429" i="94"/>
  <c r="A429" i="94" s="1"/>
  <c r="S429" i="94"/>
  <c r="B429" i="94" s="1"/>
  <c r="T429" i="94"/>
  <c r="C429" i="94" s="1"/>
  <c r="U429" i="94"/>
  <c r="D429" i="94" s="1"/>
  <c r="V429" i="94"/>
  <c r="E429" i="94" s="1"/>
  <c r="W429" i="94"/>
  <c r="X429" i="94"/>
  <c r="G429" i="94" s="1"/>
  <c r="Y429" i="94"/>
  <c r="H429" i="94" s="1"/>
  <c r="Z429" i="94"/>
  <c r="R430" i="94"/>
  <c r="A430" i="94" s="1"/>
  <c r="S430" i="94"/>
  <c r="B430" i="94" s="1"/>
  <c r="T430" i="94"/>
  <c r="C430" i="94" s="1"/>
  <c r="U430" i="94"/>
  <c r="D430" i="94" s="1"/>
  <c r="F430" i="94" s="1"/>
  <c r="V430" i="94"/>
  <c r="E430" i="94" s="1"/>
  <c r="W430" i="94"/>
  <c r="X430" i="94"/>
  <c r="G430" i="94" s="1"/>
  <c r="Y430" i="94"/>
  <c r="H430" i="94" s="1"/>
  <c r="Z430" i="94"/>
  <c r="R431" i="94"/>
  <c r="A431" i="94" s="1"/>
  <c r="S431" i="94"/>
  <c r="B431" i="94" s="1"/>
  <c r="T431" i="94"/>
  <c r="C431" i="94" s="1"/>
  <c r="U431" i="94"/>
  <c r="D431" i="94" s="1"/>
  <c r="V431" i="94"/>
  <c r="E431" i="94" s="1"/>
  <c r="W431" i="94"/>
  <c r="X431" i="94"/>
  <c r="G431" i="94" s="1"/>
  <c r="Y431" i="94"/>
  <c r="Z431" i="94"/>
  <c r="R432" i="94"/>
  <c r="A432" i="94" s="1"/>
  <c r="S432" i="94"/>
  <c r="B432" i="94" s="1"/>
  <c r="T432" i="94"/>
  <c r="C432" i="94" s="1"/>
  <c r="U432" i="94"/>
  <c r="D432" i="94" s="1"/>
  <c r="F432" i="94" s="1"/>
  <c r="V432" i="94"/>
  <c r="E432" i="94" s="1"/>
  <c r="W432" i="94"/>
  <c r="X432" i="94"/>
  <c r="G432" i="94" s="1"/>
  <c r="Y432" i="94"/>
  <c r="H432" i="94" s="1"/>
  <c r="Z432" i="94"/>
  <c r="R433" i="94"/>
  <c r="A433" i="94" s="1"/>
  <c r="S433" i="94"/>
  <c r="B433" i="94" s="1"/>
  <c r="T433" i="94"/>
  <c r="C433" i="94" s="1"/>
  <c r="U433" i="94"/>
  <c r="D433" i="94" s="1"/>
  <c r="V433" i="94"/>
  <c r="E433" i="94" s="1"/>
  <c r="W433" i="94"/>
  <c r="X433" i="94"/>
  <c r="G433" i="94" s="1"/>
  <c r="Y433" i="94"/>
  <c r="H433" i="94" s="1"/>
  <c r="Z433" i="94"/>
  <c r="R434" i="94"/>
  <c r="A434" i="94" s="1"/>
  <c r="S434" i="94"/>
  <c r="B434" i="94" s="1"/>
  <c r="T434" i="94"/>
  <c r="C434" i="94" s="1"/>
  <c r="U434" i="94"/>
  <c r="D434" i="94" s="1"/>
  <c r="F434" i="94" s="1"/>
  <c r="V434" i="94"/>
  <c r="E434" i="94" s="1"/>
  <c r="W434" i="94"/>
  <c r="X434" i="94"/>
  <c r="G434" i="94" s="1"/>
  <c r="Y434" i="94"/>
  <c r="H434" i="94" s="1"/>
  <c r="Z434" i="94"/>
  <c r="R435" i="94"/>
  <c r="A435" i="94" s="1"/>
  <c r="S435" i="94"/>
  <c r="B435" i="94" s="1"/>
  <c r="T435" i="94"/>
  <c r="C435" i="94" s="1"/>
  <c r="U435" i="94"/>
  <c r="D435" i="94" s="1"/>
  <c r="V435" i="94"/>
  <c r="E435" i="94" s="1"/>
  <c r="W435" i="94"/>
  <c r="X435" i="94"/>
  <c r="G435" i="94" s="1"/>
  <c r="Y435" i="94"/>
  <c r="Z435" i="94"/>
  <c r="R436" i="94"/>
  <c r="A436" i="94" s="1"/>
  <c r="S436" i="94"/>
  <c r="B436" i="94" s="1"/>
  <c r="T436" i="94"/>
  <c r="C436" i="94" s="1"/>
  <c r="U436" i="94"/>
  <c r="D436" i="94" s="1"/>
  <c r="F436" i="94" s="1"/>
  <c r="V436" i="94"/>
  <c r="E436" i="94" s="1"/>
  <c r="W436" i="94"/>
  <c r="X436" i="94"/>
  <c r="G436" i="94" s="1"/>
  <c r="Y436" i="94"/>
  <c r="H436" i="94" s="1"/>
  <c r="Z436" i="94"/>
  <c r="R437" i="94"/>
  <c r="A437" i="94" s="1"/>
  <c r="S437" i="94"/>
  <c r="B437" i="94" s="1"/>
  <c r="T437" i="94"/>
  <c r="C437" i="94" s="1"/>
  <c r="U437" i="94"/>
  <c r="D437" i="94" s="1"/>
  <c r="V437" i="94"/>
  <c r="E437" i="94" s="1"/>
  <c r="W437" i="94"/>
  <c r="X437" i="94"/>
  <c r="G437" i="94" s="1"/>
  <c r="Y437" i="94"/>
  <c r="H437" i="94" s="1"/>
  <c r="Z437" i="94"/>
  <c r="R438" i="94"/>
  <c r="A438" i="94" s="1"/>
  <c r="S438" i="94"/>
  <c r="B438" i="94" s="1"/>
  <c r="T438" i="94"/>
  <c r="C438" i="94" s="1"/>
  <c r="U438" i="94"/>
  <c r="D438" i="94" s="1"/>
  <c r="F438" i="94" s="1"/>
  <c r="V438" i="94"/>
  <c r="E438" i="94" s="1"/>
  <c r="W438" i="94"/>
  <c r="X438" i="94"/>
  <c r="G438" i="94" s="1"/>
  <c r="Y438" i="94"/>
  <c r="H438" i="94" s="1"/>
  <c r="Z438" i="94"/>
  <c r="R439" i="94"/>
  <c r="A439" i="94" s="1"/>
  <c r="S439" i="94"/>
  <c r="B439" i="94" s="1"/>
  <c r="T439" i="94"/>
  <c r="C439" i="94" s="1"/>
  <c r="U439" i="94"/>
  <c r="D439" i="94" s="1"/>
  <c r="V439" i="94"/>
  <c r="E439" i="94" s="1"/>
  <c r="W439" i="94"/>
  <c r="X439" i="94"/>
  <c r="G439" i="94" s="1"/>
  <c r="Y439" i="94"/>
  <c r="Z439" i="94"/>
  <c r="R440" i="94"/>
  <c r="A440" i="94" s="1"/>
  <c r="S440" i="94"/>
  <c r="B440" i="94" s="1"/>
  <c r="T440" i="94"/>
  <c r="C440" i="94" s="1"/>
  <c r="U440" i="94"/>
  <c r="D440" i="94" s="1"/>
  <c r="F440" i="94" s="1"/>
  <c r="V440" i="94"/>
  <c r="E440" i="94" s="1"/>
  <c r="W440" i="94"/>
  <c r="X440" i="94"/>
  <c r="G440" i="94" s="1"/>
  <c r="Y440" i="94"/>
  <c r="H440" i="94" s="1"/>
  <c r="Z440" i="94"/>
  <c r="R441" i="94"/>
  <c r="A441" i="94" s="1"/>
  <c r="S441" i="94"/>
  <c r="B441" i="94" s="1"/>
  <c r="T441" i="94"/>
  <c r="C441" i="94" s="1"/>
  <c r="U441" i="94"/>
  <c r="D441" i="94" s="1"/>
  <c r="V441" i="94"/>
  <c r="E441" i="94" s="1"/>
  <c r="W441" i="94"/>
  <c r="X441" i="94"/>
  <c r="G441" i="94" s="1"/>
  <c r="Y441" i="94"/>
  <c r="H441" i="94" s="1"/>
  <c r="Z441" i="94"/>
  <c r="R442" i="94"/>
  <c r="A442" i="94" s="1"/>
  <c r="S442" i="94"/>
  <c r="B442" i="94" s="1"/>
  <c r="T442" i="94"/>
  <c r="C442" i="94" s="1"/>
  <c r="U442" i="94"/>
  <c r="D442" i="94" s="1"/>
  <c r="F442" i="94" s="1"/>
  <c r="V442" i="94"/>
  <c r="E442" i="94" s="1"/>
  <c r="W442" i="94"/>
  <c r="X442" i="94"/>
  <c r="G442" i="94" s="1"/>
  <c r="Y442" i="94"/>
  <c r="H442" i="94" s="1"/>
  <c r="Z442" i="94"/>
  <c r="Z11" i="94"/>
  <c r="Y11" i="94"/>
  <c r="H11" i="94" s="1"/>
  <c r="X11" i="94"/>
  <c r="G11" i="94" s="1"/>
  <c r="W11" i="94"/>
  <c r="V11" i="94"/>
  <c r="E11" i="94" s="1"/>
  <c r="U11" i="94"/>
  <c r="D11" i="94" s="1"/>
  <c r="F11" i="94" s="1"/>
  <c r="T11" i="94"/>
  <c r="C11" i="94" s="1"/>
  <c r="S11" i="94"/>
  <c r="B11" i="94" s="1"/>
  <c r="R11" i="94"/>
  <c r="A11" i="94" s="1"/>
  <c r="Z10" i="94"/>
  <c r="Y10" i="94"/>
  <c r="H10" i="94" s="1"/>
  <c r="X10" i="94"/>
  <c r="G10" i="94" s="1"/>
  <c r="W10" i="94"/>
  <c r="V10" i="94"/>
  <c r="E10" i="94" s="1"/>
  <c r="U10" i="94"/>
  <c r="D10" i="94" s="1"/>
  <c r="T10" i="94"/>
  <c r="C10" i="94" s="1"/>
  <c r="S10" i="94"/>
  <c r="B10" i="94" s="1"/>
  <c r="R10" i="94"/>
  <c r="A10" i="94" s="1"/>
  <c r="Z9" i="94"/>
  <c r="Y9" i="94"/>
  <c r="X9" i="94"/>
  <c r="G9" i="94" s="1"/>
  <c r="W9" i="94"/>
  <c r="V9" i="94"/>
  <c r="E9" i="94" s="1"/>
  <c r="U9" i="94"/>
  <c r="D9" i="94" s="1"/>
  <c r="T9" i="94"/>
  <c r="C9" i="94" s="1"/>
  <c r="S9" i="94"/>
  <c r="B9" i="94" s="1"/>
  <c r="R9" i="94"/>
  <c r="A9" i="94" s="1"/>
  <c r="Z8" i="94"/>
  <c r="Y8" i="94"/>
  <c r="H8" i="94" s="1"/>
  <c r="X8" i="94"/>
  <c r="G8" i="94" s="1"/>
  <c r="W8" i="94"/>
  <c r="V8" i="94"/>
  <c r="E8" i="94" s="1"/>
  <c r="U8" i="94"/>
  <c r="D8" i="94" s="1"/>
  <c r="T8" i="94"/>
  <c r="C8" i="94" s="1"/>
  <c r="S8" i="94"/>
  <c r="B8" i="94" s="1"/>
  <c r="R8" i="94"/>
  <c r="A8" i="94" s="1"/>
  <c r="Z5" i="94"/>
  <c r="Y5" i="94"/>
  <c r="H5" i="94" s="1"/>
  <c r="I5" i="94" s="1"/>
  <c r="X5" i="94"/>
  <c r="W5" i="94"/>
  <c r="V5" i="94"/>
  <c r="U5" i="94"/>
  <c r="T5" i="94"/>
  <c r="S5" i="94"/>
  <c r="Z4" i="94"/>
  <c r="Y4" i="94"/>
  <c r="H4" i="94" s="1"/>
  <c r="I4" i="94" s="1"/>
  <c r="X4" i="94"/>
  <c r="W4" i="94"/>
  <c r="V4" i="94"/>
  <c r="U4" i="94"/>
  <c r="T4" i="94"/>
  <c r="S4" i="94"/>
  <c r="R4" i="94"/>
  <c r="Z3" i="94"/>
  <c r="Y3" i="94"/>
  <c r="H3" i="94" s="1"/>
  <c r="X3" i="94"/>
  <c r="W3" i="94"/>
  <c r="V3" i="94"/>
  <c r="U3" i="94"/>
  <c r="T3" i="94"/>
  <c r="S3" i="94"/>
  <c r="R3" i="94"/>
  <c r="Z2" i="94"/>
  <c r="Y2" i="94"/>
  <c r="H2" i="94" s="1"/>
  <c r="W2" i="94"/>
  <c r="V2" i="94"/>
  <c r="E2" i="94" s="1"/>
  <c r="F2" i="94" s="1"/>
  <c r="U2" i="94"/>
  <c r="T2" i="94"/>
  <c r="S2" i="94"/>
  <c r="R2" i="94"/>
  <c r="A2" i="94" s="1"/>
  <c r="D2" i="94"/>
  <c r="C2" i="94"/>
  <c r="B2" i="94"/>
  <c r="A418" i="9" l="1"/>
  <c r="A426" i="9"/>
  <c r="A434" i="9"/>
  <c r="A386" i="9"/>
  <c r="A394" i="9"/>
  <c r="A402" i="9"/>
  <c r="A410" i="9"/>
  <c r="A7" i="9"/>
  <c r="A15" i="9"/>
  <c r="A23" i="9"/>
  <c r="A31" i="9"/>
  <c r="A39" i="9"/>
  <c r="A47" i="9"/>
  <c r="A55" i="9"/>
  <c r="A63" i="9"/>
  <c r="A71" i="9"/>
  <c r="A79" i="9"/>
  <c r="A87" i="9"/>
  <c r="A95" i="9"/>
  <c r="A103" i="9"/>
  <c r="A111" i="9"/>
  <c r="A119" i="9"/>
  <c r="A127" i="9"/>
  <c r="A135" i="9"/>
  <c r="A143" i="9"/>
  <c r="A151" i="9"/>
  <c r="A159" i="9"/>
  <c r="A167" i="9"/>
  <c r="A175" i="9"/>
  <c r="A183" i="9"/>
  <c r="A191" i="9"/>
  <c r="A199" i="9"/>
  <c r="A207" i="9"/>
  <c r="A215" i="9"/>
  <c r="A223" i="9"/>
  <c r="A231" i="9"/>
  <c r="A239" i="9"/>
  <c r="A247" i="9"/>
  <c r="A255" i="9"/>
  <c r="A263" i="9"/>
  <c r="A271" i="9"/>
  <c r="A279" i="9"/>
  <c r="A287" i="9"/>
  <c r="A295" i="9"/>
  <c r="A303" i="9"/>
  <c r="A242" i="9"/>
  <c r="A250" i="9"/>
  <c r="A258" i="9"/>
  <c r="A266" i="9"/>
  <c r="F2" i="8"/>
  <c r="F10" i="8"/>
  <c r="F14" i="8"/>
  <c r="F40" i="8"/>
  <c r="F54" i="8"/>
  <c r="F123" i="8"/>
  <c r="A90" i="9"/>
  <c r="F404" i="8"/>
  <c r="A98" i="9"/>
  <c r="F244" i="8"/>
  <c r="A106" i="9"/>
  <c r="F118" i="8"/>
  <c r="A114" i="9"/>
  <c r="F143" i="8"/>
  <c r="A122" i="9"/>
  <c r="F183" i="8"/>
  <c r="A130" i="9"/>
  <c r="F241" i="8"/>
  <c r="A138" i="9"/>
  <c r="F114" i="8"/>
  <c r="A146" i="9"/>
  <c r="F171" i="8"/>
  <c r="A154" i="9"/>
  <c r="F223" i="8"/>
  <c r="A162" i="9"/>
  <c r="F375" i="8"/>
  <c r="A170" i="9"/>
  <c r="A178" i="9"/>
  <c r="A186" i="9"/>
  <c r="A194" i="9"/>
  <c r="A202" i="9"/>
  <c r="A210" i="9"/>
  <c r="A218" i="9"/>
  <c r="A226" i="9"/>
  <c r="A234" i="9"/>
  <c r="A311" i="9"/>
  <c r="A319" i="9"/>
  <c r="A431" i="9"/>
  <c r="A3" i="9"/>
  <c r="A11" i="9"/>
  <c r="A19" i="9"/>
  <c r="A27" i="9"/>
  <c r="A35" i="9"/>
  <c r="A43" i="9"/>
  <c r="A51" i="9"/>
  <c r="A59" i="9"/>
  <c r="F4" i="8"/>
  <c r="F7" i="8"/>
  <c r="A8" i="9"/>
  <c r="F15" i="8"/>
  <c r="F36" i="8"/>
  <c r="A16" i="9"/>
  <c r="F18" i="8"/>
  <c r="F87" i="8"/>
  <c r="A24" i="9"/>
  <c r="F25" i="8"/>
  <c r="F71" i="8"/>
  <c r="A32" i="9"/>
  <c r="F46" i="8"/>
  <c r="A40" i="9"/>
  <c r="F108" i="8"/>
  <c r="F29" i="8"/>
  <c r="A56" i="9"/>
  <c r="F117" i="8"/>
  <c r="A64" i="9"/>
  <c r="F190" i="8"/>
  <c r="A72" i="9"/>
  <c r="F74" i="8"/>
  <c r="A80" i="9"/>
  <c r="F115" i="8"/>
  <c r="A88" i="9"/>
  <c r="F152" i="8"/>
  <c r="A96" i="9"/>
  <c r="F262" i="8"/>
  <c r="A104" i="9"/>
  <c r="F318" i="8"/>
  <c r="A112" i="9"/>
  <c r="F148" i="8"/>
  <c r="A120" i="9"/>
  <c r="F188" i="8"/>
  <c r="A128" i="9"/>
  <c r="F226" i="8"/>
  <c r="A136" i="9"/>
  <c r="F319" i="8"/>
  <c r="A144" i="9"/>
  <c r="F374" i="8"/>
  <c r="A152" i="9"/>
  <c r="F407" i="8"/>
  <c r="A160" i="9"/>
  <c r="F328" i="8"/>
  <c r="A168" i="9"/>
  <c r="F12" i="8"/>
  <c r="A10" i="9"/>
  <c r="F158" i="8"/>
  <c r="A26" i="9"/>
  <c r="F88" i="8"/>
  <c r="A34" i="9"/>
  <c r="F109" i="8"/>
  <c r="A50" i="9"/>
  <c r="F78" i="8"/>
  <c r="A58" i="9"/>
  <c r="F141" i="8"/>
  <c r="A66" i="9"/>
  <c r="F215" i="8"/>
  <c r="A74" i="9"/>
  <c r="F363" i="8"/>
  <c r="A82" i="9"/>
  <c r="F376" i="8"/>
  <c r="A274" i="9"/>
  <c r="F420" i="8"/>
  <c r="A282" i="9"/>
  <c r="F270" i="8"/>
  <c r="A290" i="9"/>
  <c r="F409" i="8"/>
  <c r="A298" i="9"/>
  <c r="F145" i="8"/>
  <c r="A306" i="9"/>
  <c r="F172" i="8"/>
  <c r="A314" i="9"/>
  <c r="F278" i="8"/>
  <c r="A322" i="9"/>
  <c r="F372" i="8"/>
  <c r="A330" i="9"/>
  <c r="F385" i="8"/>
  <c r="A338" i="9"/>
  <c r="F285" i="8"/>
  <c r="A346" i="9"/>
  <c r="F94" i="8"/>
  <c r="A354" i="9"/>
  <c r="F38" i="8"/>
  <c r="A362" i="9"/>
  <c r="F280" i="8"/>
  <c r="A370" i="9"/>
  <c r="F194" i="8"/>
  <c r="A378" i="9"/>
  <c r="F86" i="8"/>
  <c r="A18" i="9"/>
  <c r="F150" i="8"/>
  <c r="F216" i="8"/>
  <c r="F8" i="8"/>
  <c r="F142" i="8"/>
  <c r="F405" i="8"/>
  <c r="F232" i="8"/>
  <c r="F314" i="8"/>
  <c r="F175" i="8"/>
  <c r="F267" i="8"/>
  <c r="F427" i="8"/>
  <c r="F227" i="8"/>
  <c r="F256" i="8"/>
  <c r="F260" i="8"/>
  <c r="A42" i="9"/>
  <c r="A9" i="9"/>
  <c r="A17" i="9"/>
  <c r="A25" i="9"/>
  <c r="F90" i="8"/>
  <c r="A33" i="9"/>
  <c r="F27" i="8"/>
  <c r="A41" i="9"/>
  <c r="F102" i="8"/>
  <c r="A49" i="9"/>
  <c r="F283" i="8"/>
  <c r="A57" i="9"/>
  <c r="F135" i="8"/>
  <c r="A65" i="9"/>
  <c r="F196" i="8"/>
  <c r="A73" i="9"/>
  <c r="F3" i="8"/>
  <c r="A6" i="9"/>
  <c r="F11" i="8"/>
  <c r="F16" i="8"/>
  <c r="A14" i="9"/>
  <c r="F45" i="8"/>
  <c r="A22" i="9"/>
  <c r="F95" i="8"/>
  <c r="A67" i="9"/>
  <c r="A75" i="9"/>
  <c r="A83" i="9"/>
  <c r="A91" i="9"/>
  <c r="F176" i="8"/>
  <c r="A99" i="9"/>
  <c r="F292" i="8"/>
  <c r="A107" i="9"/>
  <c r="F131" i="8"/>
  <c r="A115" i="9"/>
  <c r="F154" i="8"/>
  <c r="A123" i="9"/>
  <c r="F206" i="8"/>
  <c r="A131" i="9"/>
  <c r="F245" i="8"/>
  <c r="A139" i="9"/>
  <c r="F334" i="8"/>
  <c r="A147" i="9"/>
  <c r="F177" i="8"/>
  <c r="A155" i="9"/>
  <c r="F263" i="8"/>
  <c r="A163" i="9"/>
  <c r="F199" i="8"/>
  <c r="F408" i="8"/>
  <c r="A171" i="9"/>
  <c r="F246" i="8"/>
  <c r="F428" i="8"/>
  <c r="A179" i="9"/>
  <c r="F124" i="8"/>
  <c r="F359" i="8"/>
  <c r="A187" i="9"/>
  <c r="F230" i="8"/>
  <c r="F413" i="8"/>
  <c r="A195" i="9"/>
  <c r="F331" i="8"/>
  <c r="F358" i="8"/>
  <c r="A203" i="9"/>
  <c r="F236" i="8"/>
  <c r="F243" i="8"/>
  <c r="A211" i="9"/>
  <c r="F320" i="8"/>
  <c r="F430" i="8"/>
  <c r="A219" i="9"/>
  <c r="F357" i="8"/>
  <c r="F400" i="8"/>
  <c r="A227" i="9"/>
  <c r="F298" i="8"/>
  <c r="F415" i="8"/>
  <c r="A235" i="9"/>
  <c r="F416" i="8"/>
  <c r="F325" i="8"/>
  <c r="A243" i="9"/>
  <c r="F343" i="8"/>
  <c r="F327" i="8"/>
  <c r="A251" i="9"/>
  <c r="F258" i="8"/>
  <c r="F390" i="8"/>
  <c r="A259" i="9"/>
  <c r="F391" i="8"/>
  <c r="F386" i="8"/>
  <c r="A267" i="9"/>
  <c r="F395" i="8"/>
  <c r="A275" i="9"/>
  <c r="F419" i="8"/>
  <c r="A283" i="9"/>
  <c r="F271" i="8"/>
  <c r="A291" i="9"/>
  <c r="F51" i="8"/>
  <c r="A299" i="9"/>
  <c r="F146" i="8"/>
  <c r="A307" i="9"/>
  <c r="F173" i="8"/>
  <c r="A315" i="9"/>
  <c r="F301" i="8"/>
  <c r="A323" i="9"/>
  <c r="F373" i="8"/>
  <c r="A331" i="9"/>
  <c r="F155" i="8"/>
  <c r="A339" i="9"/>
  <c r="F286" i="8"/>
  <c r="A347" i="9"/>
  <c r="F79" i="8"/>
  <c r="A355" i="9"/>
  <c r="F39" i="8"/>
  <c r="A363" i="9"/>
  <c r="F281" i="8"/>
  <c r="A371" i="9"/>
  <c r="F41" i="8"/>
  <c r="A379" i="9"/>
  <c r="F107" i="8"/>
  <c r="A387" i="9"/>
  <c r="F317" i="8"/>
  <c r="F210" i="8"/>
  <c r="A395" i="9"/>
  <c r="F120" i="8"/>
  <c r="F66" i="8"/>
  <c r="A403" i="9"/>
  <c r="F75" i="8"/>
  <c r="F167" i="8"/>
  <c r="A411" i="9"/>
  <c r="F295" i="8"/>
  <c r="F250" i="8"/>
  <c r="A419" i="9"/>
  <c r="F20" i="8"/>
  <c r="F83" i="8"/>
  <c r="A427" i="9"/>
  <c r="F30" i="8"/>
  <c r="A176" i="9"/>
  <c r="A184" i="9"/>
  <c r="A192" i="9"/>
  <c r="A200" i="9"/>
  <c r="A208" i="9"/>
  <c r="A216" i="9"/>
  <c r="A224" i="9"/>
  <c r="A232" i="9"/>
  <c r="A240" i="9"/>
  <c r="A248" i="9"/>
  <c r="A256" i="9"/>
  <c r="A264" i="9"/>
  <c r="A272" i="9"/>
  <c r="A280" i="9"/>
  <c r="A288" i="9"/>
  <c r="A296" i="9"/>
  <c r="A304" i="9"/>
  <c r="A312" i="9"/>
  <c r="A320" i="9"/>
  <c r="A328" i="9"/>
  <c r="A336" i="9"/>
  <c r="A344" i="9"/>
  <c r="A352" i="9"/>
  <c r="A360" i="9"/>
  <c r="A368" i="9"/>
  <c r="A376" i="9"/>
  <c r="A384" i="9"/>
  <c r="A392" i="9"/>
  <c r="A400" i="9"/>
  <c r="A408" i="9"/>
  <c r="A416" i="9"/>
  <c r="A424" i="9"/>
  <c r="A432" i="9"/>
  <c r="A5" i="9"/>
  <c r="A13" i="9"/>
  <c r="A21" i="9"/>
  <c r="A29" i="9"/>
  <c r="F110" i="8"/>
  <c r="A37" i="9"/>
  <c r="F70" i="8"/>
  <c r="A45" i="9"/>
  <c r="F169" i="8"/>
  <c r="A53" i="9"/>
  <c r="F362" i="8"/>
  <c r="A61" i="9"/>
  <c r="F187" i="8"/>
  <c r="A69" i="9"/>
  <c r="F73" i="8"/>
  <c r="A77" i="9"/>
  <c r="A85" i="9"/>
  <c r="A93" i="9"/>
  <c r="F202" i="8"/>
  <c r="A101" i="9"/>
  <c r="F288" i="8"/>
  <c r="A109" i="9"/>
  <c r="F133" i="8"/>
  <c r="A117" i="9"/>
  <c r="F189" i="8"/>
  <c r="A125" i="9"/>
  <c r="F191" i="8"/>
  <c r="A133" i="9"/>
  <c r="F253" i="8"/>
  <c r="A141" i="9"/>
  <c r="F113" i="8"/>
  <c r="A149" i="9"/>
  <c r="F217" i="8"/>
  <c r="A157" i="9"/>
  <c r="F426" i="8"/>
  <c r="A165" i="9"/>
  <c r="F198" i="8"/>
  <c r="F233" i="8"/>
  <c r="A173" i="9"/>
  <c r="F412" i="8"/>
  <c r="F126" i="8"/>
  <c r="A181" i="9"/>
  <c r="F125" i="8"/>
  <c r="F220" i="8"/>
  <c r="A189" i="9"/>
  <c r="F218" i="8"/>
  <c r="F332" i="8"/>
  <c r="A197" i="9"/>
  <c r="F429" i="8"/>
  <c r="F389" i="8"/>
  <c r="A205" i="9"/>
  <c r="F234" i="8"/>
  <c r="F323" i="8"/>
  <c r="A213" i="9"/>
  <c r="F321" i="8"/>
  <c r="F326" i="8"/>
  <c r="A221" i="9"/>
  <c r="F222" i="8"/>
  <c r="F304" i="8"/>
  <c r="A229" i="9"/>
  <c r="F225" i="8"/>
  <c r="F337" i="8"/>
  <c r="A237" i="9"/>
  <c r="F310" i="8"/>
  <c r="F352" i="8"/>
  <c r="A245" i="9"/>
  <c r="F350" i="8"/>
  <c r="F381" i="8"/>
  <c r="A253" i="9"/>
  <c r="F361" i="8"/>
  <c r="F422" i="8"/>
  <c r="A261" i="9"/>
  <c r="F354" i="8"/>
  <c r="A269" i="9"/>
  <c r="F339" i="8"/>
  <c r="A277" i="9"/>
  <c r="F387" i="8"/>
  <c r="A285" i="9"/>
  <c r="F424" i="8"/>
  <c r="A293" i="9"/>
  <c r="F411" i="8"/>
  <c r="A301" i="9"/>
  <c r="F101" i="8"/>
  <c r="A309" i="9"/>
  <c r="F179" i="8"/>
  <c r="A317" i="9"/>
  <c r="F276" i="8"/>
  <c r="A325" i="9"/>
  <c r="F308" i="8"/>
  <c r="A333" i="9"/>
  <c r="F383" i="8"/>
  <c r="A341" i="9"/>
  <c r="F57" i="8"/>
  <c r="A349" i="9"/>
  <c r="F92" i="8"/>
  <c r="A357" i="9"/>
  <c r="F34" i="8"/>
  <c r="A365" i="9"/>
  <c r="F239" i="8"/>
  <c r="A373" i="9"/>
  <c r="F192" i="8"/>
  <c r="A381" i="9"/>
  <c r="F49" i="8"/>
  <c r="A389" i="9"/>
  <c r="F290" i="8"/>
  <c r="A397" i="9"/>
  <c r="F128" i="8"/>
  <c r="A405" i="9"/>
  <c r="F77" i="8"/>
  <c r="A413" i="9"/>
  <c r="F265" i="8"/>
  <c r="A421" i="9"/>
  <c r="F311" i="8"/>
  <c r="A429" i="9"/>
  <c r="F26" i="8"/>
  <c r="F127" i="8"/>
  <c r="F224" i="8"/>
  <c r="F341" i="8"/>
  <c r="F255" i="8"/>
  <c r="F342" i="8"/>
  <c r="F221" i="8"/>
  <c r="F305" i="8"/>
  <c r="F433" i="8"/>
  <c r="F344" i="8"/>
  <c r="F431" i="8"/>
  <c r="A327" i="9"/>
  <c r="A335" i="9"/>
  <c r="A343" i="9"/>
  <c r="A351" i="9"/>
  <c r="A359" i="9"/>
  <c r="A367" i="9"/>
  <c r="A375" i="9"/>
  <c r="A383" i="9"/>
  <c r="F106" i="8"/>
  <c r="F289" i="8"/>
  <c r="A391" i="9"/>
  <c r="F209" i="8"/>
  <c r="F121" i="8"/>
  <c r="A399" i="9"/>
  <c r="F130" i="8"/>
  <c r="F76" i="8"/>
  <c r="A407" i="9"/>
  <c r="F166" i="8"/>
  <c r="F264" i="8"/>
  <c r="A415" i="9"/>
  <c r="F248" i="8"/>
  <c r="F21" i="8"/>
  <c r="A423" i="9"/>
  <c r="F313" i="8"/>
  <c r="F22" i="8"/>
  <c r="F6" i="8"/>
  <c r="A4" i="9"/>
  <c r="F5" i="8"/>
  <c r="F35" i="8"/>
  <c r="A12" i="9"/>
  <c r="F17" i="8"/>
  <c r="F23" i="8"/>
  <c r="A20" i="9"/>
  <c r="F63" i="8"/>
  <c r="F58" i="8"/>
  <c r="A28" i="9"/>
  <c r="F96" i="8"/>
  <c r="A36" i="9"/>
  <c r="F69" i="8"/>
  <c r="A44" i="9"/>
  <c r="F140" i="8"/>
  <c r="A52" i="9"/>
  <c r="F97" i="8"/>
  <c r="A60" i="9"/>
  <c r="F151" i="8"/>
  <c r="A68" i="9"/>
  <c r="F284" i="8"/>
  <c r="A76" i="9"/>
  <c r="F104" i="8"/>
  <c r="A84" i="9"/>
  <c r="A92" i="9"/>
  <c r="F207" i="8"/>
  <c r="A100" i="9"/>
  <c r="F268" i="8"/>
  <c r="A108" i="9"/>
  <c r="F366" i="8"/>
  <c r="A116" i="9"/>
  <c r="F153" i="8"/>
  <c r="A124" i="9"/>
  <c r="F406" i="8"/>
  <c r="A132" i="9"/>
  <c r="F275" i="8"/>
  <c r="A140" i="9"/>
  <c r="F370" i="8"/>
  <c r="A148" i="9"/>
  <c r="F208" i="8"/>
  <c r="A156" i="9"/>
  <c r="F254" i="8"/>
  <c r="A164" i="9"/>
  <c r="A172" i="9"/>
  <c r="A180" i="9"/>
  <c r="A188" i="9"/>
  <c r="A196" i="9"/>
  <c r="A204" i="9"/>
  <c r="A212" i="9"/>
  <c r="A220" i="9"/>
  <c r="A228" i="9"/>
  <c r="A236" i="9"/>
  <c r="A244" i="9"/>
  <c r="A252" i="9"/>
  <c r="A260" i="9"/>
  <c r="F382" i="8"/>
  <c r="A268" i="9"/>
  <c r="F394" i="8"/>
  <c r="A276" i="9"/>
  <c r="F418" i="8"/>
  <c r="A284" i="9"/>
  <c r="F401" i="8"/>
  <c r="A292" i="9"/>
  <c r="A300" i="9"/>
  <c r="A308" i="9"/>
  <c r="A316" i="9"/>
  <c r="A324" i="9"/>
  <c r="A332" i="9"/>
  <c r="A340" i="9"/>
  <c r="A348" i="9"/>
  <c r="A356" i="9"/>
  <c r="A364" i="9"/>
  <c r="A372" i="9"/>
  <c r="A380" i="9"/>
  <c r="A388" i="9"/>
  <c r="A396" i="9"/>
  <c r="A404" i="9"/>
  <c r="A412" i="9"/>
  <c r="A420" i="9"/>
  <c r="A428" i="9"/>
  <c r="A81" i="9"/>
  <c r="A89" i="9"/>
  <c r="F170" i="8"/>
  <c r="A97" i="9"/>
  <c r="F279" i="8"/>
  <c r="A105" i="9"/>
  <c r="F134" i="8"/>
  <c r="A113" i="9"/>
  <c r="F136" i="8"/>
  <c r="A121" i="9"/>
  <c r="F197" i="8"/>
  <c r="A129" i="9"/>
  <c r="F274" i="8"/>
  <c r="A137" i="9"/>
  <c r="F9" i="8"/>
  <c r="A145" i="9"/>
  <c r="F212" i="8"/>
  <c r="A153" i="9"/>
  <c r="F214" i="8"/>
  <c r="A161" i="9"/>
  <c r="F335" i="8"/>
  <c r="A169" i="9"/>
  <c r="F201" i="8"/>
  <c r="A177" i="9"/>
  <c r="F329" i="8"/>
  <c r="A185" i="9"/>
  <c r="F379" i="8"/>
  <c r="A193" i="9"/>
  <c r="F330" i="8"/>
  <c r="A201" i="9"/>
  <c r="F237" i="8"/>
  <c r="A209" i="9"/>
  <c r="F252" i="8"/>
  <c r="A217" i="9"/>
  <c r="F348" i="8"/>
  <c r="A225" i="9"/>
  <c r="F219" i="8"/>
  <c r="A233" i="9"/>
  <c r="F300" i="8"/>
  <c r="A241" i="9"/>
  <c r="F324" i="8"/>
  <c r="A249" i="9"/>
  <c r="F257" i="8"/>
  <c r="A257" i="9"/>
  <c r="F393" i="8"/>
  <c r="A265" i="9"/>
  <c r="A273" i="9"/>
  <c r="A281" i="9"/>
  <c r="A289" i="9"/>
  <c r="A297" i="9"/>
  <c r="F52" i="8"/>
  <c r="A305" i="9"/>
  <c r="F162" i="8"/>
  <c r="A313" i="9"/>
  <c r="F174" i="8"/>
  <c r="A321" i="9"/>
  <c r="F302" i="8"/>
  <c r="A329" i="9"/>
  <c r="F367" i="8"/>
  <c r="A337" i="9"/>
  <c r="F156" i="8"/>
  <c r="A345" i="9"/>
  <c r="F287" i="8"/>
  <c r="A353" i="9"/>
  <c r="F80" i="8"/>
  <c r="A361" i="9"/>
  <c r="F137" i="8"/>
  <c r="A369" i="9"/>
  <c r="F282" i="8"/>
  <c r="A377" i="9"/>
  <c r="F42" i="8"/>
  <c r="A385" i="9"/>
  <c r="F315" i="8"/>
  <c r="A393" i="9"/>
  <c r="F211" i="8"/>
  <c r="A401" i="9"/>
  <c r="F67" i="8"/>
  <c r="A409" i="9"/>
  <c r="F293" i="8"/>
  <c r="A417" i="9"/>
  <c r="F249" i="8"/>
  <c r="A425" i="9"/>
  <c r="F84" i="8"/>
  <c r="A433" i="9"/>
  <c r="F59" i="8"/>
  <c r="A30" i="9"/>
  <c r="F159" i="8"/>
  <c r="A38" i="9"/>
  <c r="F72" i="8"/>
  <c r="A46" i="9"/>
  <c r="F195" i="8"/>
  <c r="A54" i="9"/>
  <c r="F98" i="8"/>
  <c r="A62" i="9"/>
  <c r="F161" i="8"/>
  <c r="A70" i="9"/>
  <c r="F31" i="8"/>
  <c r="A78" i="9"/>
  <c r="F103" i="8"/>
  <c r="F365" i="8"/>
  <c r="A86" i="9"/>
  <c r="F147" i="8"/>
  <c r="A94" i="9"/>
  <c r="F213" i="8"/>
  <c r="A102" i="9"/>
  <c r="F297" i="8"/>
  <c r="A110" i="9"/>
  <c r="F122" i="8"/>
  <c r="A118" i="9"/>
  <c r="F182" i="8"/>
  <c r="A126" i="9"/>
  <c r="F200" i="8"/>
  <c r="A134" i="9"/>
  <c r="F425" i="8"/>
  <c r="A142" i="9"/>
  <c r="F116" i="8"/>
  <c r="A150" i="9"/>
  <c r="F229" i="8"/>
  <c r="A158" i="9"/>
  <c r="F269" i="8"/>
  <c r="A166" i="9"/>
  <c r="A174" i="9"/>
  <c r="A182" i="9"/>
  <c r="A190" i="9"/>
  <c r="A198" i="9"/>
  <c r="A206" i="9"/>
  <c r="A214" i="9"/>
  <c r="A222" i="9"/>
  <c r="A230" i="9"/>
  <c r="A238" i="9"/>
  <c r="A246" i="9"/>
  <c r="A254" i="9"/>
  <c r="A262" i="9"/>
  <c r="F380" i="8"/>
  <c r="A270" i="9"/>
  <c r="F398" i="8"/>
  <c r="A278" i="9"/>
  <c r="F435" i="8"/>
  <c r="A286" i="9"/>
  <c r="F403" i="8"/>
  <c r="A294" i="9"/>
  <c r="F99" i="8"/>
  <c r="A302" i="9"/>
  <c r="F164" i="8"/>
  <c r="A310" i="9"/>
  <c r="F185" i="8"/>
  <c r="A318" i="9"/>
  <c r="F306" i="8"/>
  <c r="A326" i="9"/>
  <c r="F369" i="8"/>
  <c r="A334" i="9"/>
  <c r="F55" i="8"/>
  <c r="A342" i="9"/>
  <c r="F204" i="8"/>
  <c r="A350" i="9"/>
  <c r="F32" i="8"/>
  <c r="A358" i="9"/>
  <c r="F139" i="8"/>
  <c r="A366" i="9"/>
  <c r="F61" i="8"/>
  <c r="A374" i="9"/>
  <c r="F47" i="8"/>
  <c r="A382" i="9"/>
  <c r="A390" i="9"/>
  <c r="A398" i="9"/>
  <c r="A406" i="9"/>
  <c r="A414" i="9"/>
  <c r="A422" i="9"/>
  <c r="A430" i="9"/>
  <c r="F64" i="8"/>
  <c r="F91" i="8"/>
  <c r="F168" i="8"/>
  <c r="F50" i="8"/>
  <c r="F89" i="8"/>
  <c r="F111" i="8"/>
  <c r="F261" i="8"/>
  <c r="F82" i="8"/>
  <c r="F132" i="8"/>
  <c r="F160" i="8"/>
  <c r="F181" i="8"/>
  <c r="F273" i="8"/>
  <c r="F296" i="8"/>
  <c r="F112" i="8"/>
  <c r="F149" i="8"/>
  <c r="F235" i="8"/>
  <c r="F242" i="8"/>
  <c r="F355" i="8"/>
  <c r="F231" i="8"/>
  <c r="F333" i="8"/>
  <c r="F247" i="8"/>
  <c r="F349" i="8"/>
  <c r="F399" i="8"/>
  <c r="F299" i="8"/>
  <c r="F259" i="8"/>
  <c r="F322" i="8"/>
  <c r="F360" i="8"/>
  <c r="F378" i="8"/>
  <c r="F228" i="8"/>
  <c r="F347" i="8"/>
  <c r="F388" i="8"/>
  <c r="F336" i="8"/>
  <c r="F251" i="8"/>
  <c r="F414" i="8"/>
  <c r="F356" i="8"/>
  <c r="F309" i="8"/>
  <c r="F346" i="8"/>
  <c r="F417" i="8"/>
  <c r="F338" i="8"/>
  <c r="F397" i="8"/>
  <c r="F351" i="8"/>
  <c r="F353" i="8"/>
  <c r="F377" i="8"/>
  <c r="F396" i="8"/>
  <c r="F13" i="8"/>
  <c r="F410" i="8"/>
  <c r="F144" i="8"/>
  <c r="F180" i="8"/>
  <c r="F277" i="8"/>
  <c r="F364" i="8"/>
  <c r="F384" i="8"/>
  <c r="F345" i="8"/>
  <c r="F93" i="8"/>
  <c r="F37" i="8"/>
  <c r="F240" i="8"/>
  <c r="F193" i="8"/>
  <c r="F105" i="8"/>
  <c r="F291" i="8"/>
  <c r="F129" i="8"/>
  <c r="F165" i="8"/>
  <c r="F266" i="8"/>
  <c r="F312" i="8"/>
  <c r="F24" i="8"/>
  <c r="F340" i="8"/>
  <c r="F432" i="8"/>
  <c r="F421" i="8"/>
  <c r="F272" i="8"/>
  <c r="F100" i="8"/>
  <c r="F178" i="8"/>
  <c r="F186" i="8"/>
  <c r="F307" i="8"/>
  <c r="F371" i="8"/>
  <c r="F56" i="8"/>
  <c r="F33" i="8"/>
  <c r="F238" i="8"/>
  <c r="F62" i="8"/>
  <c r="F48" i="8"/>
  <c r="F28" i="8"/>
  <c r="F423" i="8"/>
  <c r="F392" i="8"/>
  <c r="F434" i="8"/>
  <c r="F402" i="8"/>
  <c r="F53" i="8"/>
  <c r="F163" i="8"/>
  <c r="F184" i="8"/>
  <c r="F303" i="8"/>
  <c r="F368" i="8"/>
  <c r="F157" i="8"/>
  <c r="F203" i="8"/>
  <c r="F205" i="8"/>
  <c r="F81" i="8"/>
  <c r="F138" i="8"/>
  <c r="F60" i="8"/>
  <c r="F43" i="8"/>
  <c r="F316" i="8"/>
  <c r="F119" i="8"/>
  <c r="F68" i="8"/>
  <c r="F294" i="8"/>
  <c r="F19" i="8"/>
  <c r="F85" i="8"/>
  <c r="H9" i="94"/>
  <c r="I9" i="94" s="1"/>
  <c r="F10" i="94"/>
  <c r="H439" i="94"/>
  <c r="I439" i="94" s="1"/>
  <c r="H435" i="94"/>
  <c r="I435" i="94" s="1"/>
  <c r="I431" i="94"/>
  <c r="H431" i="94"/>
  <c r="H427" i="94"/>
  <c r="I427" i="94" s="1"/>
  <c r="H423" i="94"/>
  <c r="I423" i="94" s="1"/>
  <c r="H419" i="94"/>
  <c r="I419" i="94" s="1"/>
  <c r="I415" i="94"/>
  <c r="H415" i="94"/>
  <c r="H411" i="94"/>
  <c r="I411" i="94" s="1"/>
  <c r="H407" i="94"/>
  <c r="I407" i="94" s="1"/>
  <c r="H403" i="94"/>
  <c r="I403" i="94" s="1"/>
  <c r="I399" i="94"/>
  <c r="H399" i="94"/>
  <c r="H395" i="94"/>
  <c r="I395" i="94" s="1"/>
  <c r="H391" i="94"/>
  <c r="I391" i="94" s="1"/>
  <c r="H387" i="94"/>
  <c r="I387" i="94" s="1"/>
  <c r="I383" i="94"/>
  <c r="H383" i="94"/>
  <c r="H379" i="94"/>
  <c r="I379" i="94" s="1"/>
  <c r="H375" i="94"/>
  <c r="I375" i="94" s="1"/>
  <c r="H371" i="94"/>
  <c r="I371" i="94" s="1"/>
  <c r="I367" i="94"/>
  <c r="H367" i="94"/>
  <c r="H363" i="94"/>
  <c r="I363" i="94" s="1"/>
  <c r="H359" i="94"/>
  <c r="I359" i="94" s="1"/>
  <c r="H355" i="94"/>
  <c r="I355" i="94" s="1"/>
  <c r="I351" i="94"/>
  <c r="H351" i="94"/>
  <c r="H347" i="94"/>
  <c r="I347" i="94" s="1"/>
  <c r="F347" i="94"/>
  <c r="H343" i="94"/>
  <c r="I343" i="94" s="1"/>
  <c r="F343" i="94"/>
  <c r="H339" i="94"/>
  <c r="I339" i="94" s="1"/>
  <c r="F339" i="94"/>
  <c r="H335" i="94"/>
  <c r="I335" i="94" s="1"/>
  <c r="F335" i="94"/>
  <c r="H331" i="94"/>
  <c r="I331" i="94" s="1"/>
  <c r="H327" i="94"/>
  <c r="I327" i="94" s="1"/>
  <c r="H323" i="94"/>
  <c r="I323" i="94" s="1"/>
  <c r="I319" i="94"/>
  <c r="H319" i="94"/>
  <c r="H315" i="94"/>
  <c r="I315" i="94" s="1"/>
  <c r="H311" i="94"/>
  <c r="I311" i="94" s="1"/>
  <c r="H307" i="94"/>
  <c r="I307" i="94" s="1"/>
  <c r="I303" i="94"/>
  <c r="H303" i="94"/>
  <c r="H299" i="94"/>
  <c r="I299" i="94" s="1"/>
  <c r="H295" i="94"/>
  <c r="I295" i="94" s="1"/>
  <c r="H291" i="94"/>
  <c r="I291" i="94" s="1"/>
  <c r="I287" i="94"/>
  <c r="H287" i="94"/>
  <c r="H283" i="94"/>
  <c r="I283" i="94" s="1"/>
  <c r="H279" i="94"/>
  <c r="I279" i="94" s="1"/>
  <c r="H275" i="94"/>
  <c r="I275" i="94" s="1"/>
  <c r="I271" i="94"/>
  <c r="H271" i="94"/>
  <c r="H267" i="94"/>
  <c r="I267" i="94" s="1"/>
  <c r="H263" i="94"/>
  <c r="I263" i="94" s="1"/>
  <c r="H259" i="94"/>
  <c r="I259" i="94" s="1"/>
  <c r="I255" i="94"/>
  <c r="H255" i="94"/>
  <c r="F358" i="94"/>
  <c r="F354" i="94"/>
  <c r="F350" i="94"/>
  <c r="F346" i="94"/>
  <c r="F342" i="94"/>
  <c r="F338" i="94"/>
  <c r="F334" i="94"/>
  <c r="F330" i="94"/>
  <c r="F326" i="94"/>
  <c r="F322" i="94"/>
  <c r="F318" i="94"/>
  <c r="F314" i="94"/>
  <c r="F310" i="94"/>
  <c r="F306" i="94"/>
  <c r="F302" i="94"/>
  <c r="F298" i="94"/>
  <c r="F294" i="94"/>
  <c r="F290" i="94"/>
  <c r="F286" i="94"/>
  <c r="F282" i="94"/>
  <c r="F278" i="94"/>
  <c r="F274" i="94"/>
  <c r="F270" i="94"/>
  <c r="F266" i="94"/>
  <c r="F262" i="94"/>
  <c r="F258" i="94"/>
  <c r="F8" i="94"/>
  <c r="F441" i="94"/>
  <c r="F437" i="94"/>
  <c r="F433" i="94"/>
  <c r="F429" i="94"/>
  <c r="F425" i="94"/>
  <c r="F421" i="94"/>
  <c r="F417" i="94"/>
  <c r="F413" i="94"/>
  <c r="F409" i="94"/>
  <c r="F405" i="94"/>
  <c r="F401" i="94"/>
  <c r="F397" i="94"/>
  <c r="F393" i="94"/>
  <c r="F389" i="94"/>
  <c r="F385" i="94"/>
  <c r="F381" i="94"/>
  <c r="F377" i="94"/>
  <c r="F373" i="94"/>
  <c r="F369" i="94"/>
  <c r="F365" i="94"/>
  <c r="F361" i="94"/>
  <c r="F357" i="94"/>
  <c r="F353" i="94"/>
  <c r="F349" i="94"/>
  <c r="F345" i="94"/>
  <c r="F341" i="94"/>
  <c r="F337" i="94"/>
  <c r="F333" i="94"/>
  <c r="F329" i="94"/>
  <c r="F325" i="94"/>
  <c r="F321" i="94"/>
  <c r="F317" i="94"/>
  <c r="F313" i="94"/>
  <c r="F309" i="94"/>
  <c r="F305" i="94"/>
  <c r="F301" i="94"/>
  <c r="F297" i="94"/>
  <c r="F293" i="94"/>
  <c r="F289" i="94"/>
  <c r="F285" i="94"/>
  <c r="F281" i="94"/>
  <c r="F277" i="94"/>
  <c r="F273" i="94"/>
  <c r="F269" i="94"/>
  <c r="F265" i="94"/>
  <c r="I251" i="94"/>
  <c r="H251" i="94"/>
  <c r="H247" i="94"/>
  <c r="I247" i="94" s="1"/>
  <c r="H243" i="94"/>
  <c r="I243" i="94" s="1"/>
  <c r="H239" i="94"/>
  <c r="I239" i="94" s="1"/>
  <c r="I235" i="94"/>
  <c r="H235" i="94"/>
  <c r="H231" i="94"/>
  <c r="I231" i="94" s="1"/>
  <c r="H227" i="94"/>
  <c r="I227" i="94" s="1"/>
  <c r="H223" i="94"/>
  <c r="I223" i="94" s="1"/>
  <c r="I219" i="94"/>
  <c r="H219" i="94"/>
  <c r="H215" i="94"/>
  <c r="I215" i="94" s="1"/>
  <c r="H211" i="94"/>
  <c r="I211" i="94" s="1"/>
  <c r="I207" i="94"/>
  <c r="H207" i="94"/>
  <c r="H203" i="94"/>
  <c r="I203" i="94" s="1"/>
  <c r="H199" i="94"/>
  <c r="I199" i="94" s="1"/>
  <c r="H195" i="94"/>
  <c r="I195" i="94" s="1"/>
  <c r="I191" i="94"/>
  <c r="H191" i="94"/>
  <c r="H187" i="94"/>
  <c r="I187" i="94" s="1"/>
  <c r="H183" i="94"/>
  <c r="I183" i="94" s="1"/>
  <c r="H179" i="94"/>
  <c r="I179" i="94" s="1"/>
  <c r="I175" i="94"/>
  <c r="H175" i="94"/>
  <c r="H171" i="94"/>
  <c r="I171" i="94" s="1"/>
  <c r="H167" i="94"/>
  <c r="I167" i="94" s="1"/>
  <c r="H163" i="94"/>
  <c r="I163" i="94" s="1"/>
  <c r="I159" i="94"/>
  <c r="H159" i="94"/>
  <c r="H155" i="94"/>
  <c r="I155" i="94" s="1"/>
  <c r="H151" i="94"/>
  <c r="I151" i="94" s="1"/>
  <c r="I147" i="94"/>
  <c r="H147" i="94"/>
  <c r="H143" i="94"/>
  <c r="I143" i="94" s="1"/>
  <c r="H139" i="94"/>
  <c r="I139" i="94" s="1"/>
  <c r="I135" i="94"/>
  <c r="H135" i="94"/>
  <c r="H131" i="94"/>
  <c r="I131" i="94" s="1"/>
  <c r="H127" i="94"/>
  <c r="I127" i="94" s="1"/>
  <c r="I123" i="94"/>
  <c r="H123" i="94"/>
  <c r="H119" i="94"/>
  <c r="I119" i="94" s="1"/>
  <c r="H115" i="94"/>
  <c r="I115" i="94" s="1"/>
  <c r="H111" i="94"/>
  <c r="I111" i="94" s="1"/>
  <c r="I107" i="94"/>
  <c r="H107" i="94"/>
  <c r="H103" i="94"/>
  <c r="I103" i="94" s="1"/>
  <c r="H99" i="94"/>
  <c r="I99" i="94" s="1"/>
  <c r="H95" i="94"/>
  <c r="I95" i="94" s="1"/>
  <c r="I91" i="94"/>
  <c r="H91" i="94"/>
  <c r="H87" i="94"/>
  <c r="I87" i="94" s="1"/>
  <c r="H83" i="94"/>
  <c r="I83" i="94" s="1"/>
  <c r="H78" i="94"/>
  <c r="I78" i="94" s="1"/>
  <c r="I74" i="94"/>
  <c r="H74" i="94"/>
  <c r="H70" i="94"/>
  <c r="I70" i="94" s="1"/>
  <c r="H66" i="94"/>
  <c r="I66" i="94" s="1"/>
  <c r="H62" i="94"/>
  <c r="I62" i="94" s="1"/>
  <c r="I58" i="94"/>
  <c r="H58" i="94"/>
  <c r="H54" i="94"/>
  <c r="I54" i="94" s="1"/>
  <c r="H49" i="94"/>
  <c r="I49" i="94" s="1"/>
  <c r="H45" i="94"/>
  <c r="I45" i="94" s="1"/>
  <c r="I41" i="94"/>
  <c r="H41" i="94"/>
  <c r="H37" i="94"/>
  <c r="I37" i="94" s="1"/>
  <c r="H33" i="94"/>
  <c r="I33" i="94" s="1"/>
  <c r="H29" i="94"/>
  <c r="I29" i="94" s="1"/>
  <c r="I25" i="94"/>
  <c r="H25" i="94"/>
  <c r="H21" i="94"/>
  <c r="I21" i="94" s="1"/>
  <c r="H17" i="94"/>
  <c r="I17" i="94" s="1"/>
  <c r="F254" i="94"/>
  <c r="F250" i="94"/>
  <c r="F246" i="94"/>
  <c r="F242" i="94"/>
  <c r="F238" i="94"/>
  <c r="F234" i="94"/>
  <c r="F230" i="94"/>
  <c r="F226" i="94"/>
  <c r="F222" i="94"/>
  <c r="F218" i="94"/>
  <c r="F214" i="94"/>
  <c r="F210" i="94"/>
  <c r="F206" i="94"/>
  <c r="F202" i="94"/>
  <c r="F198" i="94"/>
  <c r="F194" i="94"/>
  <c r="F190" i="94"/>
  <c r="F186" i="94"/>
  <c r="F182" i="94"/>
  <c r="F178" i="94"/>
  <c r="F174" i="94"/>
  <c r="F170" i="94"/>
  <c r="F166" i="94"/>
  <c r="F162" i="94"/>
  <c r="F158" i="94"/>
  <c r="F154" i="94"/>
  <c r="F150" i="94"/>
  <c r="F146" i="94"/>
  <c r="F142" i="94"/>
  <c r="F138" i="94"/>
  <c r="F134" i="94"/>
  <c r="F130" i="94"/>
  <c r="F126" i="94"/>
  <c r="F122" i="94"/>
  <c r="F118" i="94"/>
  <c r="F114" i="94"/>
  <c r="F110" i="94"/>
  <c r="F106" i="94"/>
  <c r="F102" i="94"/>
  <c r="F98" i="94"/>
  <c r="F94" i="94"/>
  <c r="F90" i="94"/>
  <c r="F86" i="94"/>
  <c r="F82" i="94"/>
  <c r="F77" i="94"/>
  <c r="F73" i="94"/>
  <c r="F69" i="94"/>
  <c r="F65" i="94"/>
  <c r="F61" i="94"/>
  <c r="F57" i="94"/>
  <c r="F53" i="94"/>
  <c r="F48" i="94"/>
  <c r="F44" i="94"/>
  <c r="F40" i="94"/>
  <c r="F36" i="94"/>
  <c r="F32" i="94"/>
  <c r="F28" i="94"/>
  <c r="F261" i="94"/>
  <c r="F253" i="94"/>
  <c r="F245" i="94"/>
  <c r="F237" i="94"/>
  <c r="F229" i="94"/>
  <c r="F225" i="94"/>
  <c r="F221" i="94"/>
  <c r="F217" i="94"/>
  <c r="F213" i="94"/>
  <c r="F209" i="94"/>
  <c r="F205" i="94"/>
  <c r="F201" i="94"/>
  <c r="F197" i="94"/>
  <c r="F189" i="94"/>
  <c r="F185" i="94"/>
  <c r="F181" i="94"/>
  <c r="F177" i="94"/>
  <c r="F173" i="94"/>
  <c r="F169" i="94"/>
  <c r="F165" i="94"/>
  <c r="F161" i="94"/>
  <c r="F157" i="94"/>
  <c r="F153" i="94"/>
  <c r="F149" i="94"/>
  <c r="F145" i="94"/>
  <c r="F141" i="94"/>
  <c r="F137" i="94"/>
  <c r="F133" i="94"/>
  <c r="F129" i="94"/>
  <c r="F125" i="94"/>
  <c r="F121" i="94"/>
  <c r="F117" i="94"/>
  <c r="F113" i="94"/>
  <c r="F109" i="94"/>
  <c r="F105" i="94"/>
  <c r="F101" i="94"/>
  <c r="F97" i="94"/>
  <c r="F93" i="94"/>
  <c r="F89" i="94"/>
  <c r="F85" i="94"/>
  <c r="F80" i="94"/>
  <c r="F76" i="94"/>
  <c r="F72" i="94"/>
  <c r="F68" i="94"/>
  <c r="F64" i="94"/>
  <c r="F60" i="94"/>
  <c r="F56" i="94"/>
  <c r="F52" i="94"/>
  <c r="F47" i="94"/>
  <c r="F43" i="94"/>
  <c r="F39" i="94"/>
  <c r="F35" i="94"/>
  <c r="F31" i="94"/>
  <c r="F27" i="94"/>
  <c r="F15" i="94"/>
  <c r="F26" i="94"/>
  <c r="I13" i="94"/>
  <c r="H13" i="94"/>
  <c r="F24" i="94"/>
  <c r="F20" i="94"/>
  <c r="F16" i="94"/>
  <c r="I442" i="94"/>
  <c r="I438" i="94"/>
  <c r="I434" i="94"/>
  <c r="I430" i="94"/>
  <c r="I426" i="94"/>
  <c r="I422" i="94"/>
  <c r="I418" i="94"/>
  <c r="I414" i="94"/>
  <c r="I410" i="94"/>
  <c r="I406" i="94"/>
  <c r="I402" i="94"/>
  <c r="I398" i="94"/>
  <c r="I394" i="94"/>
  <c r="I390" i="94"/>
  <c r="I386" i="94"/>
  <c r="I382" i="94"/>
  <c r="I378" i="94"/>
  <c r="I374" i="94"/>
  <c r="I370" i="94"/>
  <c r="I366" i="94"/>
  <c r="I362" i="94"/>
  <c r="I358" i="94"/>
  <c r="I354" i="94"/>
  <c r="I350" i="94"/>
  <c r="I178" i="94"/>
  <c r="I174" i="94"/>
  <c r="I170" i="94"/>
  <c r="I166" i="94"/>
  <c r="I162" i="94"/>
  <c r="I158" i="94"/>
  <c r="I154" i="94"/>
  <c r="I150" i="94"/>
  <c r="I146" i="94"/>
  <c r="I142" i="94"/>
  <c r="I138" i="94"/>
  <c r="I134" i="94"/>
  <c r="I130" i="94"/>
  <c r="I126" i="94"/>
  <c r="I122" i="94"/>
  <c r="I118" i="94"/>
  <c r="I114" i="94"/>
  <c r="I110" i="94"/>
  <c r="I106" i="94"/>
  <c r="I102" i="94"/>
  <c r="I98" i="94"/>
  <c r="I94" i="94"/>
  <c r="I90" i="94"/>
  <c r="I86" i="94"/>
  <c r="I82" i="94"/>
  <c r="I77" i="94"/>
  <c r="I73" i="94"/>
  <c r="I69" i="94"/>
  <c r="I65" i="94"/>
  <c r="I61" i="94"/>
  <c r="I57" i="94"/>
  <c r="I53" i="94"/>
  <c r="I48" i="94"/>
  <c r="I44" i="94"/>
  <c r="I40" i="94"/>
  <c r="I36" i="94"/>
  <c r="I32" i="94"/>
  <c r="I28" i="94"/>
  <c r="I24" i="94"/>
  <c r="I20" i="94"/>
  <c r="I16" i="94"/>
  <c r="I348" i="94"/>
  <c r="I344" i="94"/>
  <c r="I340" i="94"/>
  <c r="I336" i="94"/>
  <c r="I332" i="94"/>
  <c r="I328" i="94"/>
  <c r="I324" i="94"/>
  <c r="I320" i="94"/>
  <c r="I316" i="94"/>
  <c r="I312" i="94"/>
  <c r="I308" i="94"/>
  <c r="I304" i="94"/>
  <c r="I300" i="94"/>
  <c r="I296" i="94"/>
  <c r="I292" i="94"/>
  <c r="I288" i="94"/>
  <c r="I284" i="94"/>
  <c r="I280" i="94"/>
  <c r="I276" i="94"/>
  <c r="I272" i="94"/>
  <c r="I268" i="94"/>
  <c r="I264" i="94"/>
  <c r="I260" i="94"/>
  <c r="I256" i="94"/>
  <c r="I252" i="94"/>
  <c r="I248" i="94"/>
  <c r="I244" i="94"/>
  <c r="I240" i="94"/>
  <c r="I236" i="94"/>
  <c r="I232" i="94"/>
  <c r="I228" i="94"/>
  <c r="I224" i="94"/>
  <c r="I220" i="94"/>
  <c r="I216" i="94"/>
  <c r="I212" i="94"/>
  <c r="I208" i="94"/>
  <c r="I204" i="94"/>
  <c r="I200" i="94"/>
  <c r="I196" i="94"/>
  <c r="I192" i="94"/>
  <c r="I188" i="94"/>
  <c r="I184" i="94"/>
  <c r="I180" i="94"/>
  <c r="I12" i="94"/>
  <c r="I8" i="94"/>
  <c r="I3" i="94"/>
  <c r="I441" i="94"/>
  <c r="I440" i="94"/>
  <c r="I437" i="94"/>
  <c r="I436" i="94"/>
  <c r="I433" i="94"/>
  <c r="I432" i="94"/>
  <c r="I429" i="94"/>
  <c r="I428" i="94"/>
  <c r="I425" i="94"/>
  <c r="I424" i="94"/>
  <c r="I421" i="94"/>
  <c r="I420" i="94"/>
  <c r="I417" i="94"/>
  <c r="I416" i="94"/>
  <c r="I413" i="94"/>
  <c r="I412" i="94"/>
  <c r="I409" i="94"/>
  <c r="I408" i="94"/>
  <c r="I405" i="94"/>
  <c r="I404" i="94"/>
  <c r="I401" i="94"/>
  <c r="I400" i="94"/>
  <c r="I397" i="94"/>
  <c r="I396" i="94"/>
  <c r="I393" i="94"/>
  <c r="I392" i="94"/>
  <c r="I389" i="94"/>
  <c r="I388" i="94"/>
  <c r="I385" i="94"/>
  <c r="I384" i="94"/>
  <c r="I381" i="94"/>
  <c r="I380" i="94"/>
  <c r="I377" i="94"/>
  <c r="I376" i="94"/>
  <c r="I373" i="94"/>
  <c r="I369" i="94"/>
  <c r="I365" i="94"/>
  <c r="I361" i="94"/>
  <c r="I357" i="94"/>
  <c r="I353" i="94"/>
  <c r="I349" i="94"/>
  <c r="I346" i="94"/>
  <c r="I345" i="94"/>
  <c r="I342" i="94"/>
  <c r="I341" i="94"/>
  <c r="I338" i="94"/>
  <c r="I337" i="94"/>
  <c r="I334" i="94"/>
  <c r="I333" i="94"/>
  <c r="I330" i="94"/>
  <c r="I329" i="94"/>
  <c r="I326" i="94"/>
  <c r="I325" i="94"/>
  <c r="I322" i="94"/>
  <c r="I321" i="94"/>
  <c r="I318" i="94"/>
  <c r="I317" i="94"/>
  <c r="I314" i="94"/>
  <c r="I313" i="94"/>
  <c r="I310" i="94"/>
  <c r="I309" i="94"/>
  <c r="I306" i="94"/>
  <c r="I305" i="94"/>
  <c r="I302" i="94"/>
  <c r="I301" i="94"/>
  <c r="I298" i="94"/>
  <c r="I297" i="94"/>
  <c r="I294" i="94"/>
  <c r="I293" i="94"/>
  <c r="I290" i="94"/>
  <c r="I289" i="94"/>
  <c r="I286" i="94"/>
  <c r="I285" i="94"/>
  <c r="I282" i="94"/>
  <c r="I281" i="94"/>
  <c r="I278" i="94"/>
  <c r="I277" i="94"/>
  <c r="I274" i="94"/>
  <c r="I273" i="94"/>
  <c r="I270" i="94"/>
  <c r="I269" i="94"/>
  <c r="I266" i="94"/>
  <c r="I265" i="94"/>
  <c r="I262" i="94"/>
  <c r="I261" i="94"/>
  <c r="I258" i="94"/>
  <c r="I257" i="94"/>
  <c r="I254" i="94"/>
  <c r="I253" i="94"/>
  <c r="I250" i="94"/>
  <c r="I249" i="94"/>
  <c r="I246" i="94"/>
  <c r="I245" i="94"/>
  <c r="I242" i="94"/>
  <c r="I241" i="94"/>
  <c r="I238" i="94"/>
  <c r="I237" i="94"/>
  <c r="I234" i="94"/>
  <c r="I233" i="94"/>
  <c r="I230" i="94"/>
  <c r="I229" i="94"/>
  <c r="I226" i="94"/>
  <c r="I225" i="94"/>
  <c r="I222" i="94"/>
  <c r="I221" i="94"/>
  <c r="I218" i="94"/>
  <c r="I214" i="94"/>
  <c r="I213" i="94"/>
  <c r="I210" i="94"/>
  <c r="I206" i="94"/>
  <c r="I202" i="94"/>
  <c r="I198" i="94"/>
  <c r="I194" i="94"/>
  <c r="I190" i="94"/>
  <c r="I186" i="94"/>
  <c r="I182" i="94"/>
  <c r="I177" i="94"/>
  <c r="I176" i="94"/>
  <c r="I173" i="94"/>
  <c r="I172" i="94"/>
  <c r="I169" i="94"/>
  <c r="I168" i="94"/>
  <c r="I165" i="94"/>
  <c r="I164" i="94"/>
  <c r="I161" i="94"/>
  <c r="I160" i="94"/>
  <c r="I157" i="94"/>
  <c r="I156" i="94"/>
  <c r="I153" i="94"/>
  <c r="I152" i="94"/>
  <c r="I149" i="94"/>
  <c r="I148" i="94"/>
  <c r="I145" i="94"/>
  <c r="I144" i="94"/>
  <c r="I141" i="94"/>
  <c r="I140" i="94"/>
  <c r="I137" i="94"/>
  <c r="I136" i="94"/>
  <c r="I133" i="94"/>
  <c r="I132" i="94"/>
  <c r="I129" i="94"/>
  <c r="I128" i="94"/>
  <c r="I125" i="94"/>
  <c r="I124" i="94"/>
  <c r="I121" i="94"/>
  <c r="I120" i="94"/>
  <c r="I117" i="94"/>
  <c r="I116" i="94"/>
  <c r="I113" i="94"/>
  <c r="I112" i="94"/>
  <c r="I109" i="94"/>
  <c r="I108" i="94"/>
  <c r="I105" i="94"/>
  <c r="I104" i="94"/>
  <c r="I101" i="94"/>
  <c r="I100" i="94"/>
  <c r="I97" i="94"/>
  <c r="I96" i="94"/>
  <c r="I93" i="94"/>
  <c r="I92" i="94"/>
  <c r="I89" i="94"/>
  <c r="I88" i="94"/>
  <c r="I85" i="94"/>
  <c r="I84" i="94"/>
  <c r="I80" i="94"/>
  <c r="I79" i="94"/>
  <c r="I76" i="94"/>
  <c r="I75" i="94"/>
  <c r="I72" i="94"/>
  <c r="I71" i="94"/>
  <c r="I68" i="94"/>
  <c r="I67" i="94"/>
  <c r="I64" i="94"/>
  <c r="I63" i="94"/>
  <c r="I60" i="94"/>
  <c r="I59" i="94"/>
  <c r="I56" i="94"/>
  <c r="I55" i="94"/>
  <c r="I52" i="94"/>
  <c r="I51" i="94"/>
  <c r="I47" i="94"/>
  <c r="I46" i="94"/>
  <c r="I43" i="94"/>
  <c r="I42" i="94"/>
  <c r="I39" i="94"/>
  <c r="I38" i="94"/>
  <c r="I35" i="94"/>
  <c r="I34" i="94"/>
  <c r="I31" i="94"/>
  <c r="I27" i="94"/>
  <c r="I23" i="94"/>
  <c r="E44" i="8" s="1"/>
  <c r="F44" i="8" s="1"/>
  <c r="I19" i="94"/>
  <c r="I15" i="94"/>
  <c r="I11" i="94"/>
  <c r="F439" i="94"/>
  <c r="F435" i="94"/>
  <c r="F431" i="94"/>
  <c r="F427" i="94"/>
  <c r="F423" i="94"/>
  <c r="F419" i="94"/>
  <c r="F415" i="94"/>
  <c r="F411" i="94"/>
  <c r="F407" i="94"/>
  <c r="F403" i="94"/>
  <c r="F399" i="94"/>
  <c r="F391" i="94"/>
  <c r="F387" i="94"/>
  <c r="F379" i="94"/>
  <c r="F371" i="94"/>
  <c r="F367" i="94"/>
  <c r="F363" i="94"/>
  <c r="F359" i="94"/>
  <c r="F351" i="94"/>
  <c r="F344" i="94"/>
  <c r="F336" i="94"/>
  <c r="F300" i="94"/>
  <c r="F296" i="94"/>
  <c r="F292" i="94"/>
  <c r="F288" i="94"/>
  <c r="F276" i="94"/>
  <c r="F272" i="94"/>
  <c r="F264" i="94"/>
  <c r="F256" i="94"/>
  <c r="F248" i="94"/>
  <c r="F244" i="94"/>
  <c r="F240" i="94"/>
  <c r="F224" i="94"/>
  <c r="F204" i="94"/>
  <c r="F184" i="94"/>
  <c r="F180" i="94"/>
  <c r="F175" i="94"/>
  <c r="F171" i="94"/>
  <c r="F159" i="94"/>
  <c r="F155" i="94"/>
  <c r="F147" i="94"/>
  <c r="F143" i="94"/>
  <c r="F139" i="94"/>
  <c r="F135" i="94"/>
  <c r="F131" i="94"/>
  <c r="F127" i="94"/>
  <c r="F123" i="94"/>
  <c r="F119" i="94"/>
  <c r="F115" i="94"/>
  <c r="F111" i="94"/>
  <c r="F107" i="94"/>
  <c r="F103" i="94"/>
  <c r="F95" i="94"/>
  <c r="F83" i="94"/>
  <c r="F74" i="94"/>
  <c r="F21" i="94"/>
  <c r="F395" i="94"/>
  <c r="F383" i="94"/>
  <c r="F375" i="94"/>
  <c r="F355" i="94"/>
  <c r="F348" i="94"/>
  <c r="F340" i="94"/>
  <c r="F332" i="94"/>
  <c r="F328" i="94"/>
  <c r="F324" i="94"/>
  <c r="F320" i="94"/>
  <c r="F316" i="94"/>
  <c r="F312" i="94"/>
  <c r="F308" i="94"/>
  <c r="F304" i="94"/>
  <c r="F284" i="94"/>
  <c r="F280" i="94"/>
  <c r="F268" i="94"/>
  <c r="F260" i="94"/>
  <c r="F252" i="94"/>
  <c r="F236" i="94"/>
  <c r="F232" i="94"/>
  <c r="F228" i="94"/>
  <c r="F220" i="94"/>
  <c r="F216" i="94"/>
  <c r="F212" i="94"/>
  <c r="F208" i="94"/>
  <c r="F200" i="94"/>
  <c r="F196" i="94"/>
  <c r="F192" i="94"/>
  <c r="F188" i="94"/>
  <c r="F179" i="94"/>
  <c r="F167" i="94"/>
  <c r="F163" i="94"/>
  <c r="F151" i="94"/>
  <c r="F99" i="94"/>
  <c r="F91" i="94"/>
  <c r="F87" i="94"/>
  <c r="F78" i="94"/>
  <c r="F70" i="94"/>
  <c r="F66" i="94"/>
  <c r="F62" i="94"/>
  <c r="F58" i="94"/>
  <c r="F54" i="94"/>
  <c r="F49" i="94"/>
  <c r="F45" i="94"/>
  <c r="F41" i="94"/>
  <c r="F37" i="94"/>
  <c r="F33" i="94"/>
  <c r="F29" i="94"/>
  <c r="F25" i="94"/>
  <c r="F17" i="94"/>
  <c r="F13" i="94"/>
  <c r="F9" i="94"/>
  <c r="I372" i="94"/>
  <c r="I368" i="94"/>
  <c r="I364" i="94"/>
  <c r="I360" i="94"/>
  <c r="I356" i="94"/>
  <c r="I352" i="94"/>
  <c r="I217" i="94"/>
  <c r="I209" i="94"/>
  <c r="I205" i="94"/>
  <c r="I201" i="94"/>
  <c r="I197" i="94"/>
  <c r="I193" i="94"/>
  <c r="I189" i="94"/>
  <c r="I185" i="94"/>
  <c r="I181" i="94"/>
  <c r="I30" i="94"/>
  <c r="I26" i="94"/>
  <c r="I22" i="94"/>
  <c r="I18" i="94"/>
  <c r="I14" i="94"/>
  <c r="I10" i="94"/>
  <c r="A48" i="9" l="1"/>
  <c r="N22" i="4"/>
  <c r="N28" i="4" s="1"/>
  <c r="B23" i="11" l="1"/>
  <c r="N2" i="4"/>
  <c r="B3" i="11" l="1"/>
  <c r="N3" i="4"/>
  <c r="B4" i="11" s="1"/>
  <c r="N4" i="4"/>
  <c r="B5" i="11" s="1"/>
  <c r="N5" i="4"/>
  <c r="B6" i="11" s="1"/>
  <c r="N6" i="4"/>
  <c r="B7" i="11" s="1"/>
  <c r="N7" i="4"/>
  <c r="B8" i="11" s="1"/>
  <c r="N8" i="4"/>
  <c r="B9" i="11" s="1"/>
  <c r="N9" i="4"/>
  <c r="B10" i="11" s="1"/>
  <c r="N10" i="4"/>
  <c r="N11" i="4"/>
  <c r="N12" i="4"/>
  <c r="B13" i="11" s="1"/>
  <c r="N13" i="4"/>
  <c r="N14" i="4"/>
  <c r="B15" i="11" s="1"/>
  <c r="N15" i="4"/>
  <c r="B16" i="11" s="1"/>
  <c r="N16" i="4"/>
  <c r="B17" i="11" s="1"/>
  <c r="N17" i="4"/>
  <c r="B18" i="11" s="1"/>
  <c r="N18" i="4"/>
  <c r="B19" i="11" s="1"/>
  <c r="N19" i="4"/>
  <c r="B20" i="11" s="1"/>
  <c r="N20" i="4"/>
  <c r="B21" i="11" s="1"/>
  <c r="N21" i="4"/>
  <c r="N27" i="4" s="1"/>
  <c r="N25" i="4" l="1"/>
  <c r="N26" i="4"/>
  <c r="N29" i="4"/>
  <c r="N24" i="4"/>
  <c r="B22" i="11"/>
  <c r="C27" i="11"/>
  <c r="B14" i="11"/>
  <c r="Y27" i="11"/>
  <c r="Q27" i="11"/>
  <c r="H27" i="11"/>
  <c r="Z27" i="11"/>
  <c r="R27" i="11"/>
  <c r="I27" i="11"/>
  <c r="AA27" i="11"/>
  <c r="S27" i="11"/>
  <c r="J27" i="11"/>
  <c r="X27" i="11"/>
  <c r="AB27" i="11"/>
  <c r="T27" i="11"/>
  <c r="K27" i="11"/>
  <c r="C26" i="11"/>
  <c r="AC27" i="11"/>
  <c r="U27" i="11"/>
  <c r="L27" i="11"/>
  <c r="D27" i="11"/>
  <c r="V27" i="11"/>
  <c r="N27" i="11"/>
  <c r="M27" i="11"/>
  <c r="E27" i="11"/>
  <c r="W27" i="11"/>
  <c r="O27" i="11"/>
  <c r="F27" i="11"/>
  <c r="P27" i="11"/>
  <c r="G27" i="11"/>
  <c r="V25" i="11"/>
  <c r="N25" i="11"/>
  <c r="K25" i="11"/>
  <c r="I25" i="11"/>
  <c r="G25" i="11"/>
  <c r="AC25" i="11"/>
  <c r="E25" i="11"/>
  <c r="T25" i="11"/>
  <c r="R25" i="11"/>
  <c r="P25" i="11"/>
  <c r="X26" i="11"/>
  <c r="P26" i="11"/>
  <c r="G26" i="11"/>
  <c r="W26" i="11"/>
  <c r="F26" i="11"/>
  <c r="Y26" i="11"/>
  <c r="Q26" i="11"/>
  <c r="H26" i="11"/>
  <c r="Z26" i="11"/>
  <c r="R26" i="11"/>
  <c r="I26" i="11"/>
  <c r="AA26" i="11"/>
  <c r="S26" i="11"/>
  <c r="J26" i="11"/>
  <c r="AB26" i="11"/>
  <c r="T26" i="11"/>
  <c r="K26" i="11"/>
  <c r="C25" i="11"/>
  <c r="AC26" i="11"/>
  <c r="U26" i="11"/>
  <c r="L26" i="11"/>
  <c r="D26" i="11"/>
  <c r="V26" i="11"/>
  <c r="N26" i="11"/>
  <c r="M26" i="11"/>
  <c r="E26" i="11"/>
  <c r="O26" i="11"/>
  <c r="B11" i="11"/>
  <c r="AB25" i="11"/>
  <c r="Z25" i="11"/>
  <c r="X25" i="11"/>
  <c r="D25" i="11"/>
  <c r="M25" i="11"/>
  <c r="H25" i="11"/>
  <c r="F25" i="11"/>
  <c r="AA25" i="11"/>
  <c r="L25" i="11"/>
  <c r="J25" i="11"/>
  <c r="Q25" i="11"/>
  <c r="O25" i="11"/>
  <c r="U25" i="11"/>
  <c r="S25" i="11"/>
  <c r="Y25" i="11"/>
  <c r="W25" i="11"/>
  <c r="B12" i="11"/>
  <c r="B26" i="11"/>
  <c r="B25" i="11"/>
  <c r="B27" i="11"/>
  <c r="B2" i="9" l="1"/>
  <c r="A2" i="9"/>
</calcChain>
</file>

<file path=xl/sharedStrings.xml><?xml version="1.0" encoding="utf-8"?>
<sst xmlns="http://schemas.openxmlformats.org/spreadsheetml/2006/main" count="3586" uniqueCount="535">
  <si>
    <t>FHYBRID</t>
  </si>
  <si>
    <t>UNOCC</t>
  </si>
  <si>
    <t>HYBRID</t>
  </si>
  <si>
    <t>M3</t>
  </si>
  <si>
    <t>M4</t>
  </si>
  <si>
    <t>M8</t>
  </si>
  <si>
    <t>M5</t>
  </si>
  <si>
    <t>M7</t>
  </si>
  <si>
    <t>M6</t>
  </si>
  <si>
    <t>M9</t>
  </si>
  <si>
    <t>M9Glc</t>
  </si>
  <si>
    <t>Glycan</t>
  </si>
  <si>
    <t>Score</t>
  </si>
  <si>
    <t>Composition</t>
  </si>
  <si>
    <t>HexNAc</t>
  </si>
  <si>
    <t>Hex</t>
  </si>
  <si>
    <t>Fuc</t>
  </si>
  <si>
    <t>Composition as integer</t>
  </si>
  <si>
    <t>Species</t>
  </si>
  <si>
    <t>FM</t>
  </si>
  <si>
    <t>NeuAc</t>
  </si>
  <si>
    <t>Complex</t>
  </si>
  <si>
    <t>Unoccupied</t>
  </si>
  <si>
    <t>Protein Sequence</t>
  </si>
  <si>
    <t>Percentage</t>
  </si>
  <si>
    <t>Classification</t>
  </si>
  <si>
    <t>Oligomannose</t>
  </si>
  <si>
    <t>Validate</t>
  </si>
  <si>
    <t>XIC Area summed</t>
  </si>
  <si>
    <t>Start AA</t>
  </si>
  <si>
    <t>End AA</t>
  </si>
  <si>
    <t>Var. Pos. Protein</t>
  </si>
  <si>
    <t>Pos</t>
  </si>
  <si>
    <t>Hxb2 Env coords</t>
  </si>
  <si>
    <t>N88</t>
  </si>
  <si>
    <t>N156</t>
  </si>
  <si>
    <t>N160</t>
  </si>
  <si>
    <t>N197</t>
  </si>
  <si>
    <t>N276</t>
  </si>
  <si>
    <t>N295</t>
  </si>
  <si>
    <t>N301</t>
  </si>
  <si>
    <t>N332</t>
  </si>
  <si>
    <t>N339</t>
  </si>
  <si>
    <t>N355</t>
  </si>
  <si>
    <t>N363</t>
  </si>
  <si>
    <t>N386</t>
  </si>
  <si>
    <t>N448</t>
  </si>
  <si>
    <t>N462</t>
  </si>
  <si>
    <t>N611</t>
  </si>
  <si>
    <t>N637</t>
  </si>
  <si>
    <t>N234</t>
  </si>
  <si>
    <t>N618</t>
  </si>
  <si>
    <t>Hybrid</t>
  </si>
  <si>
    <t>Fucose</t>
  </si>
  <si>
    <t>N133</t>
  </si>
  <si>
    <t>N137</t>
  </si>
  <si>
    <t>N185e</t>
  </si>
  <si>
    <t>N185h</t>
  </si>
  <si>
    <t>N262</t>
  </si>
  <si>
    <t>N392</t>
  </si>
  <si>
    <t>N398</t>
  </si>
  <si>
    <t>N406</t>
  </si>
  <si>
    <t>N411</t>
  </si>
  <si>
    <t>N625</t>
  </si>
  <si>
    <t>Site</t>
  </si>
  <si>
    <t>Excel worksheet</t>
  </si>
  <si>
    <t>SOSIP SITES</t>
  </si>
  <si>
    <t>Pos after aligned to Hxb2</t>
  </si>
  <si>
    <t>185e</t>
  </si>
  <si>
    <t>185h</t>
  </si>
  <si>
    <t>Core</t>
  </si>
  <si>
    <t>% Adapted from GlycO -- R. Ranzinger and M. Tiemeyer, CCRC</t>
  </si>
  <si>
    <t>HexNAc(2)Hex(3)Fuc(1)</t>
  </si>
  <si>
    <t>HexNAc(2)Hex(5)Fuc(1)</t>
  </si>
  <si>
    <t>HexNAc(1)Fuc(1)</t>
  </si>
  <si>
    <t>HexNAc(2)Hex(4)</t>
  </si>
  <si>
    <t>HexNAc(2)Hex(5)</t>
  </si>
  <si>
    <t>HexNAc(6)Hex(3)Fuc(1)Sulfo(1)</t>
  </si>
  <si>
    <t>HexNAc(6)Hex(3)Fuc(1)Sulfo(2)</t>
  </si>
  <si>
    <t>HexNAc(7)Hex(8)Sulfo(1)</t>
  </si>
  <si>
    <t>HexNAc(7)Hex(8)Sulfo(2)</t>
  </si>
  <si>
    <t>HexNAc(7)Hex(8)Sulfo(3)</t>
  </si>
  <si>
    <t>HexNAc(6)Hex(3)Fuc(1)Sulfo(3)</t>
  </si>
  <si>
    <t>HexNAc(8)Hex(5)Sulfo(3)</t>
  </si>
  <si>
    <t>HexNAc(8)Hex(5)Sulfo(2)</t>
  </si>
  <si>
    <t>HexNAc(8)Hex(5)Sulfo(1)</t>
  </si>
  <si>
    <t>HexNAc(3)Hex(4)Fuc(1)Sulfo(1)</t>
  </si>
  <si>
    <t>HexNAc(3)Hex(4)Fuc(1)Sulfo(2)</t>
  </si>
  <si>
    <t>HexNAc(3)Hex(4)Fuc(1)Sulfo(3)</t>
  </si>
  <si>
    <t>HexNAc(4)Hex(4)Fuc(1)Sulfo(1)</t>
  </si>
  <si>
    <t>HexNAc(4)Hex(4)Fuc(1)Sulfo(2)</t>
  </si>
  <si>
    <t>HexNAc(4)Hex(4)Fuc(1)Sulfo(3)</t>
  </si>
  <si>
    <t>HexNAc(4)Hex(6)Fuc(1)Sulfo(1)</t>
  </si>
  <si>
    <t>HexNAc(4)Hex(6)Fuc(1)Sulfo(2)</t>
  </si>
  <si>
    <t>HexNAc(4)Hex(6)Fuc(1)Sulfo(3)</t>
  </si>
  <si>
    <t>HexNAc(5)Hex(3)Fuc(1)Sulfo(1)</t>
  </si>
  <si>
    <t>HexNAc(5)Hex(3)Fuc(1)Sulfo(2)</t>
  </si>
  <si>
    <t>HexNAc(5)Hex(3)Fuc(1)Sulfo(3)</t>
  </si>
  <si>
    <t>HexNAc(5)Hex(4)Fuc(1)Sulfo(1)</t>
  </si>
  <si>
    <t>HexNAc(5)Hex(4)Fuc(1)Sulfo(2)</t>
  </si>
  <si>
    <t>HexNAc(5)Hex(4)Fuc(1)Sulfo(3)</t>
  </si>
  <si>
    <t>HexNAc(5)Hex(4)Fuc(1)NeuAc(1)Sulfo(1)</t>
  </si>
  <si>
    <t>HexNAc(5)Hex(4)Fuc(1)NeuAc(1)Sulfo(2)</t>
  </si>
  <si>
    <t>HexNAc(5)Hex(4)Fuc(1)NeuAc(1)Sulfo(3)</t>
  </si>
  <si>
    <t>HexNAc(5)Hex(4)Fuc(2)Sulfo(1)</t>
  </si>
  <si>
    <t>HexNAc(5)Hex(4)Fuc(2)Sulfo(2)</t>
  </si>
  <si>
    <t>HexNAc(5)Hex(4)Fuc(2)Sulfo(3)</t>
  </si>
  <si>
    <t>HexNAc(6)Hex(3)Fuc(2)Sulfo(1)</t>
  </si>
  <si>
    <t>HexNAc(6)Hex(3)Fuc(2)Sulfo(2)</t>
  </si>
  <si>
    <t>HexNAc(6)Hex(3)Fuc(2)Sulfo(3)</t>
  </si>
  <si>
    <t>HexNAc(6)Hex(5)Fuc(1)NeuAc(1)Sulfo(1)</t>
  </si>
  <si>
    <t>HexNAc(6)Hex(5)Fuc(1)NeuAc(1)Sulfo(2)</t>
  </si>
  <si>
    <t>HexNAc(6)Hex(5)Fuc(1)NeuAc(1)Sulfo(3)</t>
  </si>
  <si>
    <t>HexNAc(6)Hex(5)Fuc(1)NeuAc(2)Sulfo(1)</t>
  </si>
  <si>
    <t>HexNAc(6)Hex(5)Fuc(1)NeuAc(2)Sulfo(2)</t>
  </si>
  <si>
    <t>HexNAc(6)Hex(5)Fuc(1)NeuAc(2)Sulfo(3)</t>
  </si>
  <si>
    <t>HexNAc(7)Hex(3)Fuc(1)Sulfo(1)</t>
  </si>
  <si>
    <t>HexNAc(7)Hex(4)Fuc(2)Sulfo(2)</t>
  </si>
  <si>
    <t>HexNAc(7)Hex(4)Fuc(2)Sulfo(3)</t>
  </si>
  <si>
    <t>HexNAc(7)Hex(4)Fuc(1)Sulfo(1)</t>
  </si>
  <si>
    <t>HexNAc(7)Hex(4)Fuc(1)Sulfo(2)</t>
  </si>
  <si>
    <t>HexNAc(7)Hex(4)Fuc(1)Sulfo(3)</t>
  </si>
  <si>
    <t>HexNAc(7)Hex(4)Fuc(2)Sulfo(1)</t>
  </si>
  <si>
    <t>HexNAc(7)Hex(7)Fuc(1)NeuAc(2)Sulfo(1)</t>
  </si>
  <si>
    <t>HexNAc(7)Hex(7)Fuc(1)NeuAc(2)Sulfo(2)</t>
  </si>
  <si>
    <t>HexNAc(7)Hex(7)Fuc(1)NeuAc(2)Sulfo(3)</t>
  </si>
  <si>
    <t>HexNac(4)Hex(7)Sulfo(1)</t>
  </si>
  <si>
    <t>HexNac(4)Hex(7)Sulfo(2)</t>
  </si>
  <si>
    <t>HexNac(4)Hex(7)Sulfo(3)</t>
  </si>
  <si>
    <t>HexNac(3)Hex(4)Fuc(2)Sulfo(1)</t>
  </si>
  <si>
    <t>HexNac(3)Hex(4)Fuc(2)Sulfo(2)</t>
  </si>
  <si>
    <t>HexNac(3)Hex(4)Fuc(2)Sulfo(3)</t>
  </si>
  <si>
    <t>HexNac(6)Hex(7)Fuc(4)Sulfo(1)</t>
  </si>
  <si>
    <t>HexNac(6)Hex(4)Fuc(1)Sulfo(1)</t>
  </si>
  <si>
    <t>HexNac(6)Hex(4)Fuc(1)Sulfo(2)</t>
  </si>
  <si>
    <t>HexNac(6)Hex(4)Fuc(1)Sulfo(3)</t>
  </si>
  <si>
    <t>HexNac(5)Hex(5)Fuc(2)Sulfo(1)</t>
  </si>
  <si>
    <t>HexNac(5)Hex(5)Fuc(2)Sulfo(2)</t>
  </si>
  <si>
    <t>HexNac(5)Hex(5)Fuc(2)Sulfo(3)</t>
  </si>
  <si>
    <t>HexNac(4)Hex(3)Sulfo(1)</t>
  </si>
  <si>
    <t>HexNac(4)Hex(3)Sulfo(2)</t>
  </si>
  <si>
    <t>HexNac(4)Hex(3)Sulfo(3)</t>
  </si>
  <si>
    <t>HexNac(3)Hex(6)NeuAc(1)Sulfo(1)</t>
  </si>
  <si>
    <t>HexNac(3)Hex(6)NeuAc(1)Sulfo(2)</t>
  </si>
  <si>
    <t>HexNac(3)Hex(6)NeuAc(1)Sulfo(3)</t>
  </si>
  <si>
    <t>HexNac(2)Hex(10)Sulfo(1)</t>
  </si>
  <si>
    <t>HexNac(2)Hex(10)Sulfo(2)</t>
  </si>
  <si>
    <t>HexNac(2)Hex(10)Sulfo(3)</t>
  </si>
  <si>
    <t>HexNac(3)Hex(3)Fuc(1)Sulfo(1)</t>
  </si>
  <si>
    <t>HexNac(3)Hex(3)Fuc(1)Sulfo(2)</t>
  </si>
  <si>
    <t>HexNac(3)Hex(3)Fuc(1)Sulfo(3)</t>
  </si>
  <si>
    <t>HexNac(4)Hex(5)Sulfo(1)</t>
  </si>
  <si>
    <t>HexNac(4)Hex(5)Sulfo(2)</t>
  </si>
  <si>
    <t>HexNac(4)Hex(5)Sulfo(3)</t>
  </si>
  <si>
    <t>HexNac(5)Hex(6)NeuAc(3)Sulfo(1)</t>
  </si>
  <si>
    <t>HexNac(5)Hex(6)NeuAc(3)Sulfo(2)</t>
  </si>
  <si>
    <t>HexNac(5)Hex(6)NeuAc(3)Sulfo(3)</t>
  </si>
  <si>
    <t>HexNac(6)Hex(3)Fuc(3)Sulfo(1)</t>
  </si>
  <si>
    <t>HexNac(6)Hex(3)Fuc(3)Sulfo(2)</t>
  </si>
  <si>
    <t>HexNac(6)Hex(3)Fuc(3)Sulfo(3)</t>
  </si>
  <si>
    <t>HexNac(3)Hex(4)Sulfo(1)</t>
  </si>
  <si>
    <t>HexNac(3)Hex(4)Sulfo(2)</t>
  </si>
  <si>
    <t>HexNac(3)Hex(4)Sulfo(3)</t>
  </si>
  <si>
    <t>HexNac(5)Hex(4)Sulfo(1)</t>
  </si>
  <si>
    <t>HexNac(5)Hex(4)Sulfo(2)</t>
  </si>
  <si>
    <t>HexNac(5)Hex(4)Sulfo(3)</t>
  </si>
  <si>
    <t>HexNac(3)Hex(3)Fuc(2)Sulfo(1)</t>
  </si>
  <si>
    <t>HexNac(3)Hex(3)Fuc(2)Sulfo(2)</t>
  </si>
  <si>
    <t>HexNac(3)Hex(3)Fuc(2)Sulfo(3)</t>
  </si>
  <si>
    <t>HexNac(3)Hex(4)Fuc(1)NeuAc(1)Sulfo(1)</t>
  </si>
  <si>
    <t>HexNac(3)Hex(4)Fuc(1)NeuAc(1)Sulfo(2)</t>
  </si>
  <si>
    <t>HexNac(3)Hex(4)Fuc(1)NeuAc(1)Sulfo(3)</t>
  </si>
  <si>
    <t>HexNac(4)Hex(4)Fuc(2)Sulfo(1)</t>
  </si>
  <si>
    <t>HexNac(4)Hex(4)Fuc(2)Sulfo(2)</t>
  </si>
  <si>
    <t>HexNac(4)Hex(4)Fuc(2)Sulfo(3)</t>
  </si>
  <si>
    <t>HexNac(6)Hex(5)Fuc(2)Sulfo(1)</t>
  </si>
  <si>
    <t>HexNac(6)Hex(5)Fuc(2)Sulfo(2)</t>
  </si>
  <si>
    <t>HexNac(6)Hex(5)Fuc(2)Sulfo(3)</t>
  </si>
  <si>
    <t>HexNac(6)Hex(4)Fuc(2)Sulfo(1)</t>
  </si>
  <si>
    <t>HexNac(6)Hex(4)Fuc(2)Sulfo(2)</t>
  </si>
  <si>
    <t>HexNac(6)Hex(4)Fuc(2)Sulfo(3)</t>
  </si>
  <si>
    <t>HexNac(5)Hex(5)NeuAc(1)Sulfo(1)</t>
  </si>
  <si>
    <t>HexNac(5)Hex(5)NeuAc(1)Sulfo(2)</t>
  </si>
  <si>
    <t>HexNac(5)Hex(5)NeuAc(1)Sulfo(3)</t>
  </si>
  <si>
    <t>HexNac(4)Hex(5)Fuc(2)NeuAc(1)Sulfo(1)</t>
  </si>
  <si>
    <t>HexNac(4)Hex(5)Fuc(2)NeuAc(1)Sulfo(2)</t>
  </si>
  <si>
    <t>HexNac(4)Hex(5)Fuc(2)NeuAc(1)Sulfo(3)</t>
  </si>
  <si>
    <t>HexNac(4)Hex(5)Fuc(3)Sulfo(1)</t>
  </si>
  <si>
    <t>HexNac(4)Hex(5)Fuc(3)Sulfo(2)</t>
  </si>
  <si>
    <t>HexNac(4)Hex(5)Fuc(3)Sulfo(3)</t>
  </si>
  <si>
    <t>HexNac(3)Hex(5)Fuc(1)Sulfo(1)</t>
  </si>
  <si>
    <t>HexNac(3)Hex(5)Fuc(1)Sulfo(2)</t>
  </si>
  <si>
    <t>HexNac(3)Hex(5)Fuc(1)Sulfo(3)</t>
  </si>
  <si>
    <t>HexNac(3)Hex(6)Fuc(1)Sulfo(1)</t>
  </si>
  <si>
    <t>HexNac(3)Hex(6)Fuc(1)Sulfo(2)</t>
  </si>
  <si>
    <t>HexNac(3)Hex(6)Fuc(1)Sulfo(3)</t>
  </si>
  <si>
    <t>HexNac(5)Hex(3)Sulfo(1)</t>
  </si>
  <si>
    <t>HexNac(5)Hex(3)Sulfo(2)</t>
  </si>
  <si>
    <t>HexNac(5)Hex(3)Sulfo(3)</t>
  </si>
  <si>
    <t>HexNac(6)Hex(4)Sulfo(1)</t>
  </si>
  <si>
    <t>HexNac(6)Hex(4)Sulfo(2)</t>
  </si>
  <si>
    <t>HexNac(6)Hex(4)Sulfo(3)</t>
  </si>
  <si>
    <t>HexNac(6)Hex(3)Fuc(1)NeuAc(1)Sulfo(1)</t>
  </si>
  <si>
    <t>HexNac(6)Hex(3)Fuc(1)NeuAc(1)Sulfo(2)</t>
  </si>
  <si>
    <t>HexNac(6)Hex(3)Fuc(1)NeuAc(1)Sulfo(3)</t>
  </si>
  <si>
    <t>HexNac(5)Hex(7)Fuc(1)NeuAc(1)Sulfo(1)</t>
  </si>
  <si>
    <t>HexNac(5)Hex(7)Fuc(1)NeuAc(1)Sulfo(3)</t>
  </si>
  <si>
    <t>HexNac(5)Hex(7)Fuc(1)NeuAc(1)Sulfo(2)</t>
  </si>
  <si>
    <t>HexNac(2)Hex(5)Fuc(1)Sulfo(1)</t>
  </si>
  <si>
    <t>HexNac(2)Hex(5)Fuc(1)Sulfo(2)</t>
  </si>
  <si>
    <t>HexNac(2)Hex(5)Fuc(1)Sulfo(3)</t>
  </si>
  <si>
    <t>HexNac(6)Hex(5)Fuc(1)Sulfo(1)</t>
  </si>
  <si>
    <t>HexNac(6)Hex(5)Fuc(1)Sulfo(2)</t>
  </si>
  <si>
    <t>HexNac(6)Hex(5)Fuc(1)Sulfo(3)</t>
  </si>
  <si>
    <t>HexNac(3)Hex(6)Sulfo(1)</t>
  </si>
  <si>
    <t>HexNac(3)Hex(6)Sulfo(2)</t>
  </si>
  <si>
    <t>HexNac(3)Hex(6)Sulfo(3)</t>
  </si>
  <si>
    <t>HexNac(2)Hex(9)Phospho(1)</t>
  </si>
  <si>
    <t>HexNAc(2)Hex(8)Phospho(1)</t>
  </si>
  <si>
    <t>HexNAc(2)Hex(7)Phospho(1)</t>
  </si>
  <si>
    <t>HexNAc(2)Hex(6)Phospho(1)</t>
  </si>
  <si>
    <t>HexNAc(2)Hex(5)Phospho(1)</t>
  </si>
  <si>
    <t>%</t>
  </si>
  <si>
    <t>HexNAc(1)</t>
  </si>
  <si>
    <t>HexNAc(2)</t>
  </si>
  <si>
    <t>HexNAc(2)Hex(1)</t>
  </si>
  <si>
    <t>HexNAc(2)Hex(2)</t>
  </si>
  <si>
    <t>HexNAc(2)Fuc(1)</t>
  </si>
  <si>
    <t>HexNAc(2)Hex(1)Fuc(1)</t>
  </si>
  <si>
    <t>HexNAc(2)Hex(2)Fuc(1)</t>
  </si>
  <si>
    <t>HexNAc(2)Hex(3)</t>
  </si>
  <si>
    <t>HexNAc(3)Hex(3)</t>
  </si>
  <si>
    <t>HexNAc(2)Hex(3)Fuc(2)</t>
  </si>
  <si>
    <t>HexNAc(2)Hex(4)Fuc(1)</t>
  </si>
  <si>
    <t>HexNAc(3)Hex(3)Fuc(1)</t>
  </si>
  <si>
    <t>HexNAc(3)Hex(4)</t>
  </si>
  <si>
    <t>HexNAc(4)Hex(3)</t>
  </si>
  <si>
    <t>HexNAc(2)Hex(6)</t>
  </si>
  <si>
    <t>HexNAc(3)Hex(3)Fuc(2)</t>
  </si>
  <si>
    <t>HexNAc(3)Hex(4)Fuc(1)</t>
  </si>
  <si>
    <t>HexNAc(3)Hex(5)</t>
  </si>
  <si>
    <t>HexNAc(4)Hex(3)Fuc(1)</t>
  </si>
  <si>
    <t>HexNAc(4)Hex(4)</t>
  </si>
  <si>
    <t>HexNAc(5)Hex(3)</t>
  </si>
  <si>
    <t>HexNAc(2)Hex(7)</t>
  </si>
  <si>
    <t>HexNAc(3)Hex(4)NeuAc(1)</t>
  </si>
  <si>
    <t>HexNAc(3)Hex(4)Fuc(2)</t>
  </si>
  <si>
    <t>HexNAc(3)Hex(4)NeuGc(1)</t>
  </si>
  <si>
    <t>HexNAc(3)Hex(5)Fuc(1)</t>
  </si>
  <si>
    <t>HexNAc(3)Hex(6)</t>
  </si>
  <si>
    <t>HexNAc(4)Hex(3)NeuAc(1)</t>
  </si>
  <si>
    <t>HexNAc(4)Hex(3)Fuc(2)</t>
  </si>
  <si>
    <t>HexNAc(4)Hex(3)NeuGc(1)</t>
  </si>
  <si>
    <t>HexNAc(4)Hex(4)Fuc(1)</t>
  </si>
  <si>
    <t>HexNAc(4)Hex(5)</t>
  </si>
  <si>
    <t>HexNAc(5)Hex(3)Fuc(1)</t>
  </si>
  <si>
    <t>HexNAc(5)Hex(4)</t>
  </si>
  <si>
    <t>HexNAc(3)Hex(4)Fuc(1)NeuAc(1)</t>
  </si>
  <si>
    <t>HexNAc(2)Hex(8)</t>
  </si>
  <si>
    <t>HexNAc(6)Hex(3)</t>
  </si>
  <si>
    <t>HexNAc(3)Hex(4)Fuc(1)NeuGc(1)</t>
  </si>
  <si>
    <t>HexNAc(3)Hex(5)NeuAc(1)</t>
  </si>
  <si>
    <t>HexNAc(3)Hex(5)NeuGc(1)</t>
  </si>
  <si>
    <t>HexNAc(3)Hex(6)Fuc(1)</t>
  </si>
  <si>
    <t>HexNAc(4)Hex(3)Fuc(3)</t>
  </si>
  <si>
    <t>HexNAc(4)Hex(4)NeuAc(1)</t>
  </si>
  <si>
    <t>HexNAc(4)Hex(4)Fuc(2)</t>
  </si>
  <si>
    <t>HexNAc(4)Hex(4)NeuGc(1)</t>
  </si>
  <si>
    <t>HexNAc(4)Hex(5)Fuc(1)</t>
  </si>
  <si>
    <t>HexNAc(4)Hex(6)</t>
  </si>
  <si>
    <t>HexNAc(5)Hex(4)Fuc(1)</t>
  </si>
  <si>
    <t>HexNAc(5)Hex(5)</t>
  </si>
  <si>
    <t>HexNAc(6)Hex(3)Fuc(1)</t>
  </si>
  <si>
    <t>HexNAc(2)Hex(9)</t>
  </si>
  <si>
    <t>HexNAc(6)Hex(4)</t>
  </si>
  <si>
    <t>HexNAc(3)Hex(6)NeuAc(1)</t>
  </si>
  <si>
    <t>HexNAc(3)Hex(6)NeuGc(1)</t>
  </si>
  <si>
    <t>HexNAc(4)Hex(4)Fuc(1)NeuAc(1)</t>
  </si>
  <si>
    <t>HexNAc(7)Hex(3)</t>
  </si>
  <si>
    <t>HexNAc(4)Hex(4)Fuc(1)NeuGc(1)</t>
  </si>
  <si>
    <t>HexNAc(4)Hex(5)NeuAc(1)</t>
  </si>
  <si>
    <t>HexNAc(4)Hex(5)Fuc(2)</t>
  </si>
  <si>
    <t>HexNAc(4)Hex(5)NeuGc(1)</t>
  </si>
  <si>
    <t>HexNAc(4)Hex(6)Fuc(1)</t>
  </si>
  <si>
    <t>HexNAc(5)Hex(3)Fuc(1)NeuAc(1)</t>
  </si>
  <si>
    <t>HexNAc(4)Hex(7)</t>
  </si>
  <si>
    <t>HexNAc(5)Hex(4)NeuAc(1)</t>
  </si>
  <si>
    <t>HexNAc(5)Hex(3)Fuc(1)NeuGc(1)</t>
  </si>
  <si>
    <t>HexNAc(5)Hex(4)Fuc(2)</t>
  </si>
  <si>
    <t>HexNAc(5)Hex(4)NeuGc(1)</t>
  </si>
  <si>
    <t>HexNAc(5)Hex(5)Fuc(1)</t>
  </si>
  <si>
    <t>HexNAc(5)Hex(6)</t>
  </si>
  <si>
    <t>HexNAc(6)Hex(3)Fuc(2)</t>
  </si>
  <si>
    <t>HexNAc(6)Hex(4)Fuc(1)</t>
  </si>
  <si>
    <t>HexNAc(3)Hex(6)Fuc(1)NeuAc(1)</t>
  </si>
  <si>
    <t>HexNAc(2)Hex(10)</t>
  </si>
  <si>
    <t>HexNAc(6)Hex(5)</t>
  </si>
  <si>
    <t>HexNAc(3)Hex(6)Fuc(1)NeuGc(1)</t>
  </si>
  <si>
    <t>HexNAc(4)Hex(4)Fuc(2)NeuAc(1)</t>
  </si>
  <si>
    <t>HexNAc(7)Hex(3)Fuc(1)</t>
  </si>
  <si>
    <t>HexNAc(4)Hex(5)Fuc(1)NeuAc(1)</t>
  </si>
  <si>
    <t>HexNAc(4)Hex(4)Fuc(2)NeuGc(1)</t>
  </si>
  <si>
    <t>HexNAc(4)Hex(5)Fuc(3)</t>
  </si>
  <si>
    <t>HexNAc(7)Hex(4)</t>
  </si>
  <si>
    <t>HexNAc(4)Hex(6)NeuAc(1)</t>
  </si>
  <si>
    <t>HexNAc(4)Hex(5)Fuc(1)NeuGc(1)</t>
  </si>
  <si>
    <t>HexNAc(4)Hex(6)Fuc(2)</t>
  </si>
  <si>
    <t>HexNAc(4)Hex(6)NeuGc(1)</t>
  </si>
  <si>
    <t>HexNAc(4)Hex(7)Fuc(1)</t>
  </si>
  <si>
    <t>HexNAc(5)Hex(4)Fuc(1)NeuAc(1)</t>
  </si>
  <si>
    <t>HexNAc(8)Hex(3)</t>
  </si>
  <si>
    <t>HexNAc(5)Hex(4)Fuc(1)NeuGc(1)</t>
  </si>
  <si>
    <t>HexNAc(5)Hex(5)NeuAc(1)</t>
  </si>
  <si>
    <t>HexNAc(5)Hex(5)Fuc(2)</t>
  </si>
  <si>
    <t>HexNAc(5)Hex(5)NeuGc(1)</t>
  </si>
  <si>
    <t>HexNAc(5)Hex(6)Fuc(1)</t>
  </si>
  <si>
    <t>HexNAc(6)Hex(3)Fuc(1)NeuAc(1)</t>
  </si>
  <si>
    <t>HexNAc(6)Hex(3)Fuc(3)</t>
  </si>
  <si>
    <t>HexNAc(5)Hex(7)</t>
  </si>
  <si>
    <t>HexNAc(6)Hex(4)NeuAc(1)</t>
  </si>
  <si>
    <t>HexNAc(6)Hex(3)Fuc(1)NeuGc(1)</t>
  </si>
  <si>
    <t>HexNAc(6)Hex(4)Fuc(2)</t>
  </si>
  <si>
    <t>HexNAc(6)Hex(5)Fuc(1)</t>
  </si>
  <si>
    <t>HexNAc(2)Hex(11)</t>
  </si>
  <si>
    <t>HexNAc(6)Hex(6)</t>
  </si>
  <si>
    <t>HexNAc(4)Hex(5)NeuAc(2)</t>
  </si>
  <si>
    <t>HexNAc(4)Hex(5)Fuc(2)NeuAc(1)</t>
  </si>
  <si>
    <t>HexNAc(4)Hex(5)Fuc(4)</t>
  </si>
  <si>
    <t>HexNAc(7)Hex(4)Fuc(1)</t>
  </si>
  <si>
    <t>HexNAc(4)Hex(5)NeuAc(1)NeuGc(1)</t>
  </si>
  <si>
    <t>HexNAc(4)Hex(5)Fuc(2)NeuGc(1)</t>
  </si>
  <si>
    <t>HexNAc(4)Hex(6)Fuc(1)NeuAc(1)</t>
  </si>
  <si>
    <t>HexNAc(4)Hex(6)Fuc(3)</t>
  </si>
  <si>
    <t>HexNAc(4)Hex(5)NeuGc(2)</t>
  </si>
  <si>
    <t>HexNAc(4)Hex(6)Fuc(1)NeuGc(1)</t>
  </si>
  <si>
    <t>HexNAc(4)Hex(7)NeuAc(1)</t>
  </si>
  <si>
    <t>HexNAc(4)Hex(7)Fuc(2)</t>
  </si>
  <si>
    <t>HexNAc(5)Hex(4)NeuAc(2)</t>
  </si>
  <si>
    <t>HexNAc(5)Hex(4)Fuc(2)NeuAc(1)</t>
  </si>
  <si>
    <t>HexNAc(8)Hex(3)Fuc(1)</t>
  </si>
  <si>
    <t>HexNAc(5)Hex(4)NeuAc(1)NeuGc(1)</t>
  </si>
  <si>
    <t>HexNAc(5)Hex(5)Fuc(1)NeuAc(1)</t>
  </si>
  <si>
    <t>HexNAc(5)Hex(4)Fuc(2)NeuGc(1)</t>
  </si>
  <si>
    <t>HexNAc(5)Hex(5)Fuc(3)</t>
  </si>
  <si>
    <t>HexNAc(8)Hex(4)</t>
  </si>
  <si>
    <t>HexNAc(5)Hex(4)NeuGc(2)</t>
  </si>
  <si>
    <t>HexNAc(5)Hex(5)Fuc(1)NeuGc(1)</t>
  </si>
  <si>
    <t>HexNAc(5)Hex(6)NeuAc(1)</t>
  </si>
  <si>
    <t>HexNAc(5)Hex(6)Fuc(2)</t>
  </si>
  <si>
    <t>HexNAc(6)Hex(3)Fuc(2)NeuAc(1)</t>
  </si>
  <si>
    <t>HexNAc(5)Hex(6)NeuGc(1)</t>
  </si>
  <si>
    <t>HexNAc(5)Hex(7)Fuc(1)</t>
  </si>
  <si>
    <t>HexNAc(6)Hex(3)Fuc(2)NeuGc(1)</t>
  </si>
  <si>
    <t>HexNAc(5)Hex(8)</t>
  </si>
  <si>
    <t>HexNAc(9)Hex(3)</t>
  </si>
  <si>
    <t>HexNAc(6)Hex(5)Fuc(2)</t>
  </si>
  <si>
    <t>HexNAc(6)Hex(6)Fuc(1)</t>
  </si>
  <si>
    <t>HexNAc(2)Hex(12)</t>
  </si>
  <si>
    <t>HexNAc(4)Hex(5)Fuc(1)NeuAc(2)</t>
  </si>
  <si>
    <t>HexNAc(6)Hex(7)</t>
  </si>
  <si>
    <t>HexNAc(7)Hex(4)Fuc(2)</t>
  </si>
  <si>
    <t>HexNAc(4)Hex(5)Fuc(1)NeuAc(1)NeuGc(1)</t>
  </si>
  <si>
    <t>HexNAc(4)Hex(5)Fuc(1)NeuGc(2)</t>
  </si>
  <si>
    <t>HexNAc(5)Hex(4)Fuc(1)NeuAc(2)</t>
  </si>
  <si>
    <t>HexNAc(7)Hex(6)</t>
  </si>
  <si>
    <t>HexNAc(5)Hex(5)NeuAc(2)</t>
  </si>
  <si>
    <t>HexNAc(5)Hex(4)Fuc(1)NeuAc(1)NeuGc(1)</t>
  </si>
  <si>
    <t>HexNAc(5)Hex(4)Fuc(1)NeuGc(2)</t>
  </si>
  <si>
    <t>HexNAc(5)Hex(5)NeuAc(1)NeuGc(1)</t>
  </si>
  <si>
    <t>HexNAc(5)Hex(6)Fuc(1)NeuAc(1)</t>
  </si>
  <si>
    <t>HexNAc(5)Hex(6)Fuc(3)</t>
  </si>
  <si>
    <t>HexNAc(6)Hex(3)Fuc(1)NeuAc(2)</t>
  </si>
  <si>
    <t>HexNAc(8)Hex(5)</t>
  </si>
  <si>
    <t>HexNAc(5)Hex(5)NeuGc(2)</t>
  </si>
  <si>
    <t>HexNAc(5)Hex(6)Fuc(1)NeuGc(1)</t>
  </si>
  <si>
    <t>HexNAc(6)Hex(3)Fuc(1)NeuAc(1)NeuGc(1)</t>
  </si>
  <si>
    <t>HexNAc(5)Hex(8)Fuc(1)</t>
  </si>
  <si>
    <t>HexNAc(9)Hex(3)Fuc(1)</t>
  </si>
  <si>
    <t>HexNAc(6)Hex(3)Fuc(1)NeuGc(2)</t>
  </si>
  <si>
    <t>HexNAc(9)Hex(4)</t>
  </si>
  <si>
    <t>HexNAc(6)Hex(6)Fuc(2)</t>
  </si>
  <si>
    <t>HexNAc(6)Hex(7)Fuc(1)</t>
  </si>
  <si>
    <t>HexNAc(7)Hex(6)Fuc(1)</t>
  </si>
  <si>
    <t>HexNAc(5)Hex(5)Fuc(1)NeuAc(2)</t>
  </si>
  <si>
    <t>HexNAc(7)Hex(7)</t>
  </si>
  <si>
    <t>HexNAc(5)Hex(5)Fuc(1)NeuAc(1)NeuGc(1)</t>
  </si>
  <si>
    <t>HexNAc(5)Hex(6)NeuAc(2)</t>
  </si>
  <si>
    <t>HexNAc(5)Hex(6)Fuc(2)NeuAc(1)</t>
  </si>
  <si>
    <t>HexNAc(8)Hex(5)Fuc(1)</t>
  </si>
  <si>
    <t>HexNAc(5)Hex(5)Fuc(1)NeuGc(2)</t>
  </si>
  <si>
    <t>HexNAc(5)Hex(6)NeuAc(1)NeuGc(1)</t>
  </si>
  <si>
    <t>HexNAc(5)Hex(7)Fuc(1)NeuAc(1)</t>
  </si>
  <si>
    <t>HexNAc(5)Hex(6)Fuc(2)NeuGc(1)</t>
  </si>
  <si>
    <t>HexNAc(8)Hex(6)</t>
  </si>
  <si>
    <t>HexNAc(5)Hex(6)NeuGc(2)</t>
  </si>
  <si>
    <t>HexNAc(5)Hex(9)Fuc(1)</t>
  </si>
  <si>
    <t>HexNAc(9)Hex(4)Fuc(1)</t>
  </si>
  <si>
    <t>HexNAc(6)Hex(6)Fuc(3)</t>
  </si>
  <si>
    <t>HexNAc(4)Hex(5)Fuc(3)NeuAc(2)</t>
  </si>
  <si>
    <t>HexNAc(4)Hex(5)Fuc(3)NeuAc(1)</t>
  </si>
  <si>
    <t>HexNAc(6)Hex(7)NeuAc(1)</t>
  </si>
  <si>
    <t>HexNAc(4)Hex(5)Fuc(3)NeuAc(1)NeuGc(1)</t>
  </si>
  <si>
    <t>HexNAc(6)Hex(7)NeuGc(1)</t>
  </si>
  <si>
    <t>HexNAc(4)Hex(5)Fuc(3)NeuGc(2)</t>
  </si>
  <si>
    <t>HexNAc(6)Hex(9)</t>
  </si>
  <si>
    <t>HexNAc(7)Hex(7)Fuc(1)</t>
  </si>
  <si>
    <t>HexNAc(5)Hex(6)Fuc(1)NeuAc(2)</t>
  </si>
  <si>
    <t>HexNAc(5)Hex(6)Fuc(3)NeuAc(1)</t>
  </si>
  <si>
    <t>HexNAc(7)Hex(8)</t>
  </si>
  <si>
    <t>HexNAc(5)Hex(6)Fuc(1)NeuAc(1)NeuGc(1)</t>
  </si>
  <si>
    <t>HexNAc(5)Hex(6)Fuc(3)NeuGc(1)</t>
  </si>
  <si>
    <t>HexNAc(5)Hex(6)Fuc(1)NeuGc(2)</t>
  </si>
  <si>
    <t>HexNAc(8)Hex(7)</t>
  </si>
  <si>
    <t>HexNAc(6)Hex(6)NeuAc(1)</t>
  </si>
  <si>
    <t>HexNAc(6)Hex(6)NeuAc(2)</t>
  </si>
  <si>
    <t>HexNAc(6)Hex(6)NeuAc(1)NeuGc(1)</t>
  </si>
  <si>
    <t>HexNAc(6)Hex(7)Fuc(1)NeuAc(1)</t>
  </si>
  <si>
    <t>HexNAc(9)Hex(6)</t>
  </si>
  <si>
    <t>HexNAc(6)Hex(6)NeuGc(2)</t>
  </si>
  <si>
    <t>HexNAc(6)Hex(7)Fuc(1)NeuGc(1)</t>
  </si>
  <si>
    <t>HexNAc(6)Hex(8)NeuAc(1)</t>
  </si>
  <si>
    <t>HexNAc(5)Hex(6)NeuAc(3)</t>
  </si>
  <si>
    <t>HexNAc(7)Hex(8)Fuc(1)</t>
  </si>
  <si>
    <t>HexNAc(5)Hex(6)NeuAc(2)NeuGc(1)</t>
  </si>
  <si>
    <t>HexNAc(5)Hex(7)Fuc(1)NeuAc(2)</t>
  </si>
  <si>
    <t>HexNAc(5)Hex(6)NeuAc(1)NeuGc(2)</t>
  </si>
  <si>
    <t>HexNAc(5)Hex(7)Fuc(1)NeuAc(1)NeuGc(1)</t>
  </si>
  <si>
    <t>HexNAc(5)Hex(8)Fuc(4)</t>
  </si>
  <si>
    <t>HexNAc(5)Hex(6)NeuGc(3)</t>
  </si>
  <si>
    <t>HexNAc(5)Hex(7)Fuc(1)NeuGc(2)</t>
  </si>
  <si>
    <t>HexNAc(6)Hex(6)Fuc(1)NeuAc(2)</t>
  </si>
  <si>
    <t>HexNAc(6)Hex(6)Fuc(1)NeuAc(1)</t>
  </si>
  <si>
    <t>HexNAc(8)Hex(8)</t>
  </si>
  <si>
    <t>HexNAc(6)Hex(6)Fuc(1)NeuAc(1)NeuGc(1)</t>
  </si>
  <si>
    <t>HexNAc(6)Hex(7)NeuAc(2)</t>
  </si>
  <si>
    <t>HexNAc(6)Hex(7)Fuc(4)</t>
  </si>
  <si>
    <t>HexNAc(9)Hex(6)Fuc(1)</t>
  </si>
  <si>
    <t>HexNAc(6)Hex(7)NeuAc(1)NeuGc(1)</t>
  </si>
  <si>
    <t>HexNAc(6)Hex(6)Fuc(1)NeuGc(2)</t>
  </si>
  <si>
    <t>HexNAc(6)Hex(8)Fuc(1)NeuAc(1)</t>
  </si>
  <si>
    <t>HexNAc(6)Hex(7)NeuGc(2)</t>
  </si>
  <si>
    <t>HexNAc(5)Hex(6)Fuc(1)NeuAc(3)</t>
  </si>
  <si>
    <t>HexNAc(7)Hex(8)NeuAc(1)</t>
  </si>
  <si>
    <t>HexNAc(5)Hex(6)Fuc(1)NeuAc(2)NeuGc(1)</t>
  </si>
  <si>
    <t>HexNAc(7)Hex(8)NeuGc(1)</t>
  </si>
  <si>
    <t>HexNAc(5)Hex(6)Fuc(1)NeuAc(1)NeuGc(2)</t>
  </si>
  <si>
    <t>HexNAc(6)Hex(5)Fuc(1)NeuAc(2)</t>
  </si>
  <si>
    <t>HexNAc(6)Hex(5)Fuc(1)NeuAc(1)</t>
  </si>
  <si>
    <t>HexNAc(6)Hex(5)Fuc(1)NeuAc(3)</t>
  </si>
  <si>
    <t>HexNAc(5)Hex(6)Fuc(1)NeuGc(3)</t>
  </si>
  <si>
    <t>HexNAc(6)Hex(5)Fuc(1)NeuAc(1)NeuGc(1)</t>
  </si>
  <si>
    <t>HexNAc(6)Hex(5)Fuc(1)NeuAc(2)NeuGc(1)</t>
  </si>
  <si>
    <t>HexNAc(8)Hex(8)Fuc(1)</t>
  </si>
  <si>
    <t>HexNAc(6)Hex(5)Fuc(1)NeuAc(1)NeuGc(2)</t>
  </si>
  <si>
    <t>HexNAc(6)Hex(7)Fuc(1)NeuAc(2)</t>
  </si>
  <si>
    <t>HexNAc(8)Hex(9)</t>
  </si>
  <si>
    <t>HexNAc(6)Hex(7)Fuc(5)</t>
  </si>
  <si>
    <t>HexNAc(6)Hex(5)Fuc(1)NeuGc(3)</t>
  </si>
  <si>
    <t>HexNAc(6)Hex(11)Fuc(1)</t>
  </si>
  <si>
    <t>HexNAc(10)Hex(7)</t>
  </si>
  <si>
    <t>HexNAc(6)Hex(6)Fuc(1)NeuAc(3)</t>
  </si>
  <si>
    <t>HexNAc(6)Hex(6)Fuc(1)NeuAc(2)NeuGc(1)</t>
  </si>
  <si>
    <t>HexNAc(6)Hex(7)NeuAc(3)</t>
  </si>
  <si>
    <t>HexNAc(6)Hex(7)Fuc(4)NeuAc(1)</t>
  </si>
  <si>
    <t>HexNAc(8)Hex(9)Fuc(1)</t>
  </si>
  <si>
    <t>HexNAc(6)Hex(7)NeuAc(2)NeuGc(1)</t>
  </si>
  <si>
    <t>HexNAc(6)Hex(6)Fuc(1)NeuAc(1)NeuGc(2)</t>
  </si>
  <si>
    <t>HexNAc(6)Hex(7)Fuc(4)NeuGc(1)</t>
  </si>
  <si>
    <t>HexNAc(6)Hex(6)Fuc(1)NeuGc(3)</t>
  </si>
  <si>
    <t>HexNAc(6)Hex(10)Fuc(1)NeuAc(1)</t>
  </si>
  <si>
    <t>HexNAc(7)Hex(7)Fuc(1)NeuAc(2)</t>
  </si>
  <si>
    <t>HexNAc(6)Hex(10)Fuc(1)NeuGc(1)</t>
  </si>
  <si>
    <t>HexNAc(6)Hex(7)Fuc(1)NeuAc(3)</t>
  </si>
  <si>
    <t>HexNAc(6)Hex(9)Fuc(1)NeuAc(2)</t>
  </si>
  <si>
    <t>HexNAc(6)Hex(9)Fuc(1)NeuAc(1)NeuGc(1)</t>
  </si>
  <si>
    <t>HexNAc(9)Hex(9)Fuc(1)</t>
  </si>
  <si>
    <t>HexNAc(7)Hex(8)Fuc(1)NeuAc(1)</t>
  </si>
  <si>
    <t>HexNAc(7)Hex(8)Fuc(1)NeuAc(2)</t>
  </si>
  <si>
    <t>HexNAc(9)Hex(10)</t>
  </si>
  <si>
    <t>HexNAc(7)Hex(8)Fuc(1)NeuAc(1)NeuGc(1)</t>
  </si>
  <si>
    <t>HexNAc(7)Hex(8)Fuc(1)NeuGc(2)</t>
  </si>
  <si>
    <t>HexNAc(6)Hex(7)NeuAc(4)</t>
  </si>
  <si>
    <t>HexNAc(6)Hex(7)NeuAc(3)NeuGc(1)</t>
  </si>
  <si>
    <t>HexNAc(6)Hex(7)NeuAc(2)NeuGc(2)</t>
  </si>
  <si>
    <t>HexNAc(7)Hex(7)Fuc(1)NeuAc(3)</t>
  </si>
  <si>
    <t>HexNAc(7)Hex(7)Fuc(1)NeuAc(2)NeuGc(1)</t>
  </si>
  <si>
    <t>HexNAc(9)Hex(10)Fuc(1)</t>
  </si>
  <si>
    <t>HexNAc(7)Hex(7)Fuc(1)NeuAc(1)NeuGc(2)</t>
  </si>
  <si>
    <t>HexNAc(6)Hex(7)Fuc(1)NeuAc(4)</t>
  </si>
  <si>
    <t>HexNAc(6)Hex(7)Fuc(1)NeuAc(3)NeuGc(1)</t>
  </si>
  <si>
    <t>HexNAc(7)Hex(6)Fuc(1)NeuAc(4)</t>
  </si>
  <si>
    <t>HexNAc(7)Hex(6)Fuc(1)NeuAc(3)NeuGc(1)</t>
  </si>
  <si>
    <t>HexNAc(7)Hex(8)Fuc(1)NeuAc(3)</t>
  </si>
  <si>
    <t>HexNAc(7)Hex(8)Fuc(1)NeuAc(2)NeuGc(1)</t>
  </si>
  <si>
    <t>HexNAc(7)Hex(8)Fuc(1)NeuAc(1)NeuGc(2)</t>
  </si>
  <si>
    <t>HexNAc(7)Hex(8)Fuc(1)NeuGc(3)</t>
  </si>
  <si>
    <t>HexNAc(10)Hex(10)Fuc(1)</t>
  </si>
  <si>
    <t>HexNAc(7)Hex(7)Fuc(1)NeuAc(4)</t>
  </si>
  <si>
    <t>HexNAc(7)Hex(8)Fuc(1)NeuAc(4)</t>
  </si>
  <si>
    <t>HexNAc(8)Hex(9)Fuc(1)NeuAc(3)</t>
  </si>
  <si>
    <t>HexNAc(8)Hex(9)Fuc(1)NeuAc(2)NeuGc(1)</t>
  </si>
  <si>
    <t>HexNAc(8)Hex(9)Fuc(1)NeuAc(1)NeuGc(2)</t>
  </si>
  <si>
    <t>HexNAc(11)Hex(11)NeuAc(1)</t>
  </si>
  <si>
    <t>HexNAc(11)Hex(11)NeuGc(1)</t>
  </si>
  <si>
    <t>HexNAc(8)Hex(9)Fuc(1)NeuAc(4)</t>
  </si>
  <si>
    <t>HexNAc(9)Hex(10)Fuc(1)NeuAc(4)</t>
  </si>
  <si>
    <t>SO4/Phospho</t>
  </si>
  <si>
    <t>NeuAc/NeuGc</t>
  </si>
  <si>
    <t>HexNac(2)Hex(1)Fuc(1)</t>
  </si>
  <si>
    <t>HexNac(2)Hex(2)Fuc(1)NeuGc(1)Phos(3)</t>
  </si>
  <si>
    <t>HexNac(2)Hex(3)Fuc(1)NeuAc(1)</t>
  </si>
  <si>
    <t>HexNac(10)Hex(4)Fuc(1)NeuAc(1)</t>
  </si>
  <si>
    <t>HexNac</t>
  </si>
  <si>
    <t>NEUGc</t>
  </si>
  <si>
    <t>NeuAc/NEUGc</t>
  </si>
  <si>
    <t>SO4/Phos</t>
  </si>
  <si>
    <t>Sulfo</t>
  </si>
  <si>
    <t>Phospho</t>
  </si>
  <si>
    <t>PASTE COMPOSITION HERE</t>
  </si>
  <si>
    <t>M9GLC</t>
  </si>
  <si>
    <t>HexNAc(3)(x)</t>
  </si>
  <si>
    <t>HexNAc(3)(F)(x)</t>
  </si>
  <si>
    <t>HexNAc(4)(x)</t>
  </si>
  <si>
    <t>HexNAc(4)(F)(x)</t>
  </si>
  <si>
    <t>HexNAc(5)(x)</t>
  </si>
  <si>
    <t>HexNAc(5)(F)(x)</t>
  </si>
  <si>
    <t>HexNAc(6+)(x)</t>
  </si>
  <si>
    <t>HexNAc(6+)(F)(x)</t>
  </si>
  <si>
    <t>HexNAc(3)Hex(5)Fuc(1)NeuAc(1)</t>
  </si>
  <si>
    <t>Start_x000D_
AA</t>
  </si>
  <si>
    <t>End_x000D_
AA</t>
  </si>
  <si>
    <t>Var. Pos._x000D_
Protein</t>
  </si>
  <si>
    <t>Sequence</t>
  </si>
  <si>
    <t>Glycans</t>
  </si>
  <si>
    <t>XIC area_x000D_
summed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</si>
</sst>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);\(#,##0\);\–_);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b/>
      <i/>
      <sz val="8"/>
      <color theme="1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10" fontId="0" fillId="0" borderId="0" xfId="0" applyNumberFormat="1"/>
    <xf numFmtId="0" fontId="0" fillId="0" borderId="0" xfId="0" applyFill="1"/>
    <xf numFmtId="10" fontId="0" fillId="0" borderId="0" xfId="0" applyNumberFormat="1" applyFill="1"/>
    <xf numFmtId="9" fontId="0" fillId="0" borderId="0" xfId="1" applyFont="1" applyFill="1"/>
    <xf numFmtId="10" fontId="0" fillId="0" borderId="0" xfId="1" applyNumberFormat="1" applyFont="1"/>
    <xf numFmtId="0" fontId="2" fillId="0" borderId="0" xfId="0" applyFont="1"/>
    <xf numFmtId="0" fontId="3" fillId="0" borderId="0" xfId="0" applyFont="1"/>
    <xf numFmtId="0" fontId="2" fillId="4" borderId="0" xfId="0" applyFont="1" applyFill="1"/>
    <xf numFmtId="0" fontId="0" fillId="3" borderId="0" xfId="0" applyFill="1"/>
    <xf numFmtId="0" fontId="4" fillId="0" borderId="0" xfId="0" applyFont="1" applyAlignment="1">
      <alignment horizontal="center"/>
    </xf>
    <xf numFmtId="0" fontId="5" fillId="0" borderId="0" xfId="0" applyFont="1"/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0" borderId="0" xfId="0" applyFill="1" applyAlignment="1">
      <alignment vertical="center" wrapText="1"/>
    </xf>
    <xf numFmtId="10" fontId="0" fillId="0" borderId="0" xfId="1" applyNumberFormat="1" applyFont="1" applyFill="1"/>
    <xf numFmtId="11" fontId="0" fillId="0" borderId="0" xfId="0" applyNumberFormat="1" applyFill="1"/>
    <xf numFmtId="3" fontId="0" fillId="0" borderId="0" xfId="0" applyNumberFormat="1" applyFill="1"/>
    <xf numFmtId="0" fontId="0" fillId="0" borderId="0" xfId="0" applyFont="1" applyFill="1" applyBorder="1" applyAlignment="1">
      <alignment wrapText="1"/>
    </xf>
    <xf numFmtId="2" fontId="8" fillId="0" borderId="0" xfId="0" applyNumberFormat="1" applyFont="1" applyFill="1" applyBorder="1" applyAlignment="1">
      <alignment horizontal="center"/>
    </xf>
    <xf numFmtId="0" fontId="0" fillId="0" borderId="0" xfId="0" applyNumberFormat="1" applyFill="1"/>
    <xf numFmtId="0" fontId="0" fillId="0" borderId="0" xfId="1" applyNumberFormat="1" applyFont="1" applyFill="1"/>
    <xf numFmtId="0" fontId="0" fillId="0" borderId="0" xfId="0" applyAlignment="1">
      <alignment wrapText="1"/>
    </xf>
    <xf numFmtId="11" fontId="0" fillId="0" borderId="0" xfId="0" applyNumberFormat="1"/>
    <xf numFmtId="3" fontId="0" fillId="0" borderId="0" xfId="0" applyNumberFormat="1"/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12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7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ED7A2B"/>
      <color rgb="FFFF00FF"/>
      <color rgb="FFF9B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F6-49F6-8498-6572D467C19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5F6-49F6-8498-6572D467C19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5F6-49F6-8498-6572D467C19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5F6-49F6-8498-6572D467C1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5F6-49F6-8498-6572D467C19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5F6-49F6-8498-6572D467C19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5F6-49F6-8498-6572D467C19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F5F6-49F6-8498-6572D467C19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5F6-49F6-8498-6572D467C19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F5F6-49F6-8498-6572D467C19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F5F6-49F6-8498-6572D467C19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F5F6-49F6-8498-6572D467C190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F5F6-49F6-8498-6572D467C19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F5F6-49F6-8498-6572D467C190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5F6-49F6-8498-6572D467C19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F5F6-49F6-8498-6572D467C19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5F6-49F6-8498-6572D467C19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F5F6-49F6-8498-6572D467C190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F5F6-49F6-8498-6572D467C190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F5F6-49F6-8498-6572D467C190}"/>
              </c:ext>
            </c:extLst>
          </c:dPt>
          <c:cat>
            <c:strRef>
              <c:f>'1'!$L$22:$M$22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5F6-49F6-8498-6572D467C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6-476F-95D8-F6E5DBAB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42-430F-88DE-2FC288D84B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42-430F-88DE-2FC288D84B79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142-430F-88DE-2FC288D84B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05-4E68-915F-4267D5F8D0D9}"/>
              </c:ext>
            </c:extLst>
          </c:dPt>
          <c:cat>
            <c:strRef>
              <c:f>'1'!$M$24:$M$27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42-430F-88DE-2FC288D8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98-4B1C-874B-31D0D1C6280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98-4B1C-874B-31D0D1C6280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98-4B1C-874B-31D0D1C6280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98-4B1C-874B-31D0D1C6280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C98-4B1C-874B-31D0D1C6280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1C98-4B1C-874B-31D0D1C6280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C98-4B1C-874B-31D0D1C6280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1C98-4B1C-874B-31D0D1C6280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1C98-4B1C-874B-31D0D1C6280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1C98-4B1C-874B-31D0D1C6280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1C98-4B1C-874B-31D0D1C6280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98-4B1C-874B-31D0D1C62802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1C98-4B1C-874B-31D0D1C6280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1C98-4B1C-874B-31D0D1C6280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1C98-4B1C-874B-31D0D1C62802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1C98-4B1C-874B-31D0D1C62802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1C98-4B1C-874B-31D0D1C62802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1C98-4B1C-874B-31D0D1C62802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1C98-4B1C-874B-31D0D1C62802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1C98-4B1C-874B-31D0D1C62802}"/>
              </c:ext>
            </c:extLst>
          </c:dPt>
          <c:cat>
            <c:strRef>
              <c:f>'2'!$L$22:$M$22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C98-4B1C-874B-31D0D1C62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D-4E49-A5A1-DEEAFD553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ED-4E97-A876-CD32A615A8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ED-4E97-A876-CD32A615A86D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ED-4E97-A876-CD32A615A86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ED-4E97-A876-CD32A615A86D}"/>
              </c:ext>
            </c:extLst>
          </c:dPt>
          <c:cat>
            <c:strRef>
              <c:f>'2'!$M$24:$M$27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ED-4E97-A876-CD32A615A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62-4184-B4E6-1464FC20BF5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562-4184-B4E6-1464FC20BF5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62-4184-B4E6-1464FC20BF5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562-4184-B4E6-1464FC20BF5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562-4184-B4E6-1464FC20BF5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562-4184-B4E6-1464FC20BF5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562-4184-B4E6-1464FC20BF5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B562-4184-B4E6-1464FC20BF51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B562-4184-B4E6-1464FC20BF5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562-4184-B4E6-1464FC20BF51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B562-4184-B4E6-1464FC20BF51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B562-4184-B4E6-1464FC20BF51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B562-4184-B4E6-1464FC20BF51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B562-4184-B4E6-1464FC20BF51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B562-4184-B4E6-1464FC20BF51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B562-4184-B4E6-1464FC20BF51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B562-4184-B4E6-1464FC20BF51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B562-4184-B4E6-1464FC20BF51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B562-4184-B4E6-1464FC20BF51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B562-4184-B4E6-1464FC20BF51}"/>
              </c:ext>
            </c:extLst>
          </c:dPt>
          <c:cat>
            <c:strRef>
              <c:f>'3'!$L$22:$M$22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'3'!$N$2:$N$21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562-4184-B4E6-1464FC20B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'3'!$M$2:$M$21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'3'!$N$2:$N$21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D1B-8804-1D4CD1834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77-4E2C-AFF6-68C2B7B74D1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77-4E2C-AFF6-68C2B7B74D16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77-4E2C-AFF6-68C2B7B74D1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E77-4E2C-AFF6-68C2B7B74D16}"/>
              </c:ext>
            </c:extLst>
          </c:dPt>
          <c:cat>
            <c:strRef>
              <c:f>'3'!$M$24:$M$27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'3'!$N$24:$N$27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77-4E2C-AFF6-68C2B7B7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2C-4213-9246-FD601CF3A6C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2C-4213-9246-FD601CF3A6C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2C-4213-9246-FD601CF3A6C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F2C-4213-9246-FD601CF3A6C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F2C-4213-9246-FD601CF3A6C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F2C-4213-9246-FD601CF3A6C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F2C-4213-9246-FD601CF3A6C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9F2C-4213-9246-FD601CF3A6C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9F2C-4213-9246-FD601CF3A6C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F2C-4213-9246-FD601CF3A6C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9F2C-4213-9246-FD601CF3A6C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9F2C-4213-9246-FD601CF3A6CE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9F2C-4213-9246-FD601CF3A6C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9F2C-4213-9246-FD601CF3A6C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9F2C-4213-9246-FD601CF3A6CE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9F2C-4213-9246-FD601CF3A6CE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9F2C-4213-9246-FD601CF3A6CE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9F2C-4213-9246-FD601CF3A6CE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9F2C-4213-9246-FD601CF3A6CE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9F2C-4213-9246-FD601CF3A6CE}"/>
              </c:ext>
            </c:extLst>
          </c:dPt>
          <c:cat>
            <c:strRef>
              <c:f>'4'!$L$22:$M$22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'4'!$N$2:$N$21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F2C-4213-9246-FD601CF3A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'4'!$M$2:$M$21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'4'!$N$2:$N$21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5-4E64-B618-D99676B53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EE-461D-996E-DD11F5BED2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EE-461D-996E-DD11F5BED267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EE-461D-996E-DD11F5BED2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EE-461D-996E-DD11F5BED267}"/>
              </c:ext>
            </c:extLst>
          </c:dPt>
          <c:cat>
            <c:strRef>
              <c:f>'4'!$M$24:$M$27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'4'!$N$24:$N$27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EE-461D-996E-DD11F5BED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BB2-48F3-B069-A20EF17D69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B2-48F3-B069-A20EF17D69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BB2-48F3-B069-A20EF17D69F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BB2-48F3-B069-A20EF17D69F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BB2-48F3-B069-A20EF17D69F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BB2-48F3-B069-A20EF17D69F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BB2-48F3-B069-A20EF17D69F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BB2-48F3-B069-A20EF17D69F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BB2-48F3-B069-A20EF17D69F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BB2-48F3-B069-A20EF17D69F7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BB2-48F3-B069-A20EF17D69F7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BB2-48F3-B069-A20EF17D69F7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BB2-48F3-B069-A20EF17D69F7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BB2-48F3-B069-A20EF17D69F7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BB2-48F3-B069-A20EF17D69F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BB2-48F3-B069-A20EF17D69F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BB2-48F3-B069-A20EF17D69F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BB2-48F3-B069-A20EF17D69F7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BB2-48F3-B069-A20EF17D69F7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EBB2-48F3-B069-A20EF17D69F7}"/>
              </c:ext>
            </c:extLst>
          </c:dPt>
          <c:cat>
            <c:strRef>
              <c:f>'5'!$L$22:$M$22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'5'!$N$2:$N$21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EBB2-48F3-B069-A20EF17D6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'5'!$M$2:$M$21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'5'!$N$2:$N$21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4-4877-8C44-D726174A2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C7-4159-8DD1-E8DBDF55E9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C7-4159-8DD1-E8DBDF55E999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C7-4159-8DD1-E8DBDF55E9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C7-4159-8DD1-E8DBDF55E999}"/>
              </c:ext>
            </c:extLst>
          </c:dPt>
          <c:cat>
            <c:strRef>
              <c:f>'5'!$M$24:$M$27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'5'!$N$24:$N$27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C7-4159-8DD1-E8DBDF55E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57-49B9-A4B5-A9D70E50E67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57-49B9-A4B5-A9D70E50E67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57-49B9-A4B5-A9D70E50E67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57-49B9-A4B5-A9D70E50E67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57-49B9-A4B5-A9D70E50E67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57-49B9-A4B5-A9D70E50E67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57-49B9-A4B5-A9D70E50E67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57-49B9-A4B5-A9D70E50E67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5057-49B9-A4B5-A9D70E50E67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5057-49B9-A4B5-A9D70E50E67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5057-49B9-A4B5-A9D70E50E67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5057-49B9-A4B5-A9D70E50E672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5057-49B9-A4B5-A9D70E50E67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5057-49B9-A4B5-A9D70E50E67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5057-49B9-A4B5-A9D70E50E672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5057-49B9-A4B5-A9D70E50E672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5057-49B9-A4B5-A9D70E50E672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5057-49B9-A4B5-A9D70E50E672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5057-49B9-A4B5-A9D70E50E672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5057-49B9-A4B5-A9D70E50E672}"/>
              </c:ext>
            </c:extLst>
          </c:dPt>
          <c:cat>
            <c:strRef>
              <c:f>'6'!$L$22:$M$22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'6'!$N$2:$N$21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057-49B9-A4B5-A9D70E50E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'6'!$M$2:$M$21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'6'!$N$2:$N$21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C-4B1A-A9EB-EA23117B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8-4A39-BE04-2BD35AED2D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8-4A39-BE04-2BD35AED2D26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E8-4A39-BE04-2BD35AED2D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5E8-4A39-BE04-2BD35AED2D26}"/>
              </c:ext>
            </c:extLst>
          </c:dPt>
          <c:cat>
            <c:strRef>
              <c:f>'6'!$M$24:$M$27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'6'!$N$24:$N$27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E8-4A39-BE04-2BD35AED2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7C5-4005-A5D9-72B22CF4623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7C5-4005-A5D9-72B22CF4623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C5-4005-A5D9-72B22CF4623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7C5-4005-A5D9-72B22CF4623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7C5-4005-A5D9-72B22CF4623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7C5-4005-A5D9-72B22CF4623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7C5-4005-A5D9-72B22CF4623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27C5-4005-A5D9-72B22CF4623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C5-4005-A5D9-72B22CF4623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C5-4005-A5D9-72B22CF4623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C5-4005-A5D9-72B22CF4623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7C5-4005-A5D9-72B22CF46230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7C5-4005-A5D9-72B22CF4623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7C5-4005-A5D9-72B22CF46230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7C5-4005-A5D9-72B22CF4623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7C5-4005-A5D9-72B22CF4623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7C5-4005-A5D9-72B22CF4623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7C5-4005-A5D9-72B22CF46230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27C5-4005-A5D9-72B22CF46230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27C5-4005-A5D9-72B22CF46230}"/>
              </c:ext>
            </c:extLst>
          </c:dPt>
          <c:cat>
            <c:strRef>
              <c:f>'7'!$L$22:$M$22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'7'!$N$2:$N$21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7C5-4005-A5D9-72B22CF46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'7'!$M$2:$M$21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'7'!$N$2:$N$21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98-43D8-B023-BDCAFC8E5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99-44BD-8E4F-23CFA3FF16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99-44BD-8E4F-23CFA3FF1648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99-44BD-8E4F-23CFA3FF16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B99-44BD-8E4F-23CFA3FF1648}"/>
              </c:ext>
            </c:extLst>
          </c:dPt>
          <c:cat>
            <c:strRef>
              <c:f>'7'!$M$24:$M$27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'7'!$N$24:$N$27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99-44BD-8E4F-23CFA3FF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98-44D2-AB0D-8519E300037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98-44D2-AB0D-8519E300037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698-44D2-AB0D-8519E300037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698-44D2-AB0D-8519E300037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698-44D2-AB0D-8519E300037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698-44D2-AB0D-8519E300037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698-44D2-AB0D-8519E300037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F698-44D2-AB0D-8519E300037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698-44D2-AB0D-8519E300037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F698-44D2-AB0D-8519E3000377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F698-44D2-AB0D-8519E3000377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F698-44D2-AB0D-8519E3000377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F698-44D2-AB0D-8519E3000377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F698-44D2-AB0D-8519E3000377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698-44D2-AB0D-8519E300037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F698-44D2-AB0D-8519E300037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698-44D2-AB0D-8519E300037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F698-44D2-AB0D-8519E3000377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F698-44D2-AB0D-8519E3000377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F698-44D2-AB0D-8519E3000377}"/>
              </c:ext>
            </c:extLst>
          </c:dPt>
          <c:cat>
            <c:strRef>
              <c:f>'8'!$L$22:$M$22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'8'!$N$2:$N$21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698-44D2-AB0D-8519E3000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'8'!$M$2:$M$21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'8'!$N$2:$N$21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3-4423-974B-EB603AC24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1D-42CE-A684-B986600E93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1D-42CE-A684-B986600E9303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81D-42CE-A684-B986600E930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81D-42CE-A684-B986600E9303}"/>
              </c:ext>
            </c:extLst>
          </c:dPt>
          <c:cat>
            <c:strRef>
              <c:f>'8'!$M$24:$M$27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'8'!$N$24:$N$27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1D-42CE-A684-B986600E9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25-49EA-B68C-F8B151F3850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25-49EA-B68C-F8B151F3850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B25-49EA-B68C-F8B151F3850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B25-49EA-B68C-F8B151F3850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B25-49EA-B68C-F8B151F3850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B25-49EA-B68C-F8B151F3850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B25-49EA-B68C-F8B151F3850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B25-49EA-B68C-F8B151F3850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0B25-49EA-B68C-F8B151F3850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B25-49EA-B68C-F8B151F3850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B25-49EA-B68C-F8B151F3850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0B25-49EA-B68C-F8B151F3850F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0B25-49EA-B68C-F8B151F3850F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0B25-49EA-B68C-F8B151F3850F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0B25-49EA-B68C-F8B151F3850F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0B25-49EA-B68C-F8B151F3850F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0B25-49EA-B68C-F8B151F3850F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0B25-49EA-B68C-F8B151F3850F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0B25-49EA-B68C-F8B151F3850F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0B25-49EA-B68C-F8B151F3850F}"/>
              </c:ext>
            </c:extLst>
          </c:dPt>
          <c:cat>
            <c:strRef>
              <c:f>'9'!$L$22:$M$22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'9'!$N$2:$N$21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B25-49EA-B68C-F8B151F38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'9'!$M$2:$M$21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'9'!$N$2:$N$21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2B-433E-949C-060EFA6E4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28-4548-ACF0-F65DA8E087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28-4548-ACF0-F65DA8E08771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28-4548-ACF0-F65DA8E0877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28-4548-ACF0-F65DA8E08771}"/>
              </c:ext>
            </c:extLst>
          </c:dPt>
          <c:cat>
            <c:strRef>
              <c:f>'9'!$M$24:$M$27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'9'!$N$24:$N$27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28-4548-ACF0-F65DA8E08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D3-467B-A058-069BDD239D3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D3-467B-A058-069BDD239D3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3D3-467B-A058-069BDD239D3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3D3-467B-A058-069BDD239D3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3D3-467B-A058-069BDD239D3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3D3-467B-A058-069BDD239D3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3D3-467B-A058-069BDD239D3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3D3-467B-A058-069BDD239D36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A3D3-467B-A058-069BDD239D3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A3D3-467B-A058-069BDD239D36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A3D3-467B-A058-069BDD239D3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A3D3-467B-A058-069BDD239D36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A3D3-467B-A058-069BDD239D36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A3D3-467B-A058-069BDD239D36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A3D3-467B-A058-069BDD239D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3D3-467B-A058-069BDD239D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A3D3-467B-A058-069BDD239D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A3D3-467B-A058-069BDD239D36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A3D3-467B-A058-069BDD239D36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A3D3-467B-A058-069BDD239D36}"/>
              </c:ext>
            </c:extLst>
          </c:dPt>
          <c:cat>
            <c:strRef>
              <c:f>'10'!$L$22:$M$22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'10'!$N$2:$N$21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3D3-467B-A058-069BDD239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'10'!$M$2:$M$21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'10'!$N$2:$N$21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F-4FE1-B7ED-9D760C776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3E8-4D7D-89BD-76C33C6FD9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3E8-4D7D-89BD-76C33C6FD9DC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3E8-4D7D-89BD-76C33C6FD9D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3E8-4D7D-89BD-76C33C6FD9DC}"/>
              </c:ext>
            </c:extLst>
          </c:dPt>
          <c:cat>
            <c:strRef>
              <c:f>'10'!$M$24:$M$27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'10'!$N$24:$N$27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E8-4D7D-89BD-76C33C6FD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8E-4E13-998B-B7FF6D4DB3F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8E-4E13-998B-B7FF6D4DB3F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8E-4E13-998B-B7FF6D4DB3F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8E-4E13-998B-B7FF6D4DB3F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8E-4E13-998B-B7FF6D4DB3F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48E-4E13-998B-B7FF6D4DB3F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48E-4E13-998B-B7FF6D4DB3F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48E-4E13-998B-B7FF6D4DB3F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048E-4E13-998B-B7FF6D4DB3F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48E-4E13-998B-B7FF6D4DB3F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48E-4E13-998B-B7FF6D4DB3F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048E-4E13-998B-B7FF6D4DB3FF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048E-4E13-998B-B7FF6D4DB3FF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048E-4E13-998B-B7FF6D4DB3FF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048E-4E13-998B-B7FF6D4DB3FF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048E-4E13-998B-B7FF6D4DB3FF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048E-4E13-998B-B7FF6D4DB3FF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048E-4E13-998B-B7FF6D4DB3FF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048E-4E13-998B-B7FF6D4DB3FF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048E-4E13-998B-B7FF6D4DB3FF}"/>
              </c:ext>
            </c:extLst>
          </c:dPt>
          <c:cat>
            <c:strRef>
              <c:f>'11'!$L$22:$M$22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'11'!$N$2:$N$21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48E-4E13-998B-B7FF6D4DB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'11'!$M$2:$M$21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'11'!$N$2:$N$21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58-4EF8-8F7C-86651D309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7C-488A-9310-E101D984A3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7C-488A-9310-E101D984A3F9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27C-488A-9310-E101D984A3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27C-488A-9310-E101D984A3F9}"/>
              </c:ext>
            </c:extLst>
          </c:dPt>
          <c:cat>
            <c:strRef>
              <c:f>'11'!$M$24:$M$27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'11'!$N$24:$N$27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7C-488A-9310-E101D984A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593-4532-856C-A518847F3C2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593-4532-856C-A518847F3C2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593-4532-856C-A518847F3C2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593-4532-856C-A518847F3C2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7593-4532-856C-A518847F3C2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7593-4532-856C-A518847F3C2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7593-4532-856C-A518847F3C2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7593-4532-856C-A518847F3C2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7593-4532-856C-A518847F3C2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7593-4532-856C-A518847F3C2C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7593-4532-856C-A518847F3C2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7593-4532-856C-A518847F3C2C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7593-4532-856C-A518847F3C2C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7593-4532-856C-A518847F3C2C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7593-4532-856C-A518847F3C2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7593-4532-856C-A518847F3C2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7593-4532-856C-A518847F3C2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7593-4532-856C-A518847F3C2C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7593-4532-856C-A518847F3C2C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7593-4532-856C-A518847F3C2C}"/>
              </c:ext>
            </c:extLst>
          </c:dPt>
          <c:cat>
            <c:strRef>
              <c:f>'12'!$L$22:$M$22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'12'!$N$2:$N$21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7593-4532-856C-A518847F3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'12'!$M$2:$M$21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'12'!$N$2:$N$21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F-46CE-9E14-CD9568E5C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3EE-4B7E-81EC-1FFCB9B32D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3EE-4B7E-81EC-1FFCB9B32DF8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3EE-4B7E-81EC-1FFCB9B32DF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3EE-4B7E-81EC-1FFCB9B32DF8}"/>
              </c:ext>
            </c:extLst>
          </c:dPt>
          <c:cat>
            <c:strRef>
              <c:f>'12'!$M$24:$M$27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'12'!$N$24:$N$27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EE-4B7E-81EC-1FFCB9B32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B8-42DB-80D3-43C7ED19244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4B8-42DB-80D3-43C7ED19244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4B8-42DB-80D3-43C7ED19244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4B8-42DB-80D3-43C7ED19244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54B8-42DB-80D3-43C7ED19244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54B8-42DB-80D3-43C7ED19244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4B8-42DB-80D3-43C7ED19244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54B8-42DB-80D3-43C7ED19244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54B8-42DB-80D3-43C7ED19244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54B8-42DB-80D3-43C7ED192447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54B8-42DB-80D3-43C7ED192447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54B8-42DB-80D3-43C7ED192447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54B8-42DB-80D3-43C7ED192447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54B8-42DB-80D3-43C7ED192447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54B8-42DB-80D3-43C7ED19244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54B8-42DB-80D3-43C7ED19244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54B8-42DB-80D3-43C7ED19244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54B8-42DB-80D3-43C7ED192447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54B8-42DB-80D3-43C7ED192447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54B8-42DB-80D3-43C7ED192447}"/>
              </c:ext>
            </c:extLst>
          </c:dPt>
          <c:cat>
            <c:strRef>
              <c:f>'13'!$L$22:$M$22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'13'!$N$2:$N$21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4B8-42DB-80D3-43C7ED192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'13'!$M$2:$M$21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'13'!$N$2:$N$21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5-4309-936D-733A04464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5E-4ECE-960A-531B49BEFA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15E-4ECE-960A-531B49BEFAD0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15E-4ECE-960A-531B49BEFA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15E-4ECE-960A-531B49BEFAD0}"/>
              </c:ext>
            </c:extLst>
          </c:dPt>
          <c:cat>
            <c:strRef>
              <c:f>'13'!$M$24:$M$27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'13'!$N$24:$N$27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15E-4ECE-960A-531B49BEF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0F-4689-8C92-A024D150C99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0F-4689-8C92-A024D150C99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0F-4689-8C92-A024D150C99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0F-4689-8C92-A024D150C99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60F-4689-8C92-A024D150C99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60F-4689-8C92-A024D150C99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60F-4689-8C92-A024D150C99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60F-4689-8C92-A024D150C99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60F-4689-8C92-A024D150C99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60F-4689-8C92-A024D150C99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60F-4689-8C92-A024D150C99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60F-4689-8C92-A024D150C99F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60F-4689-8C92-A024D150C99F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60F-4689-8C92-A024D150C99F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60F-4689-8C92-A024D150C99F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60F-4689-8C92-A024D150C99F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60F-4689-8C92-A024D150C99F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60F-4689-8C92-A024D150C99F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60F-4689-8C92-A024D150C99F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E60F-4689-8C92-A024D150C99F}"/>
              </c:ext>
            </c:extLst>
          </c:dPt>
          <c:cat>
            <c:strRef>
              <c:f>'14'!$L$22:$M$22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'14'!$N$2:$N$21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E60F-4689-8C92-A024D150C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'14'!$M$2:$M$21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'14'!$N$2:$N$21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4-464C-A6F8-6AF693F70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7D3-40F1-B440-C35F04DEF4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7D3-40F1-B440-C35F04DEF4FE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7D3-40F1-B440-C35F04DEF4F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7D3-40F1-B440-C35F04DEF4FE}"/>
              </c:ext>
            </c:extLst>
          </c:dPt>
          <c:cat>
            <c:strRef>
              <c:f>'14'!$M$24:$M$27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'14'!$N$24:$N$27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D3-40F1-B440-C35F04DEF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723-401E-AB34-45F58D4F228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723-401E-AB34-45F58D4F228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23-401E-AB34-45F58D4F228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723-401E-AB34-45F58D4F228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723-401E-AB34-45F58D4F228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723-401E-AB34-45F58D4F228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723-401E-AB34-45F58D4F228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2723-401E-AB34-45F58D4F228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23-401E-AB34-45F58D4F228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23-401E-AB34-45F58D4F228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23-401E-AB34-45F58D4F228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723-401E-AB34-45F58D4F2280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723-401E-AB34-45F58D4F228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723-401E-AB34-45F58D4F2280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723-401E-AB34-45F58D4F228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723-401E-AB34-45F58D4F228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723-401E-AB34-45F58D4F228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723-401E-AB34-45F58D4F2280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2723-401E-AB34-45F58D4F2280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2723-401E-AB34-45F58D4F2280}"/>
              </c:ext>
            </c:extLst>
          </c:dPt>
          <c:cat>
            <c:strRef>
              <c:f>'15'!$L$22:$M$22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'15'!$N$2:$N$21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723-401E-AB34-45F58D4F2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'15'!$M$2:$M$21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'15'!$N$2:$N$21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B8-45C5-98F5-354D810F0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B-4F6C-B042-B60FAF0B8B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B-4F6C-B042-B60FAF0B8B43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9B-4F6C-B042-B60FAF0B8B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9B-4F6C-B042-B60FAF0B8B43}"/>
              </c:ext>
            </c:extLst>
          </c:dPt>
          <c:cat>
            <c:strRef>
              <c:f>'15'!$M$24:$M$27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'15'!$N$24:$N$27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9B-4F6C-B042-B60FAF0B8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6B-4A62-9602-821A0049432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A6B-4A62-9602-821A0049432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A6B-4A62-9602-821A0049432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A6B-4A62-9602-821A0049432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A6B-4A62-9602-821A0049432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A6B-4A62-9602-821A0049432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DA6B-4A62-9602-821A0049432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DA6B-4A62-9602-821A0049432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A6B-4A62-9602-821A0049432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DA6B-4A62-9602-821A0049432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DA6B-4A62-9602-821A0049432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DA6B-4A62-9602-821A00494328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DA6B-4A62-9602-821A00494328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DA6B-4A62-9602-821A00494328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DA6B-4A62-9602-821A0049432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DA6B-4A62-9602-821A0049432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DA6B-4A62-9602-821A0049432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DA6B-4A62-9602-821A00494328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DA6B-4A62-9602-821A00494328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DA6B-4A62-9602-821A00494328}"/>
              </c:ext>
            </c:extLst>
          </c:dPt>
          <c:cat>
            <c:strRef>
              <c:f>'16'!$L$22:$M$22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'16'!$N$2:$N$21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A6B-4A62-9602-821A00494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'16'!$M$2:$M$21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'16'!$N$2:$N$21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3-48F7-B293-15DA78145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4F-4723-81E5-37D54AFFDD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4723-81E5-37D54AFFDDDC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4F-4723-81E5-37D54AFFDDD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34F-4723-81E5-37D54AFFDDDC}"/>
              </c:ext>
            </c:extLst>
          </c:dPt>
          <c:cat>
            <c:strRef>
              <c:f>'16'!$M$24:$M$27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'16'!$N$24:$N$27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4F-4723-81E5-37D54AFF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304-4C7D-AB5C-481D58AB04D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304-4C7D-AB5C-481D58AB04D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304-4C7D-AB5C-481D58AB04D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304-4C7D-AB5C-481D58AB04D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304-4C7D-AB5C-481D58AB04D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304-4C7D-AB5C-481D58AB04D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D304-4C7D-AB5C-481D58AB04D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D304-4C7D-AB5C-481D58AB04D6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304-4C7D-AB5C-481D58AB04D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D304-4C7D-AB5C-481D58AB04D6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D304-4C7D-AB5C-481D58AB04D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D304-4C7D-AB5C-481D58AB04D6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D304-4C7D-AB5C-481D58AB04D6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D304-4C7D-AB5C-481D58AB04D6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D304-4C7D-AB5C-481D58AB04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D304-4C7D-AB5C-481D58AB04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D304-4C7D-AB5C-481D58AB04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D304-4C7D-AB5C-481D58AB04D6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D304-4C7D-AB5C-481D58AB04D6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D304-4C7D-AB5C-481D58AB04D6}"/>
              </c:ext>
            </c:extLst>
          </c:dPt>
          <c:cat>
            <c:strRef>
              <c:f>'17'!$L$22:$M$22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'17'!$N$2:$N$21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304-4C7D-AB5C-481D58AB0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'17'!$M$2:$M$21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'17'!$N$2:$N$21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7-4296-866E-1F61FD817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DB-4F7B-86BD-C76BFF4D7E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DB-4F7B-86BD-C76BFF4D7EB3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DB-4F7B-86BD-C76BFF4D7EB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9DB-4F7B-86BD-C76BFF4D7EB3}"/>
              </c:ext>
            </c:extLst>
          </c:dPt>
          <c:cat>
            <c:strRef>
              <c:f>'17'!$M$24:$M$27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'17'!$N$24:$N$27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DB-4F7B-86BD-C76BFF4D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E2-4579-8F42-A444D2F0E17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E2-4579-8F42-A444D2F0E1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E2-4579-8F42-A444D2F0E1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E2-4579-8F42-A444D2F0E17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E2-4579-8F42-A444D2F0E17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E2-4579-8F42-A444D2F0E17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E2-4579-8F42-A444D2F0E17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E2-4579-8F42-A444D2F0E17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DE2-4579-8F42-A444D2F0E17B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DE2-4579-8F42-A444D2F0E17B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DE2-4579-8F42-A444D2F0E17B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DE2-4579-8F42-A444D2F0E17B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DE2-4579-8F42-A444D2F0E17B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DE2-4579-8F42-A444D2F0E17B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DE2-4579-8F42-A444D2F0E17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DE2-4579-8F42-A444D2F0E17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DE2-4579-8F42-A444D2F0E17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DE2-4579-8F42-A444D2F0E17B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DE2-4579-8F42-A444D2F0E17B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DE2-4579-8F42-A444D2F0E17B}"/>
              </c:ext>
            </c:extLst>
          </c:dPt>
          <c:cat>
            <c:strRef>
              <c:f>'18'!$L$22:$M$22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'18'!$N$2:$N$21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2-4579-8F42-A444D2F0E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'18'!$M$2:$M$21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'18'!$N$2:$N$21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2-41FA-A349-4DAECD634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82-44FA-9C3B-BB03EEBF5CC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82-44FA-9C3B-BB03EEBF5CCC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82-44FA-9C3B-BB03EEBF5CC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C82-44FA-9C3B-BB03EEBF5CCC}"/>
              </c:ext>
            </c:extLst>
          </c:dPt>
          <c:cat>
            <c:strRef>
              <c:f>'18'!$M$24:$M$27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'18'!$N$24:$N$27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82-44FA-9C3B-BB03EEBF5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48-427D-A4E0-2F2FEB938F7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48-427D-A4E0-2F2FEB938F7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948-427D-A4E0-2F2FEB938F7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948-427D-A4E0-2F2FEB938F7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948-427D-A4E0-2F2FEB938F7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948-427D-A4E0-2F2FEB938F7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948-427D-A4E0-2F2FEB938F7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B948-427D-A4E0-2F2FEB938F7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B948-427D-A4E0-2F2FEB938F7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948-427D-A4E0-2F2FEB938F7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B948-427D-A4E0-2F2FEB938F7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B948-427D-A4E0-2F2FEB938F7E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B948-427D-A4E0-2F2FEB938F7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B948-427D-A4E0-2F2FEB938F7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B948-427D-A4E0-2F2FEB938F7E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B948-427D-A4E0-2F2FEB938F7E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B948-427D-A4E0-2F2FEB938F7E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B948-427D-A4E0-2F2FEB938F7E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B948-427D-A4E0-2F2FEB938F7E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B948-427D-A4E0-2F2FEB938F7E}"/>
              </c:ext>
            </c:extLst>
          </c:dPt>
          <c:cat>
            <c:strRef>
              <c:f>'19'!$L$22:$M$22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'19'!$N$2:$N$21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948-427D-A4E0-2F2FEB938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'19'!$M$2:$M$21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'19'!$N$2:$N$21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A-4925-B8F8-4B06BFCCB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E3-4C7B-85BF-BB33BDE1E3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E3-4C7B-85BF-BB33BDE1E30D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4E3-4C7B-85BF-BB33BDE1E3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4E3-4C7B-85BF-BB33BDE1E30D}"/>
              </c:ext>
            </c:extLst>
          </c:dPt>
          <c:cat>
            <c:strRef>
              <c:f>'19'!$M$24:$M$27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'19'!$N$24:$N$27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E3-4C7B-85BF-BB33BDE1E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73-47B8-8B2D-A649103F4C7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73-47B8-8B2D-A649103F4C7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073-47B8-8B2D-A649103F4C7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073-47B8-8B2D-A649103F4C7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073-47B8-8B2D-A649103F4C7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073-47B8-8B2D-A649103F4C7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073-47B8-8B2D-A649103F4C7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9073-47B8-8B2D-A649103F4C76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9073-47B8-8B2D-A649103F4C7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073-47B8-8B2D-A649103F4C76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9073-47B8-8B2D-A649103F4C7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9073-47B8-8B2D-A649103F4C76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9073-47B8-8B2D-A649103F4C76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9073-47B8-8B2D-A649103F4C76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9073-47B8-8B2D-A649103F4C7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9073-47B8-8B2D-A649103F4C7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9073-47B8-8B2D-A649103F4C7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9073-47B8-8B2D-A649103F4C76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9073-47B8-8B2D-A649103F4C76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9073-47B8-8B2D-A649103F4C76}"/>
              </c:ext>
            </c:extLst>
          </c:dPt>
          <c:cat>
            <c:strRef>
              <c:f>'20'!$L$22:$M$22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'20'!$N$2:$N$21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073-47B8-8B2D-A649103F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'20'!$M$2:$M$21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'20'!$N$2:$N$21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3-444C-B521-57D4AB853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35-4ABB-858D-6114A00D36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35-4ABB-858D-6114A00D3687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35-4ABB-858D-6114A00D36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435-4ABB-858D-6114A00D3687}"/>
              </c:ext>
            </c:extLst>
          </c:dPt>
          <c:cat>
            <c:strRef>
              <c:f>'20'!$M$24:$M$27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'20'!$N$24:$N$27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35-4ABB-858D-6114A00D3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E4-482B-AF1F-ECF42A10CD8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E4-482B-AF1F-ECF42A10CD8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2E4-482B-AF1F-ECF42A10CD8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2E4-482B-AF1F-ECF42A10CD8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2E4-482B-AF1F-ECF42A10CD8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2E4-482B-AF1F-ECF42A10CD8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2E4-482B-AF1F-ECF42A10CD8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F2E4-482B-AF1F-ECF42A10CD8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2E4-482B-AF1F-ECF42A10CD8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F2E4-482B-AF1F-ECF42A10CD8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F2E4-482B-AF1F-ECF42A10CD8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F2E4-482B-AF1F-ECF42A10CD88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F2E4-482B-AF1F-ECF42A10CD88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F2E4-482B-AF1F-ECF42A10CD88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2E4-482B-AF1F-ECF42A10CD8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F2E4-482B-AF1F-ECF42A10CD8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2E4-482B-AF1F-ECF42A10CD8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F2E4-482B-AF1F-ECF42A10CD88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F2E4-482B-AF1F-ECF42A10CD88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F2E4-482B-AF1F-ECF42A10CD88}"/>
              </c:ext>
            </c:extLst>
          </c:dPt>
          <c:cat>
            <c:strRef>
              <c:f>'21'!$L$22:$M$22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'21'!$N$2:$N$21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2E4-482B-AF1F-ECF42A10C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'21'!$M$2:$M$21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'21'!$N$2:$N$21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10A-8C40-271B9E6AB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0C-424A-80D5-B6A5A340CD2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0C-424A-80D5-B6A5A340CD22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0C-424A-80D5-B6A5A340CD2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0C-424A-80D5-B6A5A340CD22}"/>
              </c:ext>
            </c:extLst>
          </c:dPt>
          <c:cat>
            <c:strRef>
              <c:f>'21'!$M$24:$M$27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'21'!$N$24:$N$27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0C-424A-80D5-B6A5A340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A5A-4369-8CD3-3A096B42570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A5A-4369-8CD3-3A096B42570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A5A-4369-8CD3-3A096B42570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A5A-4369-8CD3-3A096B42570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A5A-4369-8CD3-3A096B42570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A5A-4369-8CD3-3A096B42570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A5A-4369-8CD3-3A096B42570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A5A-4369-8CD3-3A096B42570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0A5A-4369-8CD3-3A096B42570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A5A-4369-8CD3-3A096B42570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A5A-4369-8CD3-3A096B42570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0A5A-4369-8CD3-3A096B425708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0A5A-4369-8CD3-3A096B425708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0A5A-4369-8CD3-3A096B425708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0A5A-4369-8CD3-3A096B4257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0A5A-4369-8CD3-3A096B4257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0A5A-4369-8CD3-3A096B4257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0A5A-4369-8CD3-3A096B425708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0A5A-4369-8CD3-3A096B425708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0A5A-4369-8CD3-3A096B425708}"/>
              </c:ext>
            </c:extLst>
          </c:dPt>
          <c:cat>
            <c:strRef>
              <c:f>'22'!$L$22:$M$22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'22'!$N$2:$N$21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A5A-4369-8CD3-3A096B425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'22'!$M$2:$M$21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'22'!$N$2:$N$21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B6-4585-A38B-C7E4BE181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61-4570-BFE0-DEC6D9CB2F6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61-4570-BFE0-DEC6D9CB2F6F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61-4570-BFE0-DEC6D9CB2F6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61-4570-BFE0-DEC6D9CB2F6F}"/>
              </c:ext>
            </c:extLst>
          </c:dPt>
          <c:cat>
            <c:strRef>
              <c:f>'22'!$M$24:$M$27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'22'!$N$24:$N$27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570-BFE0-DEC6D9CB2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A2-41DF-B954-13A09F324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6A2-41DF-B954-13A09F324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6A2-41DF-B954-13A09F3241A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6A2-41DF-B954-13A09F3241A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6A2-41DF-B954-13A09F3241A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6A2-41DF-B954-13A09F3241A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6A2-41DF-B954-13A09F3241A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36A2-41DF-B954-13A09F3241A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36A2-41DF-B954-13A09F3241A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6A2-41DF-B954-13A09F3241A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36A2-41DF-B954-13A09F3241A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36A2-41DF-B954-13A09F3241A8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36A2-41DF-B954-13A09F3241A8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36A2-41DF-B954-13A09F3241A8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36A2-41DF-B954-13A09F3241A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36A2-41DF-B954-13A09F3241A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36A2-41DF-B954-13A09F3241A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36A2-41DF-B954-13A09F3241A8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36A2-41DF-B954-13A09F3241A8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36A2-41DF-B954-13A09F3241A8}"/>
              </c:ext>
            </c:extLst>
          </c:dPt>
          <c:cat>
            <c:strRef>
              <c:f>'23'!$L$22:$M$22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'23'!$N$2:$N$21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6A2-41DF-B954-13A09F324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'23'!$M$2:$M$21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'23'!$N$2:$N$21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8-416B-AD3E-D7ECB77CC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378-4A49-B637-67F3BCE611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378-4A49-B637-67F3BCE611BE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378-4A49-B637-67F3BCE611B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378-4A49-B637-67F3BCE611BE}"/>
              </c:ext>
            </c:extLst>
          </c:dPt>
          <c:cat>
            <c:strRef>
              <c:f>'23'!$M$24:$M$27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'23'!$N$24:$N$27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78-4A49-B637-67F3BCE61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2C-4ECC-BF71-967ED708C12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2C-4ECC-BF71-967ED708C12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2C-4ECC-BF71-967ED708C12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2C-4ECC-BF71-967ED708C12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2C-4ECC-BF71-967ED708C12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2C-4ECC-BF71-967ED708C12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2C-4ECC-BF71-967ED708C12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2C-4ECC-BF71-967ED708C12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2C-4ECC-BF71-967ED708C12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A2C-4ECC-BF71-967ED708C12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A2C-4ECC-BF71-967ED708C12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A2C-4ECC-BF71-967ED708C125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A2C-4ECC-BF71-967ED708C125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A2C-4ECC-BF71-967ED708C125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A2C-4ECC-BF71-967ED708C12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A2C-4ECC-BF71-967ED708C12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A2C-4ECC-BF71-967ED708C12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A2C-4ECC-BF71-967ED708C125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A2C-4ECC-BF71-967ED708C125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A2C-4ECC-BF71-967ED708C125}"/>
              </c:ext>
            </c:extLst>
          </c:dPt>
          <c:cat>
            <c:strRef>
              <c:f>'24'!$L$22:$M$22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'24'!$N$2:$N$21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A2C-4ECC-BF71-967ED708C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'24'!$M$2:$M$21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'24'!$N$2:$N$21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6-442D-B4C3-CB1E92A2A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5FA-47CB-BD7F-28C60A806F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5FA-47CB-BD7F-28C60A806F33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5FA-47CB-BD7F-28C60A806F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FA-47CB-BD7F-28C60A806F33}"/>
              </c:ext>
            </c:extLst>
          </c:dPt>
          <c:cat>
            <c:strRef>
              <c:f>'24'!$M$24:$M$27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'24'!$N$24:$N$27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FA-47CB-BD7F-28C60A806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587-4BBA-8E2F-EF3922A3E5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87-4BBA-8E2F-EF3922A3E5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587-4BBA-8E2F-EF3922A3E5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587-4BBA-8E2F-EF3922A3E5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8587-4BBA-8E2F-EF3922A3E5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8587-4BBA-8E2F-EF3922A3E5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8587-4BBA-8E2F-EF3922A3E5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8587-4BBA-8E2F-EF3922A3E5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8587-4BBA-8E2F-EF3922A3E5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8587-4BBA-8E2F-EF3922A3E5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8587-4BBA-8E2F-EF3922A3E5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8587-4BBA-8E2F-EF3922A3E5E3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8587-4BBA-8E2F-EF3922A3E5E3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8587-4BBA-8E2F-EF3922A3E5E3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8587-4BBA-8E2F-EF3922A3E5E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8587-4BBA-8E2F-EF3922A3E5E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8587-4BBA-8E2F-EF3922A3E5E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8587-4BBA-8E2F-EF3922A3E5E3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8587-4BBA-8E2F-EF3922A3E5E3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8587-4BBA-8E2F-EF3922A3E5E3}"/>
              </c:ext>
            </c:extLst>
          </c:dPt>
          <c:cat>
            <c:strRef>
              <c:f>'25'!$L$22:$M$22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'25'!$N$2:$N$21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587-4BBA-8E2F-EF3922A3E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'25'!$M$2:$M$21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'25'!$N$2:$N$21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4-486B-A04A-CEE95B23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AF-4779-B4EC-2E677F9DA4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AF-4779-B4EC-2E677F9DA44C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6AF-4779-B4EC-2E677F9DA44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6AF-4779-B4EC-2E677F9DA44C}"/>
              </c:ext>
            </c:extLst>
          </c:dPt>
          <c:cat>
            <c:strRef>
              <c:f>'25'!$M$24:$M$27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'25'!$N$24:$N$27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AF-4779-B4EC-2E677F9DA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3C-465A-85C2-D793981EEF4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3C-465A-85C2-D793981EEF4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3C-465A-85C2-D793981EEF4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23C-465A-85C2-D793981EEF4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23C-465A-85C2-D793981EEF4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23C-465A-85C2-D793981EEF4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23C-465A-85C2-D793981EEF4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223C-465A-85C2-D793981EEF4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23C-465A-85C2-D793981EEF4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23C-465A-85C2-D793981EEF4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23C-465A-85C2-D793981EEF4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23C-465A-85C2-D793981EEF43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23C-465A-85C2-D793981EEF43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23C-465A-85C2-D793981EEF43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23C-465A-85C2-D793981EEF4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23C-465A-85C2-D793981EEF4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23C-465A-85C2-D793981EEF4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23C-465A-85C2-D793981EEF43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223C-465A-85C2-D793981EEF43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223C-465A-85C2-D793981EEF43}"/>
              </c:ext>
            </c:extLst>
          </c:dPt>
          <c:cat>
            <c:strRef>
              <c:f>'26'!$L$22:$M$22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'26'!$N$2:$N$21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23C-465A-85C2-D793981E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'26'!$M$2:$M$21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'26'!$N$2:$N$21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1-4DED-807A-A0D9209F8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5D-45EE-A9B2-47DA252D26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5D-45EE-A9B2-47DA252D26F7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5D-45EE-A9B2-47DA252D26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5D-45EE-A9B2-47DA252D26F7}"/>
              </c:ext>
            </c:extLst>
          </c:dPt>
          <c:cat>
            <c:strRef>
              <c:f>'26'!$M$24:$M$27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'26'!$N$24:$N$27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5D-45EE-A9B2-47DA252D2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A-41EB-A18F-2BD1D575821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A-41EB-A18F-2BD1D575821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A-41EB-A18F-2BD1D575821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4AA-41EB-A18F-2BD1D575821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AA-41EB-A18F-2BD1D575821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AA-41EB-A18F-2BD1D575821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4AA-41EB-A18F-2BD1D575821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34AA-41EB-A18F-2BD1D575821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34AA-41EB-A18F-2BD1D575821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4AA-41EB-A18F-2BD1D575821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34AA-41EB-A18F-2BD1D575821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34AA-41EB-A18F-2BD1D5758218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34AA-41EB-A18F-2BD1D5758218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34AA-41EB-A18F-2BD1D5758218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34AA-41EB-A18F-2BD1D575821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34AA-41EB-A18F-2BD1D575821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34AA-41EB-A18F-2BD1D575821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34AA-41EB-A18F-2BD1D5758218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34AA-41EB-A18F-2BD1D5758218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34AA-41EB-A18F-2BD1D5758218}"/>
              </c:ext>
            </c:extLst>
          </c:dPt>
          <c:cat>
            <c:strRef>
              <c:f>'27'!$L$22:$M$22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'27'!$N$2:$N$21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4AA-41EB-A18F-2BD1D5758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'27'!$M$2:$M$21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'27'!$N$2:$N$21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3-4873-9BE7-6F8651592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79-488A-903C-0433AFA285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79-488A-903C-0433AFA285E4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379-488A-903C-0433AFA285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379-488A-903C-0433AFA285E4}"/>
              </c:ext>
            </c:extLst>
          </c:dPt>
          <c:cat>
            <c:strRef>
              <c:f>'27'!$M$24:$M$27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'27'!$N$24:$N$27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79-488A-903C-0433AFA2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EF-4F82-8B9A-C5B4E73F9A5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1EF-4F82-8B9A-C5B4E73F9A5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1EF-4F82-8B9A-C5B4E73F9A5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1EF-4F82-8B9A-C5B4E73F9A5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1EF-4F82-8B9A-C5B4E73F9A5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11EF-4F82-8B9A-C5B4E73F9A5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1EF-4F82-8B9A-C5B4E73F9A5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11EF-4F82-8B9A-C5B4E73F9A56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11EF-4F82-8B9A-C5B4E73F9A5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11EF-4F82-8B9A-C5B4E73F9A56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11EF-4F82-8B9A-C5B4E73F9A5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1EF-4F82-8B9A-C5B4E73F9A56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11EF-4F82-8B9A-C5B4E73F9A56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11EF-4F82-8B9A-C5B4E73F9A56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11EF-4F82-8B9A-C5B4E73F9A5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11EF-4F82-8B9A-C5B4E73F9A5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11EF-4F82-8B9A-C5B4E73F9A5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11EF-4F82-8B9A-C5B4E73F9A56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11EF-4F82-8B9A-C5B4E73F9A56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11EF-4F82-8B9A-C5B4E73F9A56}"/>
              </c:ext>
            </c:extLst>
          </c:dPt>
          <c:cat>
            <c:strRef>
              <c:f>'28'!$L$22:$M$22</c:f>
              <c:strCache>
                <c:ptCount val="2"/>
                <c:pt idx="1">
                  <c:v>Core</c:v>
                </c:pt>
              </c:strCache>
            </c:strRef>
          </c:cat>
          <c:val>
            <c:numRef>
              <c:f>'28'!$N$2:$N$21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1EF-4F82-8B9A-C5B4E73F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1701936"/>
        <c:axId val="1901711920"/>
      </c:barChart>
      <c:catAx>
        <c:axId val="19017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11920"/>
        <c:crosses val="autoZero"/>
        <c:auto val="1"/>
        <c:lblAlgn val="ctr"/>
        <c:lblOffset val="100"/>
        <c:noMultiLvlLbl val="0"/>
      </c:catAx>
      <c:valAx>
        <c:axId val="19017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'28'!$M$2:$M$21</c:f>
              <c:strCache>
                <c:ptCount val="20"/>
                <c:pt idx="0">
                  <c:v>M9Glc</c:v>
                </c:pt>
                <c:pt idx="1">
                  <c:v>M9</c:v>
                </c:pt>
                <c:pt idx="2">
                  <c:v>M8</c:v>
                </c:pt>
                <c:pt idx="3">
                  <c:v>M7</c:v>
                </c:pt>
                <c:pt idx="4">
                  <c:v>M6</c:v>
                </c:pt>
                <c:pt idx="5">
                  <c:v>M5</c:v>
                </c:pt>
                <c:pt idx="6">
                  <c:v>M4</c:v>
                </c:pt>
                <c:pt idx="7">
                  <c:v>M3</c:v>
                </c:pt>
                <c:pt idx="8">
                  <c:v>FM</c:v>
                </c:pt>
                <c:pt idx="9">
                  <c:v>HYBRID</c:v>
                </c:pt>
                <c:pt idx="10">
                  <c:v>FHYBRID</c:v>
                </c:pt>
                <c:pt idx="11">
                  <c:v>HexNAc(3)(x)</c:v>
                </c:pt>
                <c:pt idx="12">
                  <c:v>HexNAc(3)(F)(x)</c:v>
                </c:pt>
                <c:pt idx="13">
                  <c:v>HexNAc(4)(x)</c:v>
                </c:pt>
                <c:pt idx="14">
                  <c:v>HexNAc(4)(F)(x)</c:v>
                </c:pt>
                <c:pt idx="15">
                  <c:v>HexNAc(5)(x)</c:v>
                </c:pt>
                <c:pt idx="16">
                  <c:v>HexNAc(5)(F)(x)</c:v>
                </c:pt>
                <c:pt idx="17">
                  <c:v>HexNAc(6+)(x)</c:v>
                </c:pt>
                <c:pt idx="18">
                  <c:v>HexNAc(6+)(F)(x)</c:v>
                </c:pt>
                <c:pt idx="19">
                  <c:v>Unoccupied</c:v>
                </c:pt>
              </c:strCache>
            </c:strRef>
          </c:cat>
          <c:val>
            <c:numRef>
              <c:f>'28'!$N$2:$N$21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76-4599-B50C-F0E8F8B88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65808208"/>
        <c:axId val="1765814448"/>
      </c:barChart>
      <c:catAx>
        <c:axId val="1765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14448"/>
        <c:crosses val="autoZero"/>
        <c:auto val="1"/>
        <c:lblAlgn val="ctr"/>
        <c:lblOffset val="100"/>
        <c:noMultiLvlLbl val="0"/>
      </c:catAx>
      <c:valAx>
        <c:axId val="17658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8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68961067366579"/>
          <c:y val="0.13004629629629633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72-42C6-B91F-2317E04A124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72-42C6-B91F-2317E04A124A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72-42C6-B91F-2317E04A124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172-42C6-B91F-2317E04A124A}"/>
              </c:ext>
            </c:extLst>
          </c:dPt>
          <c:cat>
            <c:strRef>
              <c:f>'28'!$M$24:$M$27</c:f>
              <c:strCache>
                <c:ptCount val="4"/>
                <c:pt idx="0">
                  <c:v>Oligomannose</c:v>
                </c:pt>
                <c:pt idx="1">
                  <c:v>Hybrid</c:v>
                </c:pt>
                <c:pt idx="2">
                  <c:v>Complex</c:v>
                </c:pt>
                <c:pt idx="3">
                  <c:v>Unoccupied</c:v>
                </c:pt>
              </c:strCache>
            </c:strRef>
          </c:cat>
          <c:val>
            <c:numRef>
              <c:f>'28'!$N$24:$N$27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72-42C6-B91F-2317E04A1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21857" name="Button 1" hidden="1">
              <a:extLst>
                <a:ext uri="{63B3BB69-23CF-44E3-9099-C40C66FF867C}">
                  <a14:compatExt spid="_x0000_s121857"/>
                </a:ext>
                <a:ext uri="{FF2B5EF4-FFF2-40B4-BE49-F238E27FC236}">
                  <a16:creationId xmlns:a16="http://schemas.microsoft.com/office/drawing/2014/main" id="{00000000-0008-0000-0300-00000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4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5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6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7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8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9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A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0049" name="Button 1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0B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0C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0D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0E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0F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1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  <a:ext uri="{FF2B5EF4-FFF2-40B4-BE49-F238E27FC236}">
                  <a16:creationId xmlns:a16="http://schemas.microsoft.com/office/drawing/2014/main" id="{00000000-0008-0000-1100-00000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12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13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15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41313" name="Button 1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id="{00000000-0008-0000-16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42337" name="Button 1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00000000-0008-0000-17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18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19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1A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1B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C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546100</xdr:colOff>
      <xdr:row>36</xdr:row>
      <xdr:rowOff>171450</xdr:rowOff>
    </xdr:from>
    <xdr:to>
      <xdr:col>21</xdr:col>
      <xdr:colOff>31750</xdr:colOff>
      <xdr:row>51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104775</xdr:colOff>
      <xdr:row>15</xdr:row>
      <xdr:rowOff>180975</xdr:rowOff>
    </xdr:from>
    <xdr:to>
      <xdr:col>21</xdr:col>
      <xdr:colOff>200025</xdr:colOff>
      <xdr:row>30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1</xdr:row>
      <xdr:rowOff>57150</xdr:rowOff>
    </xdr:from>
    <xdr:to>
      <xdr:col>21</xdr:col>
      <xdr:colOff>190500</xdr:colOff>
      <xdr:row>15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76200</xdr:rowOff>
        </xdr:from>
        <xdr:to>
          <xdr:col>11</xdr:col>
          <xdr:colOff>619125</xdr:colOff>
          <xdr:row>0</xdr:row>
          <xdr:rowOff>247650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D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0BEFD-B652-45AA-B696-D3CC29B1F0CD}">
  <dimension ref="A1:BM811"/>
  <sheetViews>
    <sheetView tabSelected="1" workbookViewId="0"/>
  </sheetViews>
  <sheetFormatPr defaultRowHeight="15" x14ac:dyDescent="0.25"/>
  <cols>
    <col min="4" max="4" width="45.140625" bestFit="1" customWidth="1"/>
    <col min="5" max="5" width="38" bestFit="1" customWidth="1"/>
  </cols>
  <sheetData>
    <row r="1" spans="1:65" ht="30" x14ac:dyDescent="0.25">
      <c r="A1" s="25" t="s">
        <v>529</v>
      </c>
      <c r="B1" s="25" t="s">
        <v>530</v>
      </c>
      <c r="C1" s="25" t="s">
        <v>531</v>
      </c>
      <c r="D1" t="s">
        <v>532</v>
      </c>
      <c r="E1" t="s">
        <v>533</v>
      </c>
      <c r="F1" t="s">
        <v>27</v>
      </c>
      <c r="G1" t="s">
        <v>12</v>
      </c>
      <c r="H1" s="25" t="s">
        <v>534</v>
      </c>
      <c r="I1" s="25"/>
      <c r="J1" s="25"/>
      <c r="L1" s="25"/>
      <c r="M1" s="25"/>
      <c r="N1" s="25"/>
      <c r="O1" s="25"/>
      <c r="S1" s="25"/>
      <c r="T1" s="25"/>
      <c r="U1" s="25"/>
      <c r="V1" s="25"/>
      <c r="W1" s="25"/>
      <c r="X1" s="25"/>
      <c r="Y1" s="25"/>
      <c r="Z1" s="25"/>
      <c r="AB1" s="25"/>
      <c r="AE1" s="25"/>
      <c r="AF1" s="25"/>
      <c r="AG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Z1" s="25"/>
      <c r="BB1" s="25"/>
      <c r="BC1" s="25"/>
      <c r="BD1" s="25"/>
      <c r="BE1" s="25"/>
      <c r="BF1" s="25"/>
      <c r="BG1" s="25"/>
      <c r="BI1" s="25"/>
      <c r="BJ1" s="25"/>
      <c r="BK1" s="25"/>
      <c r="BM1" s="25"/>
    </row>
    <row r="3" spans="1:65" x14ac:dyDescent="0.25">
      <c r="J3" s="26"/>
      <c r="U3" s="26"/>
      <c r="AI3" s="26"/>
      <c r="BE3" s="26"/>
    </row>
    <row r="4" spans="1:65" x14ac:dyDescent="0.25">
      <c r="J4" s="26"/>
      <c r="U4" s="26"/>
      <c r="V4" s="26"/>
      <c r="AI4" s="26"/>
      <c r="BE4" s="26"/>
    </row>
    <row r="6" spans="1:65" x14ac:dyDescent="0.25">
      <c r="J6" s="26"/>
      <c r="U6" s="26"/>
      <c r="V6" s="26"/>
      <c r="AI6" s="26"/>
      <c r="BE6" s="26"/>
    </row>
    <row r="7" spans="1:65" x14ac:dyDescent="0.25">
      <c r="J7" s="26"/>
      <c r="AI7" s="26"/>
      <c r="BE7" s="26"/>
    </row>
    <row r="9" spans="1:65" x14ac:dyDescent="0.25">
      <c r="J9" s="26"/>
      <c r="AI9" s="26"/>
      <c r="BE9" s="26"/>
    </row>
    <row r="12" spans="1:65" x14ac:dyDescent="0.25">
      <c r="J12" s="26"/>
      <c r="U12" s="26"/>
      <c r="V12" s="26"/>
      <c r="AI12" s="26"/>
      <c r="BE12" s="26"/>
    </row>
    <row r="13" spans="1:65" x14ac:dyDescent="0.25">
      <c r="J13" s="26"/>
      <c r="U13" s="26"/>
      <c r="V13" s="26"/>
      <c r="AI13" s="26"/>
      <c r="BE13" s="26"/>
    </row>
    <row r="24" spans="10:57" x14ac:dyDescent="0.25">
      <c r="J24" s="26"/>
      <c r="AI24" s="26"/>
      <c r="BE24" s="26"/>
    </row>
    <row r="25" spans="10:57" x14ac:dyDescent="0.25">
      <c r="J25" s="26"/>
      <c r="U25" s="26"/>
      <c r="V25" s="26"/>
      <c r="AI25" s="26"/>
      <c r="BE25" s="26"/>
    </row>
    <row r="26" spans="10:57" x14ac:dyDescent="0.25">
      <c r="J26" s="26"/>
      <c r="U26" s="26"/>
      <c r="V26" s="26"/>
      <c r="AI26" s="26"/>
      <c r="BE26" s="26"/>
    </row>
    <row r="28" spans="10:57" x14ac:dyDescent="0.25">
      <c r="J28" s="26"/>
      <c r="U28" s="26"/>
      <c r="V28" s="26"/>
      <c r="AI28" s="26"/>
      <c r="BE28" s="26"/>
    </row>
    <row r="32" spans="10:57" x14ac:dyDescent="0.25">
      <c r="J32" s="26"/>
      <c r="U32" s="26"/>
      <c r="V32" s="26"/>
      <c r="AI32" s="26"/>
      <c r="BE32" s="26"/>
    </row>
    <row r="33" spans="8:57" x14ac:dyDescent="0.25">
      <c r="J33" s="26"/>
      <c r="U33" s="26"/>
      <c r="V33" s="26"/>
      <c r="AI33" s="26"/>
      <c r="BE33" s="26"/>
    </row>
    <row r="34" spans="8:57" x14ac:dyDescent="0.25">
      <c r="J34" s="26"/>
      <c r="U34" s="26"/>
      <c r="V34" s="26"/>
      <c r="AI34" s="26"/>
      <c r="BE34" s="26"/>
    </row>
    <row r="35" spans="8:57" x14ac:dyDescent="0.25">
      <c r="J35" s="26"/>
      <c r="AI35" s="26"/>
      <c r="BE35" s="26"/>
    </row>
    <row r="36" spans="8:57" x14ac:dyDescent="0.25">
      <c r="J36" s="26"/>
      <c r="U36" s="26"/>
      <c r="V36" s="26"/>
      <c r="AI36" s="26"/>
      <c r="BE36" s="26"/>
    </row>
    <row r="37" spans="8:57" x14ac:dyDescent="0.25">
      <c r="J37" s="26"/>
      <c r="AI37" s="26"/>
      <c r="BE37" s="26"/>
    </row>
    <row r="39" spans="8:57" x14ac:dyDescent="0.25">
      <c r="J39" s="26"/>
      <c r="U39" s="26"/>
      <c r="V39" s="26"/>
      <c r="AI39" s="26"/>
      <c r="BE39" s="26"/>
    </row>
    <row r="40" spans="8:57" x14ac:dyDescent="0.25">
      <c r="J40" s="26"/>
      <c r="AI40" s="26"/>
      <c r="BE40" s="26"/>
    </row>
    <row r="41" spans="8:57" x14ac:dyDescent="0.25">
      <c r="J41" s="26"/>
      <c r="AI41" s="26"/>
      <c r="BE41" s="26"/>
    </row>
    <row r="42" spans="8:57" x14ac:dyDescent="0.25">
      <c r="J42" s="26"/>
      <c r="AI42" s="26"/>
      <c r="BE42" s="26"/>
    </row>
    <row r="43" spans="8:57" x14ac:dyDescent="0.25">
      <c r="J43" s="26"/>
      <c r="U43" s="26"/>
      <c r="V43" s="26"/>
      <c r="AI43" s="26"/>
      <c r="BE43" s="26"/>
    </row>
    <row r="45" spans="8:57" x14ac:dyDescent="0.25">
      <c r="J45" s="26"/>
      <c r="U45" s="26"/>
      <c r="V45" s="26"/>
      <c r="AI45" s="26"/>
      <c r="BE45" s="26"/>
    </row>
    <row r="46" spans="8:57" x14ac:dyDescent="0.25">
      <c r="H46" s="26"/>
      <c r="J46" s="26"/>
      <c r="AI46" s="26"/>
      <c r="BE46" s="26"/>
    </row>
    <row r="47" spans="8:57" x14ac:dyDescent="0.25">
      <c r="H47" s="26"/>
    </row>
    <row r="48" spans="8:57" x14ac:dyDescent="0.25">
      <c r="H48" s="26"/>
      <c r="J48" s="26"/>
      <c r="AI48" s="26"/>
      <c r="BE48" s="26"/>
    </row>
    <row r="49" spans="3:57" x14ac:dyDescent="0.25">
      <c r="H49" s="26"/>
      <c r="J49" s="26"/>
      <c r="U49" s="26"/>
      <c r="V49" s="26"/>
      <c r="AI49" s="26"/>
      <c r="BE49" s="26"/>
    </row>
    <row r="50" spans="3:57" x14ac:dyDescent="0.25">
      <c r="H50" s="26"/>
    </row>
    <row r="51" spans="3:57" x14ac:dyDescent="0.25">
      <c r="H51" s="26"/>
      <c r="J51" s="26"/>
      <c r="U51" s="26"/>
      <c r="V51" s="26"/>
      <c r="AI51" s="26"/>
      <c r="BE51" s="26"/>
    </row>
    <row r="52" spans="3:57" x14ac:dyDescent="0.25">
      <c r="H52" s="26"/>
      <c r="J52" s="26"/>
      <c r="U52" s="26"/>
      <c r="V52" s="26"/>
      <c r="AI52" s="26"/>
      <c r="BE52" s="26"/>
    </row>
    <row r="53" spans="3:57" x14ac:dyDescent="0.25">
      <c r="H53" s="26"/>
      <c r="J53" s="26"/>
      <c r="U53" s="26"/>
      <c r="V53" s="26"/>
      <c r="AI53" s="26"/>
      <c r="BE53" s="26"/>
    </row>
    <row r="54" spans="3:57" x14ac:dyDescent="0.25">
      <c r="H54" s="26"/>
      <c r="J54" s="26"/>
      <c r="U54" s="26"/>
      <c r="V54" s="26"/>
      <c r="AI54" s="26"/>
      <c r="BE54" s="26"/>
    </row>
    <row r="55" spans="3:57" x14ac:dyDescent="0.25">
      <c r="C55" s="27"/>
      <c r="H55" s="26"/>
      <c r="J55" s="26"/>
      <c r="AI55" s="26"/>
      <c r="BE55" s="26"/>
    </row>
    <row r="56" spans="3:57" x14ac:dyDescent="0.25">
      <c r="H56" s="26"/>
    </row>
    <row r="57" spans="3:57" x14ac:dyDescent="0.25">
      <c r="H57" s="26"/>
    </row>
    <row r="58" spans="3:57" x14ac:dyDescent="0.25">
      <c r="H58" s="26"/>
    </row>
    <row r="59" spans="3:57" x14ac:dyDescent="0.25">
      <c r="C59" s="27"/>
      <c r="H59" s="26"/>
    </row>
    <row r="60" spans="3:57" x14ac:dyDescent="0.25">
      <c r="H60" s="26"/>
    </row>
    <row r="61" spans="3:57" x14ac:dyDescent="0.25">
      <c r="C61" s="27"/>
      <c r="H61" s="26"/>
    </row>
    <row r="62" spans="3:57" x14ac:dyDescent="0.25">
      <c r="H62" s="26"/>
      <c r="J62" s="26"/>
      <c r="AI62" s="26"/>
      <c r="BE62" s="26"/>
    </row>
    <row r="63" spans="3:57" x14ac:dyDescent="0.25">
      <c r="H63" s="26"/>
    </row>
    <row r="64" spans="3:57" x14ac:dyDescent="0.25">
      <c r="H64" s="26"/>
    </row>
    <row r="65" spans="8:57" x14ac:dyDescent="0.25">
      <c r="H65" s="26"/>
    </row>
    <row r="66" spans="8:57" x14ac:dyDescent="0.25">
      <c r="H66" s="26"/>
      <c r="J66" s="26"/>
      <c r="AI66" s="26"/>
      <c r="BE66" s="26"/>
    </row>
    <row r="67" spans="8:57" x14ac:dyDescent="0.25">
      <c r="H67" s="26"/>
    </row>
    <row r="68" spans="8:57" x14ac:dyDescent="0.25">
      <c r="H68" s="26"/>
      <c r="J68" s="26"/>
      <c r="AI68" s="26"/>
      <c r="BE68" s="26"/>
    </row>
    <row r="69" spans="8:57" x14ac:dyDescent="0.25">
      <c r="H69" s="26"/>
    </row>
    <row r="70" spans="8:57" x14ac:dyDescent="0.25">
      <c r="H70" s="26"/>
    </row>
    <row r="71" spans="8:57" x14ac:dyDescent="0.25">
      <c r="H71" s="26"/>
    </row>
    <row r="72" spans="8:57" x14ac:dyDescent="0.25">
      <c r="H72" s="26"/>
      <c r="J72" s="26"/>
      <c r="AI72" s="26"/>
      <c r="BE72" s="26"/>
    </row>
    <row r="73" spans="8:57" x14ac:dyDescent="0.25">
      <c r="H73" s="26"/>
    </row>
    <row r="74" spans="8:57" x14ac:dyDescent="0.25">
      <c r="H74" s="26"/>
    </row>
    <row r="75" spans="8:57" x14ac:dyDescent="0.25">
      <c r="H75" s="26"/>
    </row>
    <row r="76" spans="8:57" x14ac:dyDescent="0.25">
      <c r="H76" s="26"/>
      <c r="J76" s="26"/>
      <c r="AI76" s="26"/>
      <c r="BE76" s="26"/>
    </row>
    <row r="77" spans="8:57" x14ac:dyDescent="0.25">
      <c r="H77" s="26"/>
    </row>
    <row r="78" spans="8:57" x14ac:dyDescent="0.25">
      <c r="H78" s="26"/>
    </row>
    <row r="79" spans="8:57" x14ac:dyDescent="0.25">
      <c r="H79" s="26"/>
      <c r="J79" s="26"/>
      <c r="U79" s="26"/>
      <c r="V79" s="26"/>
      <c r="AI79" s="26"/>
      <c r="BE79" s="26"/>
    </row>
    <row r="80" spans="8:57" x14ac:dyDescent="0.25">
      <c r="H80" s="26"/>
    </row>
    <row r="81" spans="8:57" x14ac:dyDescent="0.25">
      <c r="H81" s="26"/>
    </row>
    <row r="82" spans="8:57" x14ac:dyDescent="0.25">
      <c r="H82" s="26"/>
    </row>
    <row r="83" spans="8:57" x14ac:dyDescent="0.25">
      <c r="H83" s="26"/>
    </row>
    <row r="84" spans="8:57" x14ac:dyDescent="0.25">
      <c r="H84" s="26"/>
    </row>
    <row r="85" spans="8:57" x14ac:dyDescent="0.25">
      <c r="H85" s="26"/>
      <c r="J85" s="26"/>
      <c r="U85" s="26"/>
      <c r="V85" s="26"/>
      <c r="AI85" s="26"/>
      <c r="BE85" s="26"/>
    </row>
    <row r="86" spans="8:57" x14ac:dyDescent="0.25">
      <c r="H86" s="26"/>
    </row>
    <row r="87" spans="8:57" x14ac:dyDescent="0.25">
      <c r="H87" s="26"/>
      <c r="J87" s="26"/>
      <c r="U87" s="26"/>
      <c r="V87" s="26"/>
      <c r="AI87" s="26"/>
      <c r="BE87" s="26"/>
    </row>
    <row r="88" spans="8:57" x14ac:dyDescent="0.25">
      <c r="H88" s="26"/>
    </row>
    <row r="89" spans="8:57" x14ac:dyDescent="0.25">
      <c r="H89" s="26"/>
    </row>
    <row r="90" spans="8:57" x14ac:dyDescent="0.25">
      <c r="H90" s="26"/>
      <c r="J90" s="26"/>
      <c r="AI90" s="26"/>
      <c r="BE90" s="26"/>
    </row>
    <row r="91" spans="8:57" x14ac:dyDescent="0.25">
      <c r="H91" s="26"/>
    </row>
    <row r="92" spans="8:57" x14ac:dyDescent="0.25">
      <c r="H92" s="26"/>
    </row>
    <row r="93" spans="8:57" x14ac:dyDescent="0.25">
      <c r="H93" s="26"/>
      <c r="J93" s="26"/>
      <c r="AI93" s="26"/>
      <c r="BE93" s="26"/>
    </row>
    <row r="94" spans="8:57" x14ac:dyDescent="0.25">
      <c r="H94" s="26"/>
    </row>
    <row r="95" spans="8:57" x14ac:dyDescent="0.25">
      <c r="H95" s="26"/>
      <c r="J95" s="26"/>
      <c r="AI95" s="26"/>
      <c r="BE95" s="26"/>
    </row>
    <row r="96" spans="8:57" x14ac:dyDescent="0.25">
      <c r="H96" s="26"/>
    </row>
    <row r="97" spans="8:57" x14ac:dyDescent="0.25">
      <c r="H97" s="26"/>
      <c r="J97" s="26"/>
      <c r="U97" s="26"/>
      <c r="V97" s="26"/>
      <c r="AI97" s="26"/>
      <c r="BE97" s="26"/>
    </row>
    <row r="98" spans="8:57" x14ac:dyDescent="0.25">
      <c r="H98" s="26"/>
      <c r="J98" s="26"/>
      <c r="AI98" s="26"/>
      <c r="BE98" s="26"/>
    </row>
    <row r="99" spans="8:57" x14ac:dyDescent="0.25">
      <c r="H99" s="26"/>
      <c r="J99" s="26"/>
      <c r="U99" s="26"/>
      <c r="V99" s="26"/>
      <c r="AI99" s="26"/>
      <c r="BE99" s="26"/>
    </row>
    <row r="100" spans="8:57" x14ac:dyDescent="0.25">
      <c r="H100" s="26"/>
      <c r="J100" s="26"/>
      <c r="U100" s="26"/>
      <c r="V100" s="26"/>
      <c r="AI100" s="26"/>
      <c r="BE100" s="26"/>
    </row>
    <row r="101" spans="8:57" x14ac:dyDescent="0.25">
      <c r="H101" s="26"/>
    </row>
    <row r="102" spans="8:57" x14ac:dyDescent="0.25">
      <c r="H102" s="26"/>
    </row>
    <row r="103" spans="8:57" x14ac:dyDescent="0.25">
      <c r="H103" s="26"/>
    </row>
    <row r="104" spans="8:57" x14ac:dyDescent="0.25">
      <c r="H104" s="26"/>
    </row>
    <row r="105" spans="8:57" x14ac:dyDescent="0.25">
      <c r="H105" s="26"/>
      <c r="J105" s="26"/>
      <c r="U105" s="26"/>
      <c r="V105" s="26"/>
      <c r="AI105" s="26"/>
      <c r="BE105" s="26"/>
    </row>
    <row r="106" spans="8:57" x14ac:dyDescent="0.25">
      <c r="H106" s="26"/>
      <c r="J106" s="26"/>
      <c r="U106" s="26"/>
      <c r="AI106" s="26"/>
      <c r="BE106" s="26"/>
    </row>
    <row r="107" spans="8:57" x14ac:dyDescent="0.25">
      <c r="H107" s="26"/>
      <c r="J107" s="26"/>
      <c r="U107" s="26"/>
      <c r="V107" s="26"/>
      <c r="AI107" s="26"/>
      <c r="BE107" s="26"/>
    </row>
    <row r="108" spans="8:57" x14ac:dyDescent="0.25">
      <c r="H108" s="26"/>
    </row>
    <row r="109" spans="8:57" x14ac:dyDescent="0.25">
      <c r="H109" s="26"/>
    </row>
    <row r="110" spans="8:57" x14ac:dyDescent="0.25">
      <c r="H110" s="26"/>
    </row>
    <row r="111" spans="8:57" x14ac:dyDescent="0.25">
      <c r="H111" s="26"/>
    </row>
    <row r="112" spans="8:57" x14ac:dyDescent="0.25">
      <c r="H112" s="26"/>
      <c r="J112" s="26"/>
      <c r="U112" s="26"/>
      <c r="V112" s="26"/>
      <c r="AI112" s="26"/>
      <c r="BE112" s="26"/>
    </row>
    <row r="113" spans="8:57" x14ac:dyDescent="0.25">
      <c r="H113" s="26"/>
      <c r="J113" s="26"/>
      <c r="U113" s="26"/>
      <c r="AI113" s="26"/>
      <c r="BE113" s="26"/>
    </row>
    <row r="114" spans="8:57" x14ac:dyDescent="0.25">
      <c r="H114" s="26"/>
    </row>
    <row r="115" spans="8:57" x14ac:dyDescent="0.25">
      <c r="H115" s="26"/>
      <c r="J115" s="26"/>
      <c r="U115" s="26"/>
      <c r="AI115" s="26"/>
      <c r="BE115" s="26"/>
    </row>
    <row r="116" spans="8:57" x14ac:dyDescent="0.25">
      <c r="H116" s="26"/>
    </row>
    <row r="117" spans="8:57" x14ac:dyDescent="0.25">
      <c r="H117" s="26"/>
    </row>
    <row r="118" spans="8:57" x14ac:dyDescent="0.25">
      <c r="H118" s="26"/>
    </row>
    <row r="119" spans="8:57" x14ac:dyDescent="0.25">
      <c r="H119" s="26"/>
      <c r="J119" s="26"/>
      <c r="AI119" s="26"/>
      <c r="BE119" s="26"/>
    </row>
    <row r="120" spans="8:57" x14ac:dyDescent="0.25">
      <c r="H120" s="26"/>
      <c r="J120" s="26"/>
      <c r="AI120" s="26"/>
      <c r="BE120" s="26"/>
    </row>
    <row r="121" spans="8:57" x14ac:dyDescent="0.25">
      <c r="H121" s="26"/>
      <c r="J121" s="26"/>
      <c r="U121" s="26"/>
      <c r="V121" s="26"/>
      <c r="AI121" s="26"/>
      <c r="BE121" s="26"/>
    </row>
    <row r="122" spans="8:57" x14ac:dyDescent="0.25">
      <c r="H122" s="26"/>
      <c r="J122" s="26"/>
      <c r="AI122" s="26"/>
      <c r="BE122" s="26"/>
    </row>
    <row r="123" spans="8:57" x14ac:dyDescent="0.25">
      <c r="H123" s="26"/>
    </row>
    <row r="124" spans="8:57" x14ac:dyDescent="0.25">
      <c r="H124" s="26"/>
    </row>
    <row r="125" spans="8:57" x14ac:dyDescent="0.25">
      <c r="H125" s="26"/>
      <c r="J125" s="26"/>
      <c r="U125" s="26"/>
      <c r="V125" s="26"/>
      <c r="AI125" s="26"/>
      <c r="BE125" s="26"/>
    </row>
    <row r="126" spans="8:57" x14ac:dyDescent="0.25">
      <c r="H126" s="26"/>
      <c r="J126" s="26"/>
      <c r="AI126" s="26"/>
      <c r="BE126" s="26"/>
    </row>
    <row r="127" spans="8:57" x14ac:dyDescent="0.25">
      <c r="H127" s="26"/>
    </row>
    <row r="128" spans="8:57" x14ac:dyDescent="0.25">
      <c r="H128" s="26"/>
      <c r="J128" s="26"/>
      <c r="U128" s="26"/>
      <c r="V128" s="26"/>
      <c r="AI128" s="26"/>
      <c r="BE128" s="26"/>
    </row>
    <row r="129" spans="3:57" x14ac:dyDescent="0.25">
      <c r="H129" s="26"/>
      <c r="J129" s="26"/>
      <c r="U129" s="26"/>
      <c r="V129" s="26"/>
      <c r="AI129" s="26"/>
      <c r="BE129" s="26"/>
    </row>
    <row r="130" spans="3:57" x14ac:dyDescent="0.25">
      <c r="H130" s="26"/>
      <c r="J130" s="26"/>
      <c r="AI130" s="26"/>
      <c r="BE130" s="26"/>
    </row>
    <row r="131" spans="3:57" x14ac:dyDescent="0.25">
      <c r="H131" s="26"/>
      <c r="J131" s="26"/>
      <c r="AI131" s="26"/>
      <c r="BE131" s="26"/>
    </row>
    <row r="132" spans="3:57" x14ac:dyDescent="0.25">
      <c r="H132" s="26"/>
    </row>
    <row r="133" spans="3:57" x14ac:dyDescent="0.25">
      <c r="H133" s="26"/>
    </row>
    <row r="134" spans="3:57" x14ac:dyDescent="0.25">
      <c r="H134" s="26"/>
    </row>
    <row r="135" spans="3:57" x14ac:dyDescent="0.25">
      <c r="H135" s="26"/>
      <c r="J135" s="26"/>
      <c r="AI135" s="26"/>
      <c r="BE135" s="26"/>
    </row>
    <row r="136" spans="3:57" x14ac:dyDescent="0.25">
      <c r="H136" s="26"/>
    </row>
    <row r="137" spans="3:57" x14ac:dyDescent="0.25">
      <c r="H137" s="26"/>
    </row>
    <row r="138" spans="3:57" x14ac:dyDescent="0.25">
      <c r="H138" s="26"/>
    </row>
    <row r="139" spans="3:57" x14ac:dyDescent="0.25">
      <c r="H139" s="26"/>
    </row>
    <row r="140" spans="3:57" x14ac:dyDescent="0.25">
      <c r="C140" s="27"/>
      <c r="H140" s="26"/>
    </row>
    <row r="141" spans="3:57" x14ac:dyDescent="0.25">
      <c r="C141" s="27"/>
      <c r="H141" s="26"/>
    </row>
    <row r="142" spans="3:57" x14ac:dyDescent="0.25">
      <c r="H142" s="26"/>
      <c r="J142" s="26"/>
      <c r="U142" s="26"/>
      <c r="V142" s="26"/>
      <c r="AI142" s="26"/>
      <c r="BE142" s="26"/>
    </row>
    <row r="143" spans="3:57" x14ac:dyDescent="0.25">
      <c r="H143" s="26"/>
      <c r="J143" s="26"/>
      <c r="U143" s="26"/>
      <c r="V143" s="26"/>
      <c r="AI143" s="26"/>
      <c r="BE143" s="26"/>
    </row>
    <row r="144" spans="3:57" x14ac:dyDescent="0.25">
      <c r="H144" s="26"/>
    </row>
    <row r="145" spans="8:57" x14ac:dyDescent="0.25">
      <c r="H145" s="26"/>
      <c r="J145" s="26"/>
      <c r="U145" s="26"/>
      <c r="V145" s="26"/>
      <c r="AI145" s="26"/>
      <c r="BE145" s="26"/>
    </row>
    <row r="146" spans="8:57" x14ac:dyDescent="0.25">
      <c r="H146" s="26"/>
      <c r="J146" s="26"/>
      <c r="AI146" s="26"/>
      <c r="BE146" s="26"/>
    </row>
    <row r="147" spans="8:57" x14ac:dyDescent="0.25">
      <c r="H147" s="26"/>
    </row>
    <row r="148" spans="8:57" x14ac:dyDescent="0.25">
      <c r="H148" s="26"/>
    </row>
    <row r="149" spans="8:57" x14ac:dyDescent="0.25">
      <c r="H149" s="26"/>
    </row>
    <row r="150" spans="8:57" x14ac:dyDescent="0.25">
      <c r="H150" s="26"/>
    </row>
    <row r="151" spans="8:57" x14ac:dyDescent="0.25">
      <c r="H151" s="26"/>
      <c r="J151" s="26"/>
      <c r="U151" s="26"/>
      <c r="V151" s="26"/>
      <c r="AI151" s="26"/>
      <c r="BE151" s="26"/>
    </row>
    <row r="152" spans="8:57" x14ac:dyDescent="0.25">
      <c r="H152" s="26"/>
    </row>
    <row r="153" spans="8:57" x14ac:dyDescent="0.25">
      <c r="H153" s="26"/>
      <c r="J153" s="26"/>
      <c r="U153" s="26"/>
      <c r="V153" s="26"/>
      <c r="AI153" s="26"/>
      <c r="BE153" s="26"/>
    </row>
    <row r="154" spans="8:57" x14ac:dyDescent="0.25">
      <c r="H154" s="26"/>
    </row>
    <row r="155" spans="8:57" x14ac:dyDescent="0.25">
      <c r="H155" s="26"/>
      <c r="J155" s="26"/>
      <c r="U155" s="26"/>
      <c r="V155" s="26"/>
      <c r="AI155" s="26"/>
      <c r="BE155" s="26"/>
    </row>
    <row r="156" spans="8:57" x14ac:dyDescent="0.25">
      <c r="H156" s="26"/>
    </row>
    <row r="157" spans="8:57" x14ac:dyDescent="0.25">
      <c r="H157" s="26"/>
      <c r="J157" s="26"/>
      <c r="U157" s="26"/>
      <c r="V157" s="26"/>
      <c r="AI157" s="26"/>
      <c r="BE157" s="26"/>
    </row>
    <row r="158" spans="8:57" x14ac:dyDescent="0.25">
      <c r="H158" s="26"/>
      <c r="J158" s="26"/>
      <c r="U158" s="26"/>
      <c r="V158" s="26"/>
      <c r="AI158" s="26"/>
      <c r="BE158" s="26"/>
    </row>
    <row r="159" spans="8:57" x14ac:dyDescent="0.25">
      <c r="H159" s="26"/>
      <c r="J159" s="26"/>
      <c r="AI159" s="26"/>
      <c r="BE159" s="26"/>
    </row>
    <row r="160" spans="8:57" x14ac:dyDescent="0.25">
      <c r="H160" s="26"/>
      <c r="J160" s="26"/>
      <c r="U160" s="26"/>
      <c r="V160" s="26"/>
      <c r="AI160" s="26"/>
      <c r="BE160" s="26"/>
    </row>
    <row r="161" spans="8:57" x14ac:dyDescent="0.25">
      <c r="H161" s="26"/>
      <c r="J161" s="26"/>
      <c r="U161" s="26"/>
      <c r="V161" s="26"/>
      <c r="AI161" s="26"/>
      <c r="BE161" s="26"/>
    </row>
    <row r="162" spans="8:57" x14ac:dyDescent="0.25">
      <c r="H162" s="26"/>
    </row>
    <row r="163" spans="8:57" x14ac:dyDescent="0.25">
      <c r="H163" s="26"/>
    </row>
    <row r="164" spans="8:57" x14ac:dyDescent="0.25">
      <c r="H164" s="26"/>
    </row>
    <row r="165" spans="8:57" x14ac:dyDescent="0.25">
      <c r="H165" s="26"/>
    </row>
    <row r="166" spans="8:57" x14ac:dyDescent="0.25">
      <c r="H166" s="26"/>
    </row>
    <row r="167" spans="8:57" x14ac:dyDescent="0.25">
      <c r="H167" s="26"/>
    </row>
    <row r="168" spans="8:57" x14ac:dyDescent="0.25">
      <c r="H168" s="26"/>
      <c r="J168" s="26"/>
      <c r="U168" s="26"/>
      <c r="V168" s="26"/>
      <c r="AI168" s="26"/>
      <c r="BE168" s="26"/>
    </row>
    <row r="169" spans="8:57" x14ac:dyDescent="0.25">
      <c r="H169" s="26"/>
      <c r="J169" s="26"/>
      <c r="AI169" s="26"/>
      <c r="BE169" s="26"/>
    </row>
    <row r="170" spans="8:57" x14ac:dyDescent="0.25">
      <c r="H170" s="26"/>
      <c r="J170" s="26"/>
      <c r="U170" s="26"/>
      <c r="V170" s="26"/>
      <c r="AI170" s="26"/>
      <c r="BE170" s="26"/>
    </row>
    <row r="171" spans="8:57" x14ac:dyDescent="0.25">
      <c r="H171" s="26"/>
    </row>
    <row r="172" spans="8:57" x14ac:dyDescent="0.25">
      <c r="H172" s="26"/>
    </row>
    <row r="173" spans="8:57" x14ac:dyDescent="0.25">
      <c r="H173" s="26"/>
      <c r="J173" s="26"/>
      <c r="U173" s="26"/>
      <c r="V173" s="26"/>
      <c r="AI173" s="26"/>
      <c r="BE173" s="26"/>
    </row>
    <row r="174" spans="8:57" x14ac:dyDescent="0.25">
      <c r="H174" s="26"/>
    </row>
    <row r="175" spans="8:57" x14ac:dyDescent="0.25">
      <c r="H175" s="26"/>
      <c r="J175" s="26"/>
      <c r="AI175" s="26"/>
      <c r="BE175" s="26"/>
    </row>
    <row r="176" spans="8:57" x14ac:dyDescent="0.25">
      <c r="H176" s="26"/>
    </row>
    <row r="177" spans="8:57" x14ac:dyDescent="0.25">
      <c r="H177" s="26"/>
    </row>
    <row r="178" spans="8:57" x14ac:dyDescent="0.25">
      <c r="H178" s="26"/>
    </row>
    <row r="179" spans="8:57" x14ac:dyDescent="0.25">
      <c r="H179" s="26"/>
    </row>
    <row r="180" spans="8:57" x14ac:dyDescent="0.25">
      <c r="H180" s="26"/>
    </row>
    <row r="181" spans="8:57" x14ac:dyDescent="0.25">
      <c r="H181" s="26"/>
      <c r="J181" s="26"/>
      <c r="AI181" s="26"/>
      <c r="BE181" s="26"/>
    </row>
    <row r="182" spans="8:57" x14ac:dyDescent="0.25">
      <c r="H182" s="26"/>
      <c r="J182" s="26"/>
      <c r="AI182" s="26"/>
      <c r="BE182" s="26"/>
    </row>
    <row r="183" spans="8:57" x14ac:dyDescent="0.25">
      <c r="H183" s="26"/>
      <c r="J183" s="26"/>
      <c r="U183" s="26"/>
      <c r="AI183" s="26"/>
      <c r="BE183" s="26"/>
    </row>
    <row r="184" spans="8:57" x14ac:dyDescent="0.25">
      <c r="H184" s="26"/>
    </row>
    <row r="185" spans="8:57" x14ac:dyDescent="0.25">
      <c r="H185" s="26"/>
    </row>
    <row r="186" spans="8:57" x14ac:dyDescent="0.25">
      <c r="H186" s="26"/>
    </row>
    <row r="187" spans="8:57" x14ac:dyDescent="0.25">
      <c r="H187" s="26"/>
    </row>
    <row r="188" spans="8:57" x14ac:dyDescent="0.25">
      <c r="H188" s="26"/>
    </row>
    <row r="189" spans="8:57" x14ac:dyDescent="0.25">
      <c r="H189" s="26"/>
      <c r="J189" s="26"/>
      <c r="AI189" s="26"/>
      <c r="BE189" s="26"/>
    </row>
    <row r="190" spans="8:57" x14ac:dyDescent="0.25">
      <c r="H190" s="26"/>
    </row>
    <row r="191" spans="8:57" x14ac:dyDescent="0.25">
      <c r="H191" s="26"/>
      <c r="J191" s="26"/>
      <c r="AI191" s="26"/>
      <c r="BE191" s="26"/>
    </row>
    <row r="192" spans="8:57" x14ac:dyDescent="0.25">
      <c r="H192" s="26"/>
    </row>
    <row r="193" spans="8:57" x14ac:dyDescent="0.25">
      <c r="H193" s="26"/>
    </row>
    <row r="194" spans="8:57" x14ac:dyDescent="0.25">
      <c r="H194" s="26"/>
    </row>
    <row r="195" spans="8:57" x14ac:dyDescent="0.25">
      <c r="H195" s="26"/>
    </row>
    <row r="196" spans="8:57" x14ac:dyDescent="0.25">
      <c r="H196" s="26"/>
    </row>
    <row r="197" spans="8:57" x14ac:dyDescent="0.25">
      <c r="H197" s="26"/>
    </row>
    <row r="198" spans="8:57" x14ac:dyDescent="0.25">
      <c r="H198" s="26"/>
    </row>
    <row r="199" spans="8:57" x14ac:dyDescent="0.25">
      <c r="H199" s="26"/>
      <c r="J199" s="26"/>
      <c r="AI199" s="26"/>
      <c r="BE199" s="26"/>
    </row>
    <row r="200" spans="8:57" x14ac:dyDescent="0.25">
      <c r="H200" s="26"/>
      <c r="J200" s="26"/>
      <c r="AI200" s="26"/>
      <c r="BE200" s="26"/>
    </row>
    <row r="201" spans="8:57" x14ac:dyDescent="0.25">
      <c r="H201" s="26"/>
    </row>
    <row r="202" spans="8:57" x14ac:dyDescent="0.25">
      <c r="H202" s="26"/>
    </row>
    <row r="203" spans="8:57" x14ac:dyDescent="0.25">
      <c r="H203" s="26"/>
      <c r="J203" s="26"/>
      <c r="AI203" s="26"/>
      <c r="BE203" s="26"/>
    </row>
    <row r="204" spans="8:57" x14ac:dyDescent="0.25">
      <c r="H204" s="26"/>
      <c r="J204" s="26"/>
      <c r="AI204" s="26"/>
      <c r="BE204" s="26"/>
    </row>
    <row r="205" spans="8:57" x14ac:dyDescent="0.25">
      <c r="H205" s="26"/>
    </row>
    <row r="206" spans="8:57" x14ac:dyDescent="0.25">
      <c r="H206" s="26"/>
    </row>
    <row r="207" spans="8:57" x14ac:dyDescent="0.25">
      <c r="H207" s="26"/>
      <c r="J207" s="26"/>
      <c r="AI207" s="26"/>
      <c r="BE207" s="26"/>
    </row>
    <row r="208" spans="8:57" x14ac:dyDescent="0.25">
      <c r="H208" s="26"/>
      <c r="J208" s="26"/>
      <c r="U208" s="26"/>
      <c r="V208" s="26"/>
      <c r="AI208" s="26"/>
      <c r="BE208" s="26"/>
    </row>
    <row r="209" spans="8:57" x14ac:dyDescent="0.25">
      <c r="H209" s="26"/>
      <c r="J209" s="26"/>
      <c r="AI209" s="26"/>
      <c r="BE209" s="26"/>
    </row>
    <row r="210" spans="8:57" x14ac:dyDescent="0.25">
      <c r="H210" s="26"/>
      <c r="J210" s="26"/>
      <c r="U210" s="26"/>
      <c r="V210" s="26"/>
      <c r="AI210" s="26"/>
      <c r="BE210" s="26"/>
    </row>
    <row r="211" spans="8:57" x14ac:dyDescent="0.25">
      <c r="H211" s="26"/>
      <c r="J211" s="26"/>
      <c r="AI211" s="26"/>
      <c r="BE211" s="26"/>
    </row>
    <row r="212" spans="8:57" x14ac:dyDescent="0.25">
      <c r="H212" s="26"/>
      <c r="J212" s="26"/>
      <c r="AI212" s="26"/>
      <c r="BE212" s="26"/>
    </row>
    <row r="213" spans="8:57" x14ac:dyDescent="0.25">
      <c r="H213" s="26"/>
      <c r="J213" s="26"/>
      <c r="AI213" s="26"/>
      <c r="BE213" s="26"/>
    </row>
    <row r="214" spans="8:57" x14ac:dyDescent="0.25">
      <c r="H214" s="26"/>
    </row>
    <row r="215" spans="8:57" x14ac:dyDescent="0.25">
      <c r="H215" s="26"/>
    </row>
    <row r="216" spans="8:57" x14ac:dyDescent="0.25">
      <c r="H216" s="26"/>
    </row>
    <row r="217" spans="8:57" x14ac:dyDescent="0.25">
      <c r="H217" s="26"/>
    </row>
    <row r="218" spans="8:57" x14ac:dyDescent="0.25">
      <c r="H218" s="26"/>
      <c r="J218" s="26"/>
      <c r="AI218" s="26"/>
      <c r="BE218" s="26"/>
    </row>
    <row r="219" spans="8:57" x14ac:dyDescent="0.25">
      <c r="H219" s="26"/>
      <c r="J219" s="26"/>
      <c r="AI219" s="26"/>
      <c r="BE219" s="26"/>
    </row>
    <row r="220" spans="8:57" x14ac:dyDescent="0.25">
      <c r="H220" s="26"/>
    </row>
    <row r="221" spans="8:57" x14ac:dyDescent="0.25">
      <c r="H221" s="26"/>
    </row>
    <row r="222" spans="8:57" x14ac:dyDescent="0.25">
      <c r="H222" s="26"/>
    </row>
    <row r="223" spans="8:57" x14ac:dyDescent="0.25">
      <c r="H223" s="26"/>
    </row>
    <row r="224" spans="8:57" x14ac:dyDescent="0.25">
      <c r="H224" s="26"/>
    </row>
    <row r="225" spans="8:57" x14ac:dyDescent="0.25">
      <c r="H225" s="26"/>
    </row>
    <row r="226" spans="8:57" x14ac:dyDescent="0.25">
      <c r="H226" s="26"/>
    </row>
    <row r="227" spans="8:57" x14ac:dyDescent="0.25">
      <c r="H227" s="26"/>
      <c r="J227" s="26"/>
      <c r="AI227" s="26"/>
      <c r="BE227" s="26"/>
    </row>
    <row r="228" spans="8:57" x14ac:dyDescent="0.25">
      <c r="H228" s="26"/>
    </row>
    <row r="229" spans="8:57" x14ac:dyDescent="0.25">
      <c r="H229" s="26"/>
    </row>
    <row r="230" spans="8:57" x14ac:dyDescent="0.25">
      <c r="H230" s="26"/>
      <c r="J230" s="26"/>
      <c r="AI230" s="26"/>
      <c r="BE230" s="26"/>
    </row>
    <row r="231" spans="8:57" x14ac:dyDescent="0.25">
      <c r="H231" s="26"/>
      <c r="J231" s="26"/>
      <c r="AI231" s="26"/>
      <c r="BE231" s="26"/>
    </row>
    <row r="232" spans="8:57" x14ac:dyDescent="0.25">
      <c r="H232" s="26"/>
      <c r="J232" s="26"/>
      <c r="U232" s="26"/>
      <c r="V232" s="26"/>
      <c r="AI232" s="26"/>
      <c r="BE232" s="26"/>
    </row>
    <row r="233" spans="8:57" x14ac:dyDescent="0.25">
      <c r="H233" s="26"/>
    </row>
    <row r="234" spans="8:57" x14ac:dyDescent="0.25">
      <c r="H234" s="26"/>
      <c r="J234" s="26"/>
      <c r="U234" s="26"/>
      <c r="V234" s="26"/>
      <c r="AI234" s="26"/>
      <c r="BE234" s="26"/>
    </row>
    <row r="235" spans="8:57" x14ac:dyDescent="0.25">
      <c r="H235" s="26"/>
    </row>
    <row r="236" spans="8:57" x14ac:dyDescent="0.25">
      <c r="H236" s="26"/>
    </row>
    <row r="237" spans="8:57" x14ac:dyDescent="0.25">
      <c r="H237" s="26"/>
    </row>
    <row r="238" spans="8:57" x14ac:dyDescent="0.25">
      <c r="H238" s="26"/>
      <c r="J238" s="26"/>
      <c r="AI238" s="26"/>
      <c r="BE238" s="26"/>
    </row>
    <row r="239" spans="8:57" x14ac:dyDescent="0.25">
      <c r="H239" s="26"/>
      <c r="J239" s="26"/>
      <c r="AI239" s="26"/>
      <c r="BE239" s="26"/>
    </row>
    <row r="240" spans="8:57" x14ac:dyDescent="0.25">
      <c r="H240" s="26"/>
      <c r="J240" s="26"/>
      <c r="AI240" s="26"/>
      <c r="BE240" s="26"/>
    </row>
    <row r="241" spans="8:57" x14ac:dyDescent="0.25">
      <c r="H241" s="26"/>
      <c r="J241" s="26"/>
      <c r="AI241" s="26"/>
      <c r="BE241" s="26"/>
    </row>
    <row r="242" spans="8:57" x14ac:dyDescent="0.25">
      <c r="H242" s="26"/>
      <c r="J242" s="26"/>
      <c r="AI242" s="26"/>
      <c r="BE242" s="26"/>
    </row>
    <row r="243" spans="8:57" x14ac:dyDescent="0.25">
      <c r="H243" s="26"/>
      <c r="J243" s="26"/>
      <c r="U243" s="26"/>
      <c r="V243" s="26"/>
      <c r="AI243" s="26"/>
      <c r="BE243" s="26"/>
    </row>
    <row r="244" spans="8:57" x14ac:dyDescent="0.25">
      <c r="H244" s="26"/>
    </row>
    <row r="245" spans="8:57" x14ac:dyDescent="0.25">
      <c r="H245" s="26"/>
    </row>
    <row r="246" spans="8:57" x14ac:dyDescent="0.25">
      <c r="H246" s="26"/>
    </row>
    <row r="247" spans="8:57" x14ac:dyDescent="0.25">
      <c r="H247" s="26"/>
    </row>
    <row r="248" spans="8:57" x14ac:dyDescent="0.25">
      <c r="H248" s="26"/>
    </row>
    <row r="249" spans="8:57" x14ac:dyDescent="0.25">
      <c r="H249" s="26"/>
    </row>
    <row r="250" spans="8:57" x14ac:dyDescent="0.25">
      <c r="H250" s="26"/>
    </row>
    <row r="251" spans="8:57" x14ac:dyDescent="0.25">
      <c r="H251" s="26"/>
    </row>
    <row r="252" spans="8:57" x14ac:dyDescent="0.25">
      <c r="H252" s="26"/>
    </row>
    <row r="253" spans="8:57" x14ac:dyDescent="0.25">
      <c r="H253" s="26"/>
    </row>
    <row r="254" spans="8:57" x14ac:dyDescent="0.25">
      <c r="H254" s="26"/>
    </row>
    <row r="255" spans="8:57" x14ac:dyDescent="0.25">
      <c r="H255" s="26"/>
    </row>
    <row r="256" spans="8:57" x14ac:dyDescent="0.25">
      <c r="H256" s="26"/>
      <c r="J256" s="26"/>
      <c r="U256" s="26"/>
      <c r="V256" s="26"/>
      <c r="AI256" s="26"/>
      <c r="BE256" s="26"/>
    </row>
    <row r="257" spans="8:57" x14ac:dyDescent="0.25">
      <c r="H257" s="26"/>
    </row>
    <row r="258" spans="8:57" x14ac:dyDescent="0.25">
      <c r="H258" s="26"/>
      <c r="J258" s="26"/>
      <c r="AI258" s="26"/>
      <c r="BE258" s="26"/>
    </row>
    <row r="259" spans="8:57" x14ac:dyDescent="0.25">
      <c r="H259" s="26"/>
    </row>
    <row r="260" spans="8:57" x14ac:dyDescent="0.25">
      <c r="H260" s="26"/>
      <c r="J260" s="26"/>
      <c r="AI260" s="26"/>
      <c r="BE260" s="26"/>
    </row>
    <row r="261" spans="8:57" x14ac:dyDescent="0.25">
      <c r="H261" s="26"/>
    </row>
    <row r="262" spans="8:57" x14ac:dyDescent="0.25">
      <c r="H262" s="26"/>
      <c r="J262" s="26"/>
      <c r="U262" s="26"/>
      <c r="AI262" s="26"/>
      <c r="BE262" s="26"/>
    </row>
    <row r="263" spans="8:57" x14ac:dyDescent="0.25">
      <c r="H263" s="26"/>
    </row>
    <row r="264" spans="8:57" x14ac:dyDescent="0.25">
      <c r="H264" s="26"/>
    </row>
    <row r="265" spans="8:57" x14ac:dyDescent="0.25">
      <c r="H265" s="26"/>
    </row>
    <row r="266" spans="8:57" x14ac:dyDescent="0.25">
      <c r="H266" s="26"/>
    </row>
    <row r="267" spans="8:57" x14ac:dyDescent="0.25">
      <c r="H267" s="26"/>
      <c r="J267" s="26"/>
      <c r="AI267" s="26"/>
      <c r="BE267" s="26"/>
    </row>
    <row r="268" spans="8:57" x14ac:dyDescent="0.25">
      <c r="H268" s="26"/>
    </row>
    <row r="269" spans="8:57" x14ac:dyDescent="0.25">
      <c r="H269" s="26"/>
    </row>
    <row r="270" spans="8:57" x14ac:dyDescent="0.25">
      <c r="H270" s="26"/>
    </row>
    <row r="271" spans="8:57" x14ac:dyDescent="0.25">
      <c r="H271" s="26"/>
    </row>
    <row r="272" spans="8:57" x14ac:dyDescent="0.25">
      <c r="H272" s="26"/>
    </row>
    <row r="273" spans="8:57" x14ac:dyDescent="0.25">
      <c r="H273" s="26"/>
    </row>
    <row r="274" spans="8:57" x14ac:dyDescent="0.25">
      <c r="H274" s="26"/>
    </row>
    <row r="275" spans="8:57" x14ac:dyDescent="0.25">
      <c r="H275" s="26"/>
      <c r="J275" s="26"/>
      <c r="U275" s="26"/>
      <c r="V275" s="26"/>
      <c r="AI275" s="26"/>
      <c r="BE275" s="26"/>
    </row>
    <row r="276" spans="8:57" x14ac:dyDescent="0.25">
      <c r="H276" s="26"/>
    </row>
    <row r="277" spans="8:57" x14ac:dyDescent="0.25">
      <c r="H277" s="26"/>
    </row>
    <row r="278" spans="8:57" x14ac:dyDescent="0.25">
      <c r="H278" s="26"/>
    </row>
    <row r="279" spans="8:57" x14ac:dyDescent="0.25">
      <c r="H279" s="26"/>
    </row>
    <row r="280" spans="8:57" x14ac:dyDescent="0.25">
      <c r="H280" s="26"/>
    </row>
    <row r="281" spans="8:57" x14ac:dyDescent="0.25">
      <c r="H281" s="26"/>
    </row>
    <row r="282" spans="8:57" x14ac:dyDescent="0.25">
      <c r="H282" s="26"/>
    </row>
    <row r="283" spans="8:57" x14ac:dyDescent="0.25">
      <c r="H283" s="26"/>
    </row>
    <row r="284" spans="8:57" x14ac:dyDescent="0.25">
      <c r="H284" s="26"/>
      <c r="J284" s="26"/>
      <c r="U284" s="26"/>
      <c r="V284" s="26"/>
      <c r="AI284" s="26"/>
      <c r="BE284" s="26"/>
    </row>
    <row r="285" spans="8:57" x14ac:dyDescent="0.25">
      <c r="H285" s="26"/>
      <c r="J285" s="26"/>
      <c r="AI285" s="26"/>
      <c r="BE285" s="26"/>
    </row>
    <row r="286" spans="8:57" x14ac:dyDescent="0.25">
      <c r="H286" s="26"/>
      <c r="J286" s="26"/>
      <c r="AI286" s="26"/>
      <c r="BE286" s="26"/>
    </row>
    <row r="287" spans="8:57" x14ac:dyDescent="0.25">
      <c r="H287" s="26"/>
    </row>
    <row r="288" spans="8:57" x14ac:dyDescent="0.25">
      <c r="H288" s="26"/>
      <c r="J288" s="26"/>
      <c r="AI288" s="26"/>
      <c r="BE288" s="26"/>
    </row>
    <row r="289" spans="8:57" x14ac:dyDescent="0.25">
      <c r="H289" s="26"/>
      <c r="J289" s="26"/>
      <c r="U289" s="26"/>
      <c r="V289" s="26"/>
      <c r="AI289" s="26"/>
      <c r="BE289" s="26"/>
    </row>
    <row r="290" spans="8:57" x14ac:dyDescent="0.25">
      <c r="H290" s="26"/>
      <c r="J290" s="26"/>
      <c r="U290" s="26"/>
      <c r="V290" s="26"/>
      <c r="AI290" s="26"/>
      <c r="BE290" s="26"/>
    </row>
    <row r="291" spans="8:57" x14ac:dyDescent="0.25">
      <c r="H291" s="26"/>
      <c r="J291" s="26"/>
      <c r="U291" s="26"/>
      <c r="V291" s="26"/>
      <c r="AI291" s="26"/>
      <c r="BE291" s="26"/>
    </row>
    <row r="292" spans="8:57" x14ac:dyDescent="0.25">
      <c r="H292" s="26"/>
    </row>
    <row r="293" spans="8:57" x14ac:dyDescent="0.25">
      <c r="H293" s="26"/>
      <c r="J293" s="26"/>
      <c r="AI293" s="26"/>
      <c r="BE293" s="26"/>
    </row>
    <row r="294" spans="8:57" x14ac:dyDescent="0.25">
      <c r="H294" s="26"/>
      <c r="J294" s="26"/>
      <c r="AI294" s="26"/>
      <c r="BE294" s="26"/>
    </row>
    <row r="295" spans="8:57" x14ac:dyDescent="0.25">
      <c r="H295" s="26"/>
      <c r="J295" s="26"/>
      <c r="U295" s="26"/>
      <c r="V295" s="26"/>
      <c r="AI295" s="26"/>
      <c r="BE295" s="26"/>
    </row>
    <row r="296" spans="8:57" x14ac:dyDescent="0.25">
      <c r="H296" s="26"/>
      <c r="J296" s="26"/>
      <c r="AI296" s="26"/>
      <c r="BE296" s="26"/>
    </row>
    <row r="297" spans="8:57" x14ac:dyDescent="0.25">
      <c r="H297" s="26"/>
      <c r="J297" s="26"/>
      <c r="AI297" s="26"/>
      <c r="BE297" s="26"/>
    </row>
    <row r="298" spans="8:57" x14ac:dyDescent="0.25">
      <c r="H298" s="26"/>
    </row>
    <row r="299" spans="8:57" x14ac:dyDescent="0.25">
      <c r="H299" s="26"/>
      <c r="J299" s="26"/>
      <c r="U299" s="26"/>
      <c r="V299" s="26"/>
      <c r="AI299" s="26"/>
      <c r="BE299" s="26"/>
    </row>
    <row r="300" spans="8:57" x14ac:dyDescent="0.25">
      <c r="H300" s="26"/>
      <c r="J300" s="26"/>
      <c r="U300" s="26"/>
      <c r="V300" s="26"/>
      <c r="AI300" s="26"/>
      <c r="BE300" s="26"/>
    </row>
    <row r="301" spans="8:57" x14ac:dyDescent="0.25">
      <c r="H301" s="26"/>
      <c r="J301" s="26"/>
      <c r="U301" s="26"/>
      <c r="V301" s="26"/>
      <c r="AI301" s="26"/>
      <c r="BE301" s="26"/>
    </row>
    <row r="302" spans="8:57" x14ac:dyDescent="0.25">
      <c r="H302" s="26"/>
      <c r="J302" s="26"/>
      <c r="U302" s="26"/>
      <c r="V302" s="26"/>
      <c r="AI302" s="26"/>
      <c r="BE302" s="26"/>
    </row>
    <row r="303" spans="8:57" x14ac:dyDescent="0.25">
      <c r="H303" s="26"/>
      <c r="J303" s="26"/>
      <c r="AI303" s="26"/>
      <c r="BE303" s="26"/>
    </row>
    <row r="304" spans="8:57" x14ac:dyDescent="0.25">
      <c r="H304" s="26"/>
      <c r="J304" s="26"/>
      <c r="AI304" s="26"/>
      <c r="BE304" s="26"/>
    </row>
    <row r="305" spans="8:57" x14ac:dyDescent="0.25">
      <c r="H305" s="26"/>
      <c r="J305" s="26"/>
      <c r="U305" s="26"/>
      <c r="V305" s="26"/>
      <c r="AI305" s="26"/>
      <c r="BE305" s="26"/>
    </row>
    <row r="306" spans="8:57" x14ac:dyDescent="0.25">
      <c r="H306" s="26"/>
      <c r="J306" s="26"/>
      <c r="AI306" s="26"/>
      <c r="BE306" s="26"/>
    </row>
    <row r="307" spans="8:57" x14ac:dyDescent="0.25">
      <c r="H307" s="26"/>
    </row>
    <row r="308" spans="8:57" x14ac:dyDescent="0.25">
      <c r="H308" s="26"/>
      <c r="J308" s="26"/>
      <c r="AI308" s="26"/>
      <c r="BE308" s="26"/>
    </row>
    <row r="309" spans="8:57" x14ac:dyDescent="0.25">
      <c r="H309" s="26"/>
      <c r="J309" s="26"/>
      <c r="AI309" s="26"/>
      <c r="BE309" s="26"/>
    </row>
    <row r="310" spans="8:57" x14ac:dyDescent="0.25">
      <c r="H310" s="26"/>
    </row>
    <row r="311" spans="8:57" x14ac:dyDescent="0.25">
      <c r="H311" s="26"/>
      <c r="J311" s="26"/>
      <c r="U311" s="26"/>
      <c r="V311" s="26"/>
      <c r="AI311" s="26"/>
      <c r="BE311" s="26"/>
    </row>
    <row r="312" spans="8:57" x14ac:dyDescent="0.25">
      <c r="H312" s="26"/>
    </row>
    <row r="313" spans="8:57" x14ac:dyDescent="0.25">
      <c r="H313" s="26"/>
    </row>
    <row r="314" spans="8:57" x14ac:dyDescent="0.25">
      <c r="H314" s="26"/>
      <c r="J314" s="26"/>
      <c r="U314" s="26"/>
      <c r="V314" s="26"/>
      <c r="AI314" s="26"/>
      <c r="BE314" s="26"/>
    </row>
    <row r="315" spans="8:57" x14ac:dyDescent="0.25">
      <c r="H315" s="26"/>
    </row>
    <row r="316" spans="8:57" x14ac:dyDescent="0.25">
      <c r="H316" s="26"/>
    </row>
    <row r="317" spans="8:57" x14ac:dyDescent="0.25">
      <c r="H317" s="26"/>
    </row>
    <row r="318" spans="8:57" x14ac:dyDescent="0.25">
      <c r="H318" s="26"/>
    </row>
    <row r="319" spans="8:57" x14ac:dyDescent="0.25">
      <c r="H319" s="26"/>
      <c r="J319" s="26"/>
      <c r="AI319" s="26"/>
      <c r="BE319" s="26"/>
    </row>
    <row r="320" spans="8:57" x14ac:dyDescent="0.25">
      <c r="H320" s="26"/>
    </row>
    <row r="321" spans="8:57" x14ac:dyDescent="0.25">
      <c r="H321" s="26"/>
    </row>
    <row r="322" spans="8:57" x14ac:dyDescent="0.25">
      <c r="H322" s="26"/>
      <c r="J322" s="26"/>
      <c r="U322" s="26"/>
      <c r="V322" s="26"/>
      <c r="AI322" s="26"/>
      <c r="BE322" s="26"/>
    </row>
    <row r="323" spans="8:57" x14ac:dyDescent="0.25">
      <c r="H323" s="26"/>
      <c r="J323" s="26"/>
      <c r="AI323" s="26"/>
      <c r="BE323" s="26"/>
    </row>
    <row r="324" spans="8:57" x14ac:dyDescent="0.25">
      <c r="H324" s="26"/>
      <c r="J324" s="26"/>
      <c r="U324" s="26"/>
      <c r="V324" s="26"/>
      <c r="AI324" s="26"/>
      <c r="BE324" s="26"/>
    </row>
    <row r="325" spans="8:57" x14ac:dyDescent="0.25">
      <c r="H325" s="26"/>
      <c r="J325" s="26"/>
      <c r="U325" s="26"/>
      <c r="V325" s="26"/>
      <c r="AI325" s="26"/>
      <c r="BE325" s="26"/>
    </row>
    <row r="326" spans="8:57" x14ac:dyDescent="0.25">
      <c r="H326" s="26"/>
      <c r="J326" s="26"/>
      <c r="AI326" s="26"/>
      <c r="BE326" s="26"/>
    </row>
    <row r="327" spans="8:57" x14ac:dyDescent="0.25">
      <c r="H327" s="26"/>
    </row>
    <row r="328" spans="8:57" x14ac:dyDescent="0.25">
      <c r="H328" s="26"/>
      <c r="J328" s="26"/>
      <c r="AI328" s="26"/>
      <c r="BE328" s="26"/>
    </row>
    <row r="329" spans="8:57" x14ac:dyDescent="0.25">
      <c r="H329" s="26"/>
    </row>
    <row r="330" spans="8:57" x14ac:dyDescent="0.25">
      <c r="H330" s="26"/>
      <c r="J330" s="26"/>
      <c r="U330" s="26"/>
      <c r="V330" s="26"/>
      <c r="AI330" s="26"/>
      <c r="BE330" s="26"/>
    </row>
    <row r="331" spans="8:57" x14ac:dyDescent="0.25">
      <c r="H331" s="26"/>
    </row>
    <row r="332" spans="8:57" x14ac:dyDescent="0.25">
      <c r="H332" s="26"/>
      <c r="J332" s="26"/>
      <c r="AI332" s="26"/>
      <c r="BE332" s="26"/>
    </row>
    <row r="333" spans="8:57" x14ac:dyDescent="0.25">
      <c r="H333" s="26"/>
      <c r="J333" s="26"/>
      <c r="AI333" s="26"/>
      <c r="BE333" s="26"/>
    </row>
    <row r="334" spans="8:57" x14ac:dyDescent="0.25">
      <c r="H334" s="26"/>
    </row>
    <row r="335" spans="8:57" x14ac:dyDescent="0.25">
      <c r="H335" s="26"/>
    </row>
    <row r="336" spans="8:57" x14ac:dyDescent="0.25">
      <c r="H336" s="26"/>
    </row>
    <row r="337" spans="8:57" x14ac:dyDescent="0.25">
      <c r="H337" s="26"/>
    </row>
    <row r="338" spans="8:57" x14ac:dyDescent="0.25">
      <c r="H338" s="26"/>
    </row>
    <row r="339" spans="8:57" x14ac:dyDescent="0.25">
      <c r="H339" s="26"/>
    </row>
    <row r="340" spans="8:57" x14ac:dyDescent="0.25">
      <c r="H340" s="26"/>
      <c r="J340" s="26"/>
      <c r="AI340" s="26"/>
      <c r="BE340" s="26"/>
    </row>
    <row r="341" spans="8:57" x14ac:dyDescent="0.25">
      <c r="H341" s="26"/>
      <c r="J341" s="26"/>
      <c r="AI341" s="26"/>
      <c r="BE341" s="26"/>
    </row>
    <row r="342" spans="8:57" x14ac:dyDescent="0.25">
      <c r="H342" s="26"/>
      <c r="J342" s="26"/>
      <c r="AI342" s="26"/>
      <c r="BE342" s="26"/>
    </row>
    <row r="343" spans="8:57" x14ac:dyDescent="0.25">
      <c r="H343" s="26"/>
    </row>
    <row r="344" spans="8:57" x14ac:dyDescent="0.25">
      <c r="H344" s="26"/>
      <c r="J344" s="26"/>
      <c r="AI344" s="26"/>
      <c r="BE344" s="26"/>
    </row>
    <row r="345" spans="8:57" x14ac:dyDescent="0.25">
      <c r="H345" s="26"/>
    </row>
    <row r="346" spans="8:57" x14ac:dyDescent="0.25">
      <c r="H346" s="26"/>
    </row>
    <row r="347" spans="8:57" x14ac:dyDescent="0.25">
      <c r="H347" s="26"/>
    </row>
    <row r="348" spans="8:57" x14ac:dyDescent="0.25">
      <c r="H348" s="26"/>
    </row>
    <row r="349" spans="8:57" x14ac:dyDescent="0.25">
      <c r="H349" s="26"/>
      <c r="J349" s="26"/>
      <c r="U349" s="26"/>
      <c r="AI349" s="26"/>
      <c r="BE349" s="26"/>
    </row>
    <row r="350" spans="8:57" x14ac:dyDescent="0.25">
      <c r="H350" s="26"/>
      <c r="J350" s="26"/>
      <c r="AI350" s="26"/>
      <c r="BE350" s="26"/>
    </row>
    <row r="351" spans="8:57" x14ac:dyDescent="0.25">
      <c r="H351" s="26"/>
      <c r="J351" s="26"/>
      <c r="AI351" s="26"/>
      <c r="BE351" s="26"/>
    </row>
    <row r="352" spans="8:57" x14ac:dyDescent="0.25">
      <c r="H352" s="26"/>
      <c r="J352" s="26"/>
      <c r="AI352" s="26"/>
      <c r="BE352" s="26"/>
    </row>
    <row r="353" spans="8:57" x14ac:dyDescent="0.25">
      <c r="H353" s="26"/>
      <c r="J353" s="26"/>
      <c r="AI353" s="26"/>
      <c r="BE353" s="26"/>
    </row>
    <row r="354" spans="8:57" x14ac:dyDescent="0.25">
      <c r="H354" s="26"/>
      <c r="J354" s="26"/>
      <c r="AI354" s="26"/>
      <c r="BE354" s="26"/>
    </row>
    <row r="355" spans="8:57" x14ac:dyDescent="0.25">
      <c r="H355" s="26"/>
      <c r="J355" s="26"/>
      <c r="AI355" s="26"/>
      <c r="BE355" s="26"/>
    </row>
    <row r="356" spans="8:57" x14ac:dyDescent="0.25">
      <c r="H356" s="26"/>
    </row>
    <row r="357" spans="8:57" x14ac:dyDescent="0.25">
      <c r="H357" s="26"/>
    </row>
    <row r="358" spans="8:57" x14ac:dyDescent="0.25">
      <c r="H358" s="26"/>
    </row>
    <row r="359" spans="8:57" x14ac:dyDescent="0.25">
      <c r="H359" s="26"/>
    </row>
    <row r="360" spans="8:57" x14ac:dyDescent="0.25">
      <c r="H360" s="26"/>
      <c r="J360" s="26"/>
      <c r="AI360" s="26"/>
      <c r="BE360" s="26"/>
    </row>
    <row r="361" spans="8:57" x14ac:dyDescent="0.25">
      <c r="H361" s="26"/>
    </row>
    <row r="362" spans="8:57" x14ac:dyDescent="0.25">
      <c r="H362" s="26"/>
      <c r="J362" s="26"/>
      <c r="AI362" s="26"/>
      <c r="BE362" s="26"/>
    </row>
    <row r="363" spans="8:57" x14ac:dyDescent="0.25">
      <c r="H363" s="26"/>
    </row>
    <row r="364" spans="8:57" x14ac:dyDescent="0.25">
      <c r="H364" s="26"/>
    </row>
    <row r="365" spans="8:57" x14ac:dyDescent="0.25">
      <c r="H365" s="26"/>
    </row>
    <row r="366" spans="8:57" x14ac:dyDescent="0.25">
      <c r="H366" s="26"/>
    </row>
    <row r="367" spans="8:57" x14ac:dyDescent="0.25">
      <c r="H367" s="26"/>
    </row>
    <row r="368" spans="8:57" x14ac:dyDescent="0.25">
      <c r="H368" s="26"/>
    </row>
    <row r="369" spans="8:57" x14ac:dyDescent="0.25">
      <c r="H369" s="26"/>
      <c r="J369" s="26"/>
      <c r="AI369" s="26"/>
      <c r="BE369" s="26"/>
    </row>
    <row r="370" spans="8:57" x14ac:dyDescent="0.25">
      <c r="H370" s="26"/>
      <c r="J370" s="26"/>
      <c r="AI370" s="26"/>
      <c r="BE370" s="26"/>
    </row>
    <row r="371" spans="8:57" x14ac:dyDescent="0.25">
      <c r="H371" s="26"/>
      <c r="J371" s="26"/>
      <c r="AI371" s="26"/>
      <c r="BE371" s="26"/>
    </row>
    <row r="372" spans="8:57" x14ac:dyDescent="0.25">
      <c r="H372" s="26"/>
      <c r="J372" s="26"/>
      <c r="U372" s="26"/>
      <c r="V372" s="26"/>
      <c r="AI372" s="26"/>
      <c r="BE372" s="26"/>
    </row>
    <row r="373" spans="8:57" x14ac:dyDescent="0.25">
      <c r="H373" s="26"/>
      <c r="J373" s="26"/>
      <c r="AI373" s="26"/>
      <c r="BE373" s="26"/>
    </row>
    <row r="374" spans="8:57" x14ac:dyDescent="0.25">
      <c r="H374" s="26"/>
    </row>
    <row r="375" spans="8:57" x14ac:dyDescent="0.25">
      <c r="H375" s="26"/>
      <c r="J375" s="26"/>
      <c r="AI375" s="26"/>
      <c r="BE375" s="26"/>
    </row>
    <row r="376" spans="8:57" x14ac:dyDescent="0.25">
      <c r="H376" s="26"/>
      <c r="J376" s="26"/>
      <c r="AI376" s="26"/>
      <c r="BE376" s="26"/>
    </row>
    <row r="377" spans="8:57" x14ac:dyDescent="0.25">
      <c r="H377" s="26"/>
      <c r="J377" s="26"/>
      <c r="AI377" s="26"/>
      <c r="BE377" s="26"/>
    </row>
    <row r="378" spans="8:57" x14ac:dyDescent="0.25">
      <c r="H378" s="26"/>
      <c r="J378" s="26"/>
      <c r="AI378" s="26"/>
      <c r="BE378" s="26"/>
    </row>
    <row r="379" spans="8:57" x14ac:dyDescent="0.25">
      <c r="H379" s="26"/>
    </row>
    <row r="380" spans="8:57" x14ac:dyDescent="0.25">
      <c r="H380" s="26"/>
    </row>
    <row r="381" spans="8:57" x14ac:dyDescent="0.25">
      <c r="H381" s="26"/>
    </row>
    <row r="382" spans="8:57" x14ac:dyDescent="0.25">
      <c r="H382" s="26"/>
    </row>
    <row r="383" spans="8:57" x14ac:dyDescent="0.25">
      <c r="H383" s="26"/>
    </row>
    <row r="384" spans="8:57" x14ac:dyDescent="0.25">
      <c r="H384" s="26"/>
    </row>
    <row r="385" spans="8:57" x14ac:dyDescent="0.25">
      <c r="H385" s="26"/>
    </row>
    <row r="386" spans="8:57" x14ac:dyDescent="0.25">
      <c r="H386" s="26"/>
    </row>
    <row r="387" spans="8:57" x14ac:dyDescent="0.25">
      <c r="H387" s="26"/>
      <c r="J387" s="26"/>
      <c r="U387" s="26"/>
      <c r="V387" s="26"/>
      <c r="AI387" s="26"/>
      <c r="BE387" s="26"/>
    </row>
    <row r="388" spans="8:57" x14ac:dyDescent="0.25">
      <c r="H388" s="26"/>
      <c r="J388" s="26"/>
      <c r="U388" s="26"/>
      <c r="V388" s="26"/>
      <c r="AI388" s="26"/>
      <c r="BE388" s="26"/>
    </row>
    <row r="389" spans="8:57" x14ac:dyDescent="0.25">
      <c r="H389" s="26"/>
    </row>
    <row r="390" spans="8:57" x14ac:dyDescent="0.25">
      <c r="H390" s="26"/>
    </row>
    <row r="391" spans="8:57" x14ac:dyDescent="0.25">
      <c r="H391" s="26"/>
      <c r="J391" s="26"/>
      <c r="AI391" s="26"/>
      <c r="BE391" s="26"/>
    </row>
    <row r="392" spans="8:57" x14ac:dyDescent="0.25">
      <c r="H392" s="26"/>
    </row>
    <row r="393" spans="8:57" x14ac:dyDescent="0.25">
      <c r="H393" s="26"/>
    </row>
    <row r="394" spans="8:57" x14ac:dyDescent="0.25">
      <c r="H394" s="26"/>
      <c r="J394" s="26"/>
      <c r="AI394" s="26"/>
      <c r="BE394" s="26"/>
    </row>
    <row r="395" spans="8:57" x14ac:dyDescent="0.25">
      <c r="H395" s="26"/>
      <c r="J395" s="26"/>
      <c r="U395" s="26"/>
      <c r="V395" s="26"/>
      <c r="AI395" s="26"/>
      <c r="BE395" s="26"/>
    </row>
    <row r="396" spans="8:57" x14ac:dyDescent="0.25">
      <c r="H396" s="26"/>
    </row>
    <row r="397" spans="8:57" x14ac:dyDescent="0.25">
      <c r="H397" s="26"/>
      <c r="J397" s="26"/>
      <c r="AI397" s="26"/>
      <c r="BE397" s="26"/>
    </row>
    <row r="398" spans="8:57" x14ac:dyDescent="0.25">
      <c r="H398" s="26"/>
      <c r="J398" s="26"/>
      <c r="AI398" s="26"/>
      <c r="BE398" s="26"/>
    </row>
    <row r="399" spans="8:57" x14ac:dyDescent="0.25">
      <c r="H399" s="26"/>
      <c r="J399" s="26"/>
      <c r="AI399" s="26"/>
      <c r="BE399" s="26"/>
    </row>
    <row r="400" spans="8:57" x14ac:dyDescent="0.25">
      <c r="H400" s="26"/>
      <c r="J400" s="26"/>
      <c r="U400" s="26"/>
      <c r="V400" s="26"/>
      <c r="AI400" s="26"/>
      <c r="BE400" s="26"/>
    </row>
    <row r="401" spans="8:57" x14ac:dyDescent="0.25">
      <c r="H401" s="26"/>
      <c r="J401" s="26"/>
      <c r="AI401" s="26"/>
      <c r="BE401" s="26"/>
    </row>
    <row r="402" spans="8:57" x14ac:dyDescent="0.25">
      <c r="H402" s="26"/>
    </row>
    <row r="403" spans="8:57" x14ac:dyDescent="0.25">
      <c r="H403" s="26"/>
    </row>
    <row r="404" spans="8:57" x14ac:dyDescent="0.25">
      <c r="H404" s="26"/>
      <c r="J404" s="26"/>
      <c r="U404" s="26"/>
      <c r="V404" s="26"/>
      <c r="AI404" s="26"/>
      <c r="BE404" s="26"/>
    </row>
    <row r="405" spans="8:57" x14ac:dyDescent="0.25">
      <c r="H405" s="26"/>
      <c r="J405" s="26"/>
      <c r="U405" s="26"/>
      <c r="V405" s="26"/>
      <c r="AI405" s="26"/>
      <c r="BE405" s="26"/>
    </row>
    <row r="406" spans="8:57" x14ac:dyDescent="0.25">
      <c r="H406" s="26"/>
      <c r="J406" s="26"/>
      <c r="U406" s="26"/>
      <c r="V406" s="26"/>
      <c r="AI406" s="26"/>
      <c r="BE406" s="26"/>
    </row>
    <row r="407" spans="8:57" x14ac:dyDescent="0.25">
      <c r="H407" s="26"/>
      <c r="J407" s="26"/>
      <c r="AI407" s="26"/>
      <c r="BE407" s="26"/>
    </row>
    <row r="408" spans="8:57" x14ac:dyDescent="0.25">
      <c r="H408" s="26"/>
      <c r="J408" s="26"/>
      <c r="AI408" s="26"/>
      <c r="BE408" s="26"/>
    </row>
    <row r="409" spans="8:57" x14ac:dyDescent="0.25">
      <c r="H409" s="26"/>
      <c r="J409" s="26"/>
      <c r="AI409" s="26"/>
      <c r="BE409" s="26"/>
    </row>
    <row r="410" spans="8:57" x14ac:dyDescent="0.25">
      <c r="H410" s="26"/>
      <c r="J410" s="26"/>
      <c r="AI410" s="26"/>
      <c r="BE410" s="26"/>
    </row>
    <row r="411" spans="8:57" x14ac:dyDescent="0.25">
      <c r="H411" s="26"/>
    </row>
    <row r="412" spans="8:57" x14ac:dyDescent="0.25">
      <c r="H412" s="26"/>
    </row>
    <row r="413" spans="8:57" x14ac:dyDescent="0.25">
      <c r="H413" s="26"/>
      <c r="J413" s="26"/>
      <c r="AI413" s="26"/>
      <c r="BE413" s="26"/>
    </row>
    <row r="414" spans="8:57" x14ac:dyDescent="0.25">
      <c r="H414" s="26"/>
    </row>
    <row r="415" spans="8:57" x14ac:dyDescent="0.25">
      <c r="H415" s="26"/>
      <c r="J415" s="26"/>
      <c r="AI415" s="26"/>
      <c r="BE415" s="26"/>
    </row>
    <row r="416" spans="8:57" x14ac:dyDescent="0.25">
      <c r="H416" s="26"/>
    </row>
    <row r="417" spans="8:57" x14ac:dyDescent="0.25">
      <c r="H417" s="26"/>
    </row>
    <row r="418" spans="8:57" x14ac:dyDescent="0.25">
      <c r="H418" s="26"/>
      <c r="J418" s="26"/>
      <c r="AI418" s="26"/>
      <c r="BE418" s="26"/>
    </row>
    <row r="419" spans="8:57" x14ac:dyDescent="0.25">
      <c r="H419" s="26"/>
      <c r="J419" s="26"/>
      <c r="AI419" s="26"/>
      <c r="BE419" s="26"/>
    </row>
    <row r="420" spans="8:57" x14ac:dyDescent="0.25">
      <c r="H420" s="26"/>
      <c r="J420" s="26"/>
      <c r="AI420" s="26"/>
      <c r="BE420" s="26"/>
    </row>
    <row r="421" spans="8:57" x14ac:dyDescent="0.25">
      <c r="H421" s="26"/>
      <c r="J421" s="26"/>
      <c r="AI421" s="26"/>
      <c r="BE421" s="26"/>
    </row>
    <row r="422" spans="8:57" x14ac:dyDescent="0.25">
      <c r="H422" s="26"/>
    </row>
    <row r="423" spans="8:57" x14ac:dyDescent="0.25">
      <c r="H423" s="26"/>
      <c r="J423" s="26"/>
      <c r="U423" s="26"/>
      <c r="V423" s="26"/>
      <c r="AI423" s="26"/>
      <c r="BE423" s="26"/>
    </row>
    <row r="424" spans="8:57" x14ac:dyDescent="0.25">
      <c r="H424" s="26"/>
      <c r="J424" s="26"/>
      <c r="AI424" s="26"/>
      <c r="BE424" s="26"/>
    </row>
    <row r="425" spans="8:57" x14ac:dyDescent="0.25">
      <c r="H425" s="26"/>
      <c r="J425" s="26"/>
      <c r="AI425" s="26"/>
      <c r="BE425" s="26"/>
    </row>
    <row r="426" spans="8:57" x14ac:dyDescent="0.25">
      <c r="H426" s="26"/>
      <c r="J426" s="26"/>
      <c r="AI426" s="26"/>
      <c r="BE426" s="26"/>
    </row>
    <row r="427" spans="8:57" x14ac:dyDescent="0.25">
      <c r="H427" s="26"/>
      <c r="J427" s="26"/>
      <c r="AI427" s="26"/>
      <c r="BE427" s="26"/>
    </row>
    <row r="428" spans="8:57" x14ac:dyDescent="0.25">
      <c r="H428" s="26"/>
      <c r="J428" s="26"/>
      <c r="AI428" s="26"/>
      <c r="BE428" s="26"/>
    </row>
    <row r="429" spans="8:57" x14ac:dyDescent="0.25">
      <c r="H429" s="26"/>
    </row>
    <row r="430" spans="8:57" x14ac:dyDescent="0.25">
      <c r="H430" s="26"/>
    </row>
    <row r="431" spans="8:57" x14ac:dyDescent="0.25">
      <c r="H431" s="26"/>
    </row>
    <row r="432" spans="8:57" x14ac:dyDescent="0.25">
      <c r="H432" s="26"/>
    </row>
    <row r="433" spans="8:57" x14ac:dyDescent="0.25">
      <c r="H433" s="26"/>
    </row>
    <row r="434" spans="8:57" x14ac:dyDescent="0.25">
      <c r="H434" s="26"/>
    </row>
    <row r="435" spans="8:57" x14ac:dyDescent="0.25">
      <c r="H435" s="26"/>
    </row>
    <row r="436" spans="8:57" x14ac:dyDescent="0.25">
      <c r="H436" s="26"/>
      <c r="J436" s="26"/>
      <c r="AI436" s="26"/>
      <c r="BE436" s="26"/>
    </row>
    <row r="437" spans="8:57" x14ac:dyDescent="0.25">
      <c r="H437" s="26"/>
    </row>
    <row r="438" spans="8:57" x14ac:dyDescent="0.25">
      <c r="H438" s="26"/>
      <c r="J438" s="26"/>
      <c r="AI438" s="26"/>
      <c r="BE438" s="26"/>
    </row>
    <row r="439" spans="8:57" x14ac:dyDescent="0.25">
      <c r="H439" s="26"/>
      <c r="J439" s="26"/>
      <c r="AI439" s="26"/>
      <c r="BE439" s="26"/>
    </row>
    <row r="440" spans="8:57" x14ac:dyDescent="0.25">
      <c r="H440" s="26"/>
      <c r="J440" s="26"/>
      <c r="U440" s="26"/>
      <c r="V440" s="26"/>
      <c r="AI440" s="26"/>
      <c r="BE440" s="26"/>
    </row>
    <row r="441" spans="8:57" x14ac:dyDescent="0.25">
      <c r="H441" s="26"/>
    </row>
    <row r="442" spans="8:57" x14ac:dyDescent="0.25">
      <c r="H442" s="26"/>
      <c r="J442" s="26"/>
      <c r="AI442" s="26"/>
      <c r="BE442" s="26"/>
    </row>
    <row r="443" spans="8:57" x14ac:dyDescent="0.25">
      <c r="H443" s="26"/>
      <c r="J443" s="26"/>
      <c r="AI443" s="26"/>
      <c r="BE443" s="26"/>
    </row>
    <row r="444" spans="8:57" x14ac:dyDescent="0.25">
      <c r="H444" s="26"/>
      <c r="J444" s="26"/>
      <c r="AI444" s="26"/>
      <c r="BE444" s="26"/>
    </row>
    <row r="445" spans="8:57" x14ac:dyDescent="0.25">
      <c r="H445" s="26"/>
    </row>
    <row r="446" spans="8:57" x14ac:dyDescent="0.25">
      <c r="H446" s="26"/>
      <c r="J446" s="26"/>
      <c r="AI446" s="26"/>
      <c r="BE446" s="26"/>
    </row>
    <row r="447" spans="8:57" x14ac:dyDescent="0.25">
      <c r="H447" s="26"/>
    </row>
    <row r="448" spans="8:57" x14ac:dyDescent="0.25">
      <c r="H448" s="26"/>
      <c r="J448" s="26"/>
      <c r="U448" s="26"/>
      <c r="V448" s="26"/>
      <c r="AI448" s="26"/>
      <c r="BE448" s="26"/>
    </row>
    <row r="449" spans="8:57" x14ac:dyDescent="0.25">
      <c r="H449" s="26"/>
      <c r="J449" s="26"/>
      <c r="AI449" s="26"/>
      <c r="BE449" s="26"/>
    </row>
    <row r="450" spans="8:57" x14ac:dyDescent="0.25">
      <c r="H450" s="26"/>
      <c r="J450" s="26"/>
      <c r="AI450" s="26"/>
      <c r="BE450" s="26"/>
    </row>
    <row r="451" spans="8:57" x14ac:dyDescent="0.25">
      <c r="H451" s="26"/>
      <c r="J451" s="26"/>
      <c r="AI451" s="26"/>
      <c r="BE451" s="26"/>
    </row>
    <row r="452" spans="8:57" x14ac:dyDescent="0.25">
      <c r="H452" s="26"/>
      <c r="J452" s="26"/>
      <c r="AI452" s="26"/>
      <c r="BE452" s="26"/>
    </row>
    <row r="453" spans="8:57" x14ac:dyDescent="0.25">
      <c r="H453" s="26"/>
    </row>
    <row r="454" spans="8:57" x14ac:dyDescent="0.25">
      <c r="H454" s="26"/>
    </row>
    <row r="455" spans="8:57" x14ac:dyDescent="0.25">
      <c r="H455" s="26"/>
    </row>
    <row r="456" spans="8:57" x14ac:dyDescent="0.25">
      <c r="H456" s="26"/>
    </row>
    <row r="457" spans="8:57" x14ac:dyDescent="0.25">
      <c r="H457" s="26"/>
    </row>
    <row r="458" spans="8:57" x14ac:dyDescent="0.25">
      <c r="H458" s="26"/>
      <c r="J458" s="26"/>
      <c r="AI458" s="26"/>
      <c r="BE458" s="26"/>
    </row>
    <row r="459" spans="8:57" x14ac:dyDescent="0.25">
      <c r="H459" s="26"/>
      <c r="J459" s="26"/>
      <c r="AI459" s="26"/>
      <c r="BE459" s="26"/>
    </row>
    <row r="460" spans="8:57" x14ac:dyDescent="0.25">
      <c r="H460" s="26"/>
      <c r="J460" s="26"/>
      <c r="AI460" s="26"/>
      <c r="BE460" s="26"/>
    </row>
    <row r="461" spans="8:57" x14ac:dyDescent="0.25">
      <c r="H461" s="26"/>
    </row>
    <row r="462" spans="8:57" x14ac:dyDescent="0.25">
      <c r="H462" s="26"/>
    </row>
    <row r="463" spans="8:57" x14ac:dyDescent="0.25">
      <c r="H463" s="26"/>
    </row>
    <row r="464" spans="8:57" x14ac:dyDescent="0.25">
      <c r="H464" s="26"/>
      <c r="J464" s="26"/>
      <c r="AI464" s="26"/>
      <c r="BE464" s="26"/>
    </row>
    <row r="465" spans="3:57" x14ac:dyDescent="0.25">
      <c r="H465" s="26"/>
    </row>
    <row r="466" spans="3:57" x14ac:dyDescent="0.25">
      <c r="H466" s="26"/>
      <c r="J466" s="26"/>
      <c r="AI466" s="26"/>
      <c r="BE466" s="26"/>
    </row>
    <row r="467" spans="3:57" x14ac:dyDescent="0.25">
      <c r="H467" s="26"/>
    </row>
    <row r="468" spans="3:57" x14ac:dyDescent="0.25">
      <c r="H468" s="26"/>
      <c r="J468" s="26"/>
      <c r="AI468" s="26"/>
      <c r="BE468" s="26"/>
    </row>
    <row r="469" spans="3:57" x14ac:dyDescent="0.25">
      <c r="H469" s="26"/>
      <c r="J469" s="26"/>
      <c r="AI469" s="26"/>
      <c r="BE469" s="26"/>
    </row>
    <row r="470" spans="3:57" x14ac:dyDescent="0.25">
      <c r="H470" s="26"/>
      <c r="J470" s="26"/>
      <c r="AI470" s="26"/>
      <c r="BE470" s="26"/>
    </row>
    <row r="471" spans="3:57" x14ac:dyDescent="0.25">
      <c r="H471" s="26"/>
      <c r="J471" s="26"/>
      <c r="AI471" s="26"/>
      <c r="BE471" s="26"/>
    </row>
    <row r="472" spans="3:57" x14ac:dyDescent="0.25">
      <c r="H472" s="26"/>
      <c r="J472" s="26"/>
      <c r="AI472" s="26"/>
      <c r="BE472" s="26"/>
    </row>
    <row r="473" spans="3:57" x14ac:dyDescent="0.25">
      <c r="H473" s="26"/>
      <c r="J473" s="26"/>
      <c r="AI473" s="26"/>
      <c r="BE473" s="26"/>
    </row>
    <row r="474" spans="3:57" x14ac:dyDescent="0.25">
      <c r="H474" s="26"/>
      <c r="J474" s="26"/>
      <c r="AI474" s="26"/>
      <c r="BE474" s="26"/>
    </row>
    <row r="475" spans="3:57" x14ac:dyDescent="0.25">
      <c r="H475" s="26"/>
      <c r="J475" s="26"/>
      <c r="U475" s="26"/>
      <c r="V475" s="26"/>
      <c r="AI475" s="26"/>
      <c r="BE475" s="26"/>
    </row>
    <row r="476" spans="3:57" x14ac:dyDescent="0.25">
      <c r="H476" s="26"/>
      <c r="J476" s="26"/>
      <c r="AI476" s="26"/>
      <c r="BE476" s="26"/>
    </row>
    <row r="477" spans="3:57" x14ac:dyDescent="0.25">
      <c r="H477" s="26"/>
    </row>
    <row r="478" spans="3:57" x14ac:dyDescent="0.25">
      <c r="C478" s="27"/>
      <c r="H478" s="26"/>
      <c r="J478" s="26"/>
      <c r="U478" s="26"/>
      <c r="V478" s="26"/>
      <c r="AI478" s="26"/>
      <c r="BE478" s="26"/>
    </row>
    <row r="479" spans="3:57" x14ac:dyDescent="0.25">
      <c r="C479" s="27"/>
      <c r="H479" s="26"/>
      <c r="J479" s="26"/>
      <c r="AI479" s="26"/>
      <c r="BE479" s="26"/>
    </row>
    <row r="480" spans="3:57" x14ac:dyDescent="0.25">
      <c r="H480" s="26"/>
    </row>
    <row r="481" spans="3:57" x14ac:dyDescent="0.25">
      <c r="C481" s="27"/>
      <c r="H481" s="26"/>
      <c r="J481" s="26"/>
      <c r="AI481" s="26"/>
      <c r="BE481" s="26"/>
    </row>
    <row r="482" spans="3:57" x14ac:dyDescent="0.25">
      <c r="H482" s="26"/>
    </row>
    <row r="483" spans="3:57" x14ac:dyDescent="0.25">
      <c r="C483" s="27"/>
      <c r="H483" s="26"/>
      <c r="J483" s="26"/>
      <c r="AI483" s="26"/>
      <c r="BE483" s="26"/>
    </row>
    <row r="484" spans="3:57" x14ac:dyDescent="0.25">
      <c r="C484" s="27"/>
      <c r="H484" s="26"/>
    </row>
    <row r="485" spans="3:57" x14ac:dyDescent="0.25">
      <c r="H485" s="26"/>
    </row>
    <row r="486" spans="3:57" x14ac:dyDescent="0.25">
      <c r="C486" s="27"/>
      <c r="H486" s="26"/>
    </row>
    <row r="487" spans="3:57" x14ac:dyDescent="0.25">
      <c r="H487" s="26"/>
    </row>
    <row r="488" spans="3:57" x14ac:dyDescent="0.25">
      <c r="C488" s="27"/>
      <c r="H488" s="26"/>
      <c r="J488" s="26"/>
      <c r="AI488" s="26"/>
      <c r="BE488" s="26"/>
    </row>
    <row r="489" spans="3:57" x14ac:dyDescent="0.25">
      <c r="C489" s="27"/>
      <c r="H489" s="26"/>
    </row>
    <row r="490" spans="3:57" x14ac:dyDescent="0.25">
      <c r="H490" s="26"/>
    </row>
    <row r="491" spans="3:57" x14ac:dyDescent="0.25">
      <c r="H491" s="26"/>
      <c r="J491" s="26"/>
      <c r="U491" s="26"/>
      <c r="V491" s="26"/>
      <c r="AI491" s="26"/>
      <c r="BE491" s="26"/>
    </row>
    <row r="492" spans="3:57" x14ac:dyDescent="0.25">
      <c r="H492" s="26"/>
      <c r="J492" s="26"/>
      <c r="U492" s="26"/>
      <c r="V492" s="26"/>
      <c r="AI492" s="26"/>
      <c r="BE492" s="26"/>
    </row>
    <row r="493" spans="3:57" x14ac:dyDescent="0.25">
      <c r="H493" s="26"/>
      <c r="J493" s="26"/>
      <c r="U493" s="26"/>
      <c r="V493" s="26"/>
      <c r="AI493" s="26"/>
      <c r="BE493" s="26"/>
    </row>
    <row r="494" spans="3:57" x14ac:dyDescent="0.25">
      <c r="H494" s="26"/>
    </row>
    <row r="495" spans="3:57" x14ac:dyDescent="0.25">
      <c r="H495" s="26"/>
    </row>
    <row r="496" spans="3:57" x14ac:dyDescent="0.25">
      <c r="H496" s="26"/>
    </row>
    <row r="497" spans="8:57" x14ac:dyDescent="0.25">
      <c r="H497" s="26"/>
    </row>
    <row r="498" spans="8:57" x14ac:dyDescent="0.25">
      <c r="H498" s="26"/>
    </row>
    <row r="499" spans="8:57" x14ac:dyDescent="0.25">
      <c r="H499" s="26"/>
    </row>
    <row r="500" spans="8:57" x14ac:dyDescent="0.25">
      <c r="H500" s="26"/>
      <c r="J500" s="26"/>
      <c r="AI500" s="26"/>
      <c r="BE500" s="26"/>
    </row>
    <row r="501" spans="8:57" x14ac:dyDescent="0.25">
      <c r="H501" s="26"/>
      <c r="J501" s="26"/>
      <c r="AI501" s="26"/>
      <c r="BE501" s="26"/>
    </row>
    <row r="502" spans="8:57" x14ac:dyDescent="0.25">
      <c r="H502" s="26"/>
    </row>
    <row r="503" spans="8:57" x14ac:dyDescent="0.25">
      <c r="H503" s="26"/>
      <c r="J503" s="26"/>
      <c r="AI503" s="26"/>
      <c r="BE503" s="26"/>
    </row>
    <row r="504" spans="8:57" x14ac:dyDescent="0.25">
      <c r="H504" s="26"/>
      <c r="J504" s="26"/>
      <c r="AI504" s="26"/>
      <c r="BE504" s="26"/>
    </row>
    <row r="505" spans="8:57" x14ac:dyDescent="0.25">
      <c r="H505" s="26"/>
      <c r="J505" s="26"/>
      <c r="U505" s="26"/>
      <c r="V505" s="26"/>
      <c r="AI505" s="26"/>
      <c r="BE505" s="26"/>
    </row>
    <row r="506" spans="8:57" x14ac:dyDescent="0.25">
      <c r="H506" s="26"/>
      <c r="J506" s="26"/>
      <c r="AI506" s="26"/>
      <c r="BE506" s="26"/>
    </row>
    <row r="507" spans="8:57" x14ac:dyDescent="0.25">
      <c r="H507" s="26"/>
    </row>
    <row r="508" spans="8:57" x14ac:dyDescent="0.25">
      <c r="H508" s="26"/>
    </row>
    <row r="509" spans="8:57" x14ac:dyDescent="0.25">
      <c r="H509" s="26"/>
    </row>
    <row r="510" spans="8:57" x14ac:dyDescent="0.25">
      <c r="H510" s="26"/>
    </row>
    <row r="511" spans="8:57" x14ac:dyDescent="0.25">
      <c r="H511" s="26"/>
    </row>
    <row r="512" spans="8:57" x14ac:dyDescent="0.25">
      <c r="H512" s="26"/>
    </row>
    <row r="513" spans="8:57" x14ac:dyDescent="0.25">
      <c r="H513" s="26"/>
      <c r="J513" s="26"/>
      <c r="U513" s="26"/>
      <c r="V513" s="26"/>
      <c r="AI513" s="26"/>
      <c r="BE513" s="26"/>
    </row>
    <row r="514" spans="8:57" x14ac:dyDescent="0.25">
      <c r="H514" s="26"/>
      <c r="J514" s="26"/>
      <c r="U514" s="26"/>
      <c r="V514" s="26"/>
      <c r="AI514" s="26"/>
      <c r="BE514" s="26"/>
    </row>
    <row r="515" spans="8:57" x14ac:dyDescent="0.25">
      <c r="H515" s="26"/>
    </row>
    <row r="516" spans="8:57" x14ac:dyDescent="0.25">
      <c r="H516" s="26"/>
      <c r="J516" s="26"/>
      <c r="U516" s="26"/>
      <c r="V516" s="26"/>
      <c r="AI516" s="26"/>
      <c r="BE516" s="26"/>
    </row>
    <row r="517" spans="8:57" x14ac:dyDescent="0.25">
      <c r="H517" s="26"/>
      <c r="J517" s="26"/>
      <c r="U517" s="26"/>
      <c r="AI517" s="26"/>
      <c r="BE517" s="26"/>
    </row>
    <row r="518" spans="8:57" x14ac:dyDescent="0.25">
      <c r="H518" s="26"/>
      <c r="J518" s="26"/>
      <c r="U518" s="26"/>
      <c r="V518" s="26"/>
      <c r="AI518" s="26"/>
      <c r="BE518" s="26"/>
    </row>
    <row r="519" spans="8:57" x14ac:dyDescent="0.25">
      <c r="H519" s="26"/>
      <c r="J519" s="26"/>
      <c r="AI519" s="26"/>
      <c r="BE519" s="26"/>
    </row>
    <row r="520" spans="8:57" x14ac:dyDescent="0.25">
      <c r="H520" s="26"/>
      <c r="J520" s="26"/>
      <c r="U520" s="26"/>
      <c r="V520" s="26"/>
      <c r="AI520" s="26"/>
      <c r="BE520" s="26"/>
    </row>
    <row r="521" spans="8:57" x14ac:dyDescent="0.25">
      <c r="H521" s="26"/>
      <c r="J521" s="26"/>
      <c r="U521" s="26"/>
      <c r="V521" s="26"/>
      <c r="AI521" s="26"/>
      <c r="BE521" s="26"/>
    </row>
    <row r="522" spans="8:57" x14ac:dyDescent="0.25">
      <c r="H522" s="26"/>
    </row>
    <row r="523" spans="8:57" x14ac:dyDescent="0.25">
      <c r="H523" s="26"/>
      <c r="J523" s="26"/>
      <c r="AI523" s="26"/>
      <c r="BE523" s="26"/>
    </row>
    <row r="524" spans="8:57" x14ac:dyDescent="0.25">
      <c r="H524" s="26"/>
    </row>
    <row r="525" spans="8:57" x14ac:dyDescent="0.25">
      <c r="H525" s="26"/>
    </row>
    <row r="526" spans="8:57" x14ac:dyDescent="0.25">
      <c r="H526" s="26"/>
    </row>
    <row r="527" spans="8:57" x14ac:dyDescent="0.25">
      <c r="H527" s="26"/>
    </row>
    <row r="528" spans="8:57" x14ac:dyDescent="0.25">
      <c r="H528" s="26"/>
      <c r="J528" s="26"/>
      <c r="AI528" s="26"/>
      <c r="BE528" s="26"/>
    </row>
    <row r="529" spans="8:57" x14ac:dyDescent="0.25">
      <c r="H529" s="26"/>
    </row>
    <row r="530" spans="8:57" x14ac:dyDescent="0.25">
      <c r="H530" s="26"/>
      <c r="J530" s="26"/>
      <c r="AI530" s="26"/>
      <c r="BE530" s="26"/>
    </row>
    <row r="531" spans="8:57" x14ac:dyDescent="0.25">
      <c r="H531" s="26"/>
    </row>
    <row r="532" spans="8:57" x14ac:dyDescent="0.25">
      <c r="H532" s="26"/>
    </row>
    <row r="533" spans="8:57" x14ac:dyDescent="0.25">
      <c r="H533" s="26"/>
    </row>
    <row r="534" spans="8:57" x14ac:dyDescent="0.25">
      <c r="H534" s="26"/>
      <c r="J534" s="26"/>
      <c r="AI534" s="26"/>
      <c r="BE534" s="26"/>
    </row>
    <row r="535" spans="8:57" x14ac:dyDescent="0.25">
      <c r="H535" s="26"/>
    </row>
    <row r="536" spans="8:57" x14ac:dyDescent="0.25">
      <c r="H536" s="26"/>
    </row>
    <row r="537" spans="8:57" x14ac:dyDescent="0.25">
      <c r="H537" s="26"/>
    </row>
    <row r="538" spans="8:57" x14ac:dyDescent="0.25">
      <c r="H538" s="26"/>
    </row>
    <row r="539" spans="8:57" x14ac:dyDescent="0.25">
      <c r="H539" s="26"/>
      <c r="J539" s="26"/>
      <c r="U539" s="26"/>
      <c r="V539" s="26"/>
      <c r="AI539" s="26"/>
      <c r="BE539" s="26"/>
    </row>
    <row r="540" spans="8:57" x14ac:dyDescent="0.25">
      <c r="H540" s="26"/>
      <c r="J540" s="26"/>
      <c r="U540" s="26"/>
      <c r="V540" s="26"/>
      <c r="AI540" s="26"/>
      <c r="BE540" s="26"/>
    </row>
    <row r="541" spans="8:57" x14ac:dyDescent="0.25">
      <c r="H541" s="26"/>
      <c r="J541" s="26"/>
      <c r="AI541" s="26"/>
      <c r="BE541" s="26"/>
    </row>
    <row r="542" spans="8:57" x14ac:dyDescent="0.25">
      <c r="H542" s="26"/>
      <c r="J542" s="26"/>
      <c r="U542" s="26"/>
      <c r="V542" s="26"/>
      <c r="AI542" s="26"/>
      <c r="BE542" s="26"/>
    </row>
    <row r="543" spans="8:57" x14ac:dyDescent="0.25">
      <c r="H543" s="26"/>
      <c r="J543" s="26"/>
      <c r="U543" s="26"/>
      <c r="V543" s="26"/>
      <c r="AI543" s="26"/>
      <c r="BE543" s="26"/>
    </row>
    <row r="544" spans="8:57" x14ac:dyDescent="0.25">
      <c r="H544" s="26"/>
      <c r="J544" s="26"/>
      <c r="U544" s="26"/>
      <c r="V544" s="26"/>
      <c r="AI544" s="26"/>
      <c r="BE544" s="26"/>
    </row>
    <row r="545" spans="8:57" x14ac:dyDescent="0.25">
      <c r="H545" s="26"/>
      <c r="J545" s="26"/>
      <c r="AI545" s="26"/>
      <c r="BE545" s="26"/>
    </row>
    <row r="546" spans="8:57" x14ac:dyDescent="0.25">
      <c r="H546" s="26"/>
      <c r="J546" s="26"/>
      <c r="AI546" s="26"/>
      <c r="BE546" s="26"/>
    </row>
    <row r="547" spans="8:57" x14ac:dyDescent="0.25">
      <c r="H547" s="26"/>
      <c r="J547" s="26"/>
      <c r="U547" s="26"/>
      <c r="V547" s="26"/>
      <c r="AI547" s="26"/>
      <c r="BE547" s="26"/>
    </row>
    <row r="548" spans="8:57" x14ac:dyDescent="0.25">
      <c r="H548" s="26"/>
      <c r="J548" s="26"/>
      <c r="U548" s="26"/>
      <c r="V548" s="26"/>
      <c r="AI548" s="26"/>
      <c r="BE548" s="26"/>
    </row>
    <row r="549" spans="8:57" x14ac:dyDescent="0.25">
      <c r="H549" s="26"/>
      <c r="J549" s="26"/>
      <c r="U549" s="26"/>
      <c r="V549" s="26"/>
      <c r="AI549" s="26"/>
      <c r="BE549" s="26"/>
    </row>
    <row r="550" spans="8:57" x14ac:dyDescent="0.25">
      <c r="H550" s="26"/>
      <c r="J550" s="26"/>
      <c r="AI550" s="26"/>
      <c r="BE550" s="26"/>
    </row>
    <row r="551" spans="8:57" x14ac:dyDescent="0.25">
      <c r="H551" s="26"/>
      <c r="J551" s="26"/>
      <c r="AI551" s="26"/>
      <c r="BE551" s="26"/>
    </row>
    <row r="552" spans="8:57" x14ac:dyDescent="0.25">
      <c r="H552" s="26"/>
      <c r="J552" s="26"/>
      <c r="AI552" s="26"/>
      <c r="BE552" s="26"/>
    </row>
    <row r="553" spans="8:57" x14ac:dyDescent="0.25">
      <c r="H553" s="26"/>
    </row>
    <row r="554" spans="8:57" x14ac:dyDescent="0.25">
      <c r="H554" s="26"/>
    </row>
    <row r="555" spans="8:57" x14ac:dyDescent="0.25">
      <c r="H555" s="26"/>
    </row>
    <row r="556" spans="8:57" x14ac:dyDescent="0.25">
      <c r="H556" s="26"/>
    </row>
    <row r="557" spans="8:57" x14ac:dyDescent="0.25">
      <c r="H557" s="26"/>
    </row>
    <row r="558" spans="8:57" x14ac:dyDescent="0.25">
      <c r="H558" s="26"/>
      <c r="J558" s="26"/>
      <c r="U558" s="26"/>
      <c r="V558" s="26"/>
      <c r="AI558" s="26"/>
      <c r="BE558" s="26"/>
    </row>
    <row r="559" spans="8:57" x14ac:dyDescent="0.25">
      <c r="H559" s="26"/>
    </row>
    <row r="560" spans="8:57" x14ac:dyDescent="0.25">
      <c r="H560" s="26"/>
      <c r="J560" s="26"/>
      <c r="AI560" s="26"/>
      <c r="BE560" s="26"/>
    </row>
    <row r="561" spans="8:57" x14ac:dyDescent="0.25">
      <c r="H561" s="26"/>
      <c r="J561" s="26"/>
      <c r="AI561" s="26"/>
      <c r="BE561" s="26"/>
    </row>
    <row r="562" spans="8:57" x14ac:dyDescent="0.25">
      <c r="H562" s="26"/>
      <c r="J562" s="26"/>
      <c r="AI562" s="26"/>
      <c r="BE562" s="26"/>
    </row>
    <row r="563" spans="8:57" x14ac:dyDescent="0.25">
      <c r="H563" s="26"/>
      <c r="J563" s="26"/>
      <c r="AI563" s="26"/>
      <c r="BE563" s="26"/>
    </row>
    <row r="564" spans="8:57" x14ac:dyDescent="0.25">
      <c r="H564" s="26"/>
      <c r="J564" s="26"/>
      <c r="AI564" s="26"/>
      <c r="BE564" s="26"/>
    </row>
    <row r="565" spans="8:57" x14ac:dyDescent="0.25">
      <c r="H565" s="26"/>
      <c r="J565" s="26"/>
      <c r="AI565" s="26"/>
      <c r="BE565" s="26"/>
    </row>
    <row r="566" spans="8:57" x14ac:dyDescent="0.25">
      <c r="H566" s="26"/>
    </row>
    <row r="567" spans="8:57" x14ac:dyDescent="0.25">
      <c r="H567" s="26"/>
    </row>
    <row r="568" spans="8:57" x14ac:dyDescent="0.25">
      <c r="H568" s="26"/>
      <c r="J568" s="26"/>
      <c r="AI568" s="26"/>
      <c r="BE568" s="26"/>
    </row>
    <row r="569" spans="8:57" x14ac:dyDescent="0.25">
      <c r="H569" s="26"/>
      <c r="J569" s="26"/>
      <c r="U569" s="26"/>
      <c r="AI569" s="26"/>
      <c r="BE569" s="26"/>
    </row>
    <row r="570" spans="8:57" x14ac:dyDescent="0.25">
      <c r="H570" s="26"/>
      <c r="J570" s="26"/>
      <c r="AI570" s="26"/>
      <c r="BE570" s="26"/>
    </row>
    <row r="571" spans="8:57" x14ac:dyDescent="0.25">
      <c r="H571" s="26"/>
    </row>
    <row r="572" spans="8:57" x14ac:dyDescent="0.25">
      <c r="H572" s="26"/>
      <c r="J572" s="26"/>
      <c r="U572" s="26"/>
      <c r="AI572" s="26"/>
      <c r="BE572" s="26"/>
    </row>
    <row r="573" spans="8:57" x14ac:dyDescent="0.25">
      <c r="H573" s="26"/>
      <c r="J573" s="26"/>
      <c r="AI573" s="26"/>
      <c r="BE573" s="26"/>
    </row>
    <row r="574" spans="8:57" x14ac:dyDescent="0.25">
      <c r="H574" s="26"/>
    </row>
    <row r="575" spans="8:57" x14ac:dyDescent="0.25">
      <c r="H575" s="26"/>
      <c r="J575" s="26"/>
      <c r="AI575" s="26"/>
      <c r="BE575" s="26"/>
    </row>
    <row r="576" spans="8:57" x14ac:dyDescent="0.25">
      <c r="H576" s="26"/>
      <c r="J576" s="26"/>
      <c r="AI576" s="26"/>
      <c r="BE576" s="26"/>
    </row>
    <row r="577" spans="8:57" x14ac:dyDescent="0.25">
      <c r="H577" s="26"/>
    </row>
    <row r="578" spans="8:57" x14ac:dyDescent="0.25">
      <c r="H578" s="26"/>
    </row>
    <row r="579" spans="8:57" x14ac:dyDescent="0.25">
      <c r="H579" s="26"/>
      <c r="J579" s="26"/>
      <c r="AI579" s="26"/>
      <c r="BE579" s="26"/>
    </row>
    <row r="580" spans="8:57" x14ac:dyDescent="0.25">
      <c r="H580" s="26"/>
      <c r="J580" s="26"/>
      <c r="U580" s="26"/>
      <c r="V580" s="26"/>
      <c r="AI580" s="26"/>
      <c r="BE580" s="26"/>
    </row>
    <row r="581" spans="8:57" x14ac:dyDescent="0.25">
      <c r="H581" s="26"/>
    </row>
    <row r="582" spans="8:57" x14ac:dyDescent="0.25">
      <c r="H582" s="26"/>
      <c r="J582" s="26"/>
      <c r="AI582" s="26"/>
      <c r="BE582" s="26"/>
    </row>
    <row r="583" spans="8:57" x14ac:dyDescent="0.25">
      <c r="H583" s="26"/>
      <c r="J583" s="26"/>
      <c r="AI583" s="26"/>
      <c r="BE583" s="26"/>
    </row>
    <row r="584" spans="8:57" x14ac:dyDescent="0.25">
      <c r="H584" s="26"/>
      <c r="J584" s="26"/>
      <c r="AI584" s="26"/>
      <c r="BE584" s="26"/>
    </row>
    <row r="585" spans="8:57" x14ac:dyDescent="0.25">
      <c r="H585" s="26"/>
      <c r="J585" s="26"/>
      <c r="AI585" s="26"/>
      <c r="BE585" s="26"/>
    </row>
    <row r="586" spans="8:57" x14ac:dyDescent="0.25">
      <c r="H586" s="26"/>
    </row>
    <row r="587" spans="8:57" x14ac:dyDescent="0.25">
      <c r="H587" s="26"/>
      <c r="J587" s="26"/>
      <c r="AI587" s="26"/>
      <c r="BE587" s="26"/>
    </row>
    <row r="588" spans="8:57" x14ac:dyDescent="0.25">
      <c r="H588" s="26"/>
      <c r="J588" s="26"/>
      <c r="AI588" s="26"/>
      <c r="BE588" s="26"/>
    </row>
    <row r="589" spans="8:57" x14ac:dyDescent="0.25">
      <c r="H589" s="26"/>
      <c r="J589" s="26"/>
      <c r="AI589" s="26"/>
      <c r="BE589" s="26"/>
    </row>
    <row r="590" spans="8:57" x14ac:dyDescent="0.25">
      <c r="H590" s="26"/>
      <c r="J590" s="26"/>
      <c r="AI590" s="26"/>
      <c r="BE590" s="26"/>
    </row>
    <row r="591" spans="8:57" x14ac:dyDescent="0.25">
      <c r="H591" s="26"/>
      <c r="J591" s="26"/>
      <c r="AI591" s="26"/>
      <c r="BE591" s="26"/>
    </row>
    <row r="592" spans="8:57" x14ac:dyDescent="0.25">
      <c r="H592" s="26"/>
      <c r="J592" s="26"/>
      <c r="AI592" s="26"/>
      <c r="BE592" s="26"/>
    </row>
    <row r="593" spans="8:57" x14ac:dyDescent="0.25">
      <c r="H593" s="26"/>
    </row>
    <row r="594" spans="8:57" x14ac:dyDescent="0.25">
      <c r="H594" s="26"/>
    </row>
    <row r="595" spans="8:57" x14ac:dyDescent="0.25">
      <c r="H595" s="26"/>
    </row>
    <row r="596" spans="8:57" x14ac:dyDescent="0.25">
      <c r="H596" s="26"/>
      <c r="J596" s="26"/>
      <c r="AI596" s="26"/>
      <c r="BE596" s="26"/>
    </row>
    <row r="597" spans="8:57" x14ac:dyDescent="0.25">
      <c r="H597" s="26"/>
    </row>
    <row r="598" spans="8:57" x14ac:dyDescent="0.25">
      <c r="H598" s="26"/>
    </row>
    <row r="599" spans="8:57" x14ac:dyDescent="0.25">
      <c r="H599" s="26"/>
      <c r="J599" s="26"/>
      <c r="AI599" s="26"/>
      <c r="BE599" s="26"/>
    </row>
    <row r="600" spans="8:57" x14ac:dyDescent="0.25">
      <c r="H600" s="26"/>
    </row>
    <row r="601" spans="8:57" x14ac:dyDescent="0.25">
      <c r="H601" s="26"/>
    </row>
    <row r="602" spans="8:57" x14ac:dyDescent="0.25">
      <c r="H602" s="26"/>
    </row>
    <row r="603" spans="8:57" x14ac:dyDescent="0.25">
      <c r="H603" s="26"/>
    </row>
    <row r="604" spans="8:57" x14ac:dyDescent="0.25">
      <c r="H604" s="26"/>
    </row>
    <row r="605" spans="8:57" x14ac:dyDescent="0.25">
      <c r="H605" s="26"/>
    </row>
    <row r="606" spans="8:57" x14ac:dyDescent="0.25">
      <c r="H606" s="26"/>
      <c r="J606" s="26"/>
      <c r="AI606" s="26"/>
      <c r="BE606" s="26"/>
    </row>
    <row r="607" spans="8:57" x14ac:dyDescent="0.25">
      <c r="H607" s="26"/>
      <c r="J607" s="26"/>
      <c r="U607" s="26"/>
      <c r="V607" s="26"/>
      <c r="AI607" s="26"/>
      <c r="BE607" s="26"/>
    </row>
    <row r="608" spans="8:57" x14ac:dyDescent="0.25">
      <c r="H608" s="26"/>
    </row>
    <row r="609" spans="8:57" x14ac:dyDescent="0.25">
      <c r="H609" s="26"/>
      <c r="J609" s="26"/>
      <c r="U609" s="26"/>
      <c r="V609" s="26"/>
      <c r="AI609" s="26"/>
      <c r="BE609" s="26"/>
    </row>
    <row r="610" spans="8:57" x14ac:dyDescent="0.25">
      <c r="H610" s="26"/>
    </row>
    <row r="611" spans="8:57" x14ac:dyDescent="0.25">
      <c r="H611" s="26"/>
    </row>
    <row r="612" spans="8:57" x14ac:dyDescent="0.25">
      <c r="H612" s="26"/>
      <c r="J612" s="26"/>
      <c r="U612" s="26"/>
      <c r="V612" s="26"/>
      <c r="AI612" s="26"/>
      <c r="BE612" s="26"/>
    </row>
    <row r="613" spans="8:57" x14ac:dyDescent="0.25">
      <c r="H613" s="26"/>
    </row>
    <row r="614" spans="8:57" x14ac:dyDescent="0.25">
      <c r="H614" s="26"/>
    </row>
    <row r="615" spans="8:57" x14ac:dyDescent="0.25">
      <c r="H615" s="26"/>
      <c r="J615" s="26"/>
      <c r="AI615" s="26"/>
      <c r="BE615" s="26"/>
    </row>
    <row r="616" spans="8:57" x14ac:dyDescent="0.25">
      <c r="H616" s="26"/>
    </row>
    <row r="617" spans="8:57" x14ac:dyDescent="0.25">
      <c r="H617" s="26"/>
      <c r="J617" s="26"/>
      <c r="U617" s="26"/>
      <c r="V617" s="26"/>
      <c r="AI617" s="26"/>
      <c r="BE617" s="26"/>
    </row>
    <row r="618" spans="8:57" x14ac:dyDescent="0.25">
      <c r="H618" s="26"/>
    </row>
    <row r="619" spans="8:57" x14ac:dyDescent="0.25">
      <c r="H619" s="26"/>
      <c r="J619" s="26"/>
      <c r="U619" s="26"/>
      <c r="V619" s="26"/>
      <c r="AI619" s="26"/>
      <c r="BE619" s="26"/>
    </row>
    <row r="620" spans="8:57" x14ac:dyDescent="0.25">
      <c r="H620" s="26"/>
      <c r="J620" s="26"/>
      <c r="U620" s="26"/>
      <c r="V620" s="26"/>
      <c r="AI620" s="26"/>
      <c r="BE620" s="26"/>
    </row>
    <row r="621" spans="8:57" x14ac:dyDescent="0.25">
      <c r="H621" s="26"/>
      <c r="J621" s="26"/>
      <c r="U621" s="26"/>
      <c r="V621" s="26"/>
      <c r="AI621" s="26"/>
      <c r="BE621" s="26"/>
    </row>
    <row r="622" spans="8:57" x14ac:dyDescent="0.25">
      <c r="H622" s="26"/>
      <c r="J622" s="26"/>
      <c r="U622" s="26"/>
      <c r="V622" s="26"/>
      <c r="AI622" s="26"/>
      <c r="BE622" s="26"/>
    </row>
    <row r="623" spans="8:57" x14ac:dyDescent="0.25">
      <c r="H623" s="26"/>
      <c r="J623" s="26"/>
      <c r="U623" s="26"/>
      <c r="V623" s="26"/>
      <c r="AI623" s="26"/>
      <c r="BE623" s="26"/>
    </row>
    <row r="624" spans="8:57" x14ac:dyDescent="0.25">
      <c r="H624" s="26"/>
    </row>
    <row r="625" spans="8:57" x14ac:dyDescent="0.25">
      <c r="H625" s="26"/>
    </row>
    <row r="626" spans="8:57" x14ac:dyDescent="0.25">
      <c r="H626" s="26"/>
      <c r="J626" s="26"/>
      <c r="U626" s="26"/>
      <c r="V626" s="26"/>
      <c r="AI626" s="26"/>
      <c r="BE626" s="26"/>
    </row>
    <row r="627" spans="8:57" x14ac:dyDescent="0.25">
      <c r="H627" s="26"/>
      <c r="J627" s="26"/>
      <c r="AI627" s="26"/>
      <c r="BE627" s="26"/>
    </row>
    <row r="628" spans="8:57" x14ac:dyDescent="0.25">
      <c r="H628" s="26"/>
      <c r="J628" s="26"/>
      <c r="AI628" s="26"/>
      <c r="BE628" s="26"/>
    </row>
    <row r="629" spans="8:57" x14ac:dyDescent="0.25">
      <c r="H629" s="26"/>
      <c r="J629" s="26"/>
      <c r="U629" s="26"/>
      <c r="V629" s="26"/>
      <c r="AI629" s="26"/>
      <c r="BE629" s="26"/>
    </row>
    <row r="630" spans="8:57" x14ac:dyDescent="0.25">
      <c r="H630" s="26"/>
      <c r="J630" s="26"/>
      <c r="AI630" s="26"/>
      <c r="BE630" s="26"/>
    </row>
    <row r="631" spans="8:57" x14ac:dyDescent="0.25">
      <c r="H631" s="26"/>
      <c r="J631" s="26"/>
      <c r="AI631" s="26"/>
      <c r="BE631" s="26"/>
    </row>
    <row r="632" spans="8:57" x14ac:dyDescent="0.25">
      <c r="H632" s="26"/>
      <c r="J632" s="26"/>
      <c r="AI632" s="26"/>
      <c r="BE632" s="26"/>
    </row>
    <row r="633" spans="8:57" x14ac:dyDescent="0.25">
      <c r="H633" s="26"/>
    </row>
    <row r="634" spans="8:57" x14ac:dyDescent="0.25">
      <c r="H634" s="26"/>
    </row>
    <row r="635" spans="8:57" x14ac:dyDescent="0.25">
      <c r="H635" s="26"/>
    </row>
    <row r="636" spans="8:57" x14ac:dyDescent="0.25">
      <c r="H636" s="26"/>
      <c r="J636" s="26"/>
      <c r="AI636" s="26"/>
      <c r="BE636" s="26"/>
    </row>
    <row r="637" spans="8:57" x14ac:dyDescent="0.25">
      <c r="H637" s="26"/>
    </row>
    <row r="638" spans="8:57" x14ac:dyDescent="0.25">
      <c r="H638" s="26"/>
    </row>
    <row r="639" spans="8:57" x14ac:dyDescent="0.25">
      <c r="H639" s="26"/>
      <c r="J639" s="26"/>
      <c r="AI639" s="26"/>
      <c r="BE639" s="26"/>
    </row>
    <row r="640" spans="8:57" x14ac:dyDescent="0.25">
      <c r="H640" s="26"/>
      <c r="J640" s="26"/>
      <c r="AI640" s="26"/>
      <c r="BE640" s="26"/>
    </row>
    <row r="641" spans="8:57" x14ac:dyDescent="0.25">
      <c r="H641" s="26"/>
      <c r="J641" s="26"/>
      <c r="AI641" s="26"/>
      <c r="BE641" s="26"/>
    </row>
    <row r="642" spans="8:57" x14ac:dyDescent="0.25">
      <c r="H642" s="26"/>
    </row>
    <row r="643" spans="8:57" x14ac:dyDescent="0.25">
      <c r="H643" s="26"/>
    </row>
    <row r="644" spans="8:57" x14ac:dyDescent="0.25">
      <c r="H644" s="26"/>
    </row>
    <row r="645" spans="8:57" x14ac:dyDescent="0.25">
      <c r="H645" s="26"/>
    </row>
    <row r="646" spans="8:57" x14ac:dyDescent="0.25">
      <c r="H646" s="26"/>
    </row>
    <row r="647" spans="8:57" x14ac:dyDescent="0.25">
      <c r="H647" s="26"/>
      <c r="J647" s="26"/>
      <c r="AI647" s="26"/>
      <c r="BE647" s="26"/>
    </row>
    <row r="648" spans="8:57" x14ac:dyDescent="0.25">
      <c r="H648" s="26"/>
    </row>
    <row r="649" spans="8:57" x14ac:dyDescent="0.25">
      <c r="H649" s="26"/>
      <c r="J649" s="26"/>
      <c r="AI649" s="26"/>
      <c r="BE649" s="26"/>
    </row>
    <row r="650" spans="8:57" x14ac:dyDescent="0.25">
      <c r="H650" s="26"/>
      <c r="J650" s="26"/>
      <c r="AI650" s="26"/>
      <c r="BE650" s="26"/>
    </row>
    <row r="651" spans="8:57" x14ac:dyDescent="0.25">
      <c r="H651" s="26"/>
    </row>
    <row r="652" spans="8:57" x14ac:dyDescent="0.25">
      <c r="H652" s="26"/>
      <c r="J652" s="26"/>
      <c r="AI652" s="26"/>
      <c r="BE652" s="26"/>
    </row>
    <row r="653" spans="8:57" x14ac:dyDescent="0.25">
      <c r="H653" s="26"/>
      <c r="J653" s="26"/>
      <c r="AI653" s="26"/>
      <c r="BE653" s="26"/>
    </row>
    <row r="654" spans="8:57" x14ac:dyDescent="0.25">
      <c r="H654" s="26"/>
      <c r="J654" s="26"/>
      <c r="AI654" s="26"/>
      <c r="BE654" s="26"/>
    </row>
    <row r="655" spans="8:57" x14ac:dyDescent="0.25">
      <c r="H655" s="26"/>
    </row>
    <row r="656" spans="8:57" x14ac:dyDescent="0.25">
      <c r="H656" s="26"/>
      <c r="J656" s="26"/>
      <c r="AI656" s="26"/>
      <c r="BE656" s="26"/>
    </row>
    <row r="657" spans="8:57" x14ac:dyDescent="0.25">
      <c r="H657" s="26"/>
    </row>
    <row r="658" spans="8:57" x14ac:dyDescent="0.25">
      <c r="H658" s="26"/>
    </row>
    <row r="659" spans="8:57" x14ac:dyDescent="0.25">
      <c r="H659" s="26"/>
    </row>
    <row r="660" spans="8:57" x14ac:dyDescent="0.25">
      <c r="H660" s="26"/>
      <c r="J660" s="26"/>
      <c r="U660" s="26"/>
      <c r="V660" s="26"/>
      <c r="AI660" s="26"/>
      <c r="BE660" s="26"/>
    </row>
    <row r="661" spans="8:57" x14ac:dyDescent="0.25">
      <c r="H661" s="26"/>
      <c r="J661" s="26"/>
      <c r="AI661" s="26"/>
      <c r="BE661" s="26"/>
    </row>
    <row r="662" spans="8:57" x14ac:dyDescent="0.25">
      <c r="H662" s="26"/>
      <c r="J662" s="26"/>
      <c r="AI662" s="26"/>
      <c r="BE662" s="26"/>
    </row>
    <row r="663" spans="8:57" x14ac:dyDescent="0.25">
      <c r="H663" s="26"/>
      <c r="J663" s="26"/>
      <c r="AI663" s="26"/>
      <c r="BE663" s="26"/>
    </row>
    <row r="664" spans="8:57" x14ac:dyDescent="0.25">
      <c r="H664" s="26"/>
    </row>
    <row r="665" spans="8:57" x14ac:dyDescent="0.25">
      <c r="H665" s="26"/>
      <c r="J665" s="26"/>
      <c r="U665" s="26"/>
      <c r="V665" s="26"/>
      <c r="AI665" s="26"/>
      <c r="BE665" s="26"/>
    </row>
    <row r="666" spans="8:57" x14ac:dyDescent="0.25">
      <c r="H666" s="26"/>
      <c r="J666" s="26"/>
      <c r="AI666" s="26"/>
      <c r="BE666" s="26"/>
    </row>
    <row r="667" spans="8:57" x14ac:dyDescent="0.25">
      <c r="H667" s="26"/>
    </row>
    <row r="668" spans="8:57" x14ac:dyDescent="0.25">
      <c r="H668" s="26"/>
    </row>
    <row r="669" spans="8:57" x14ac:dyDescent="0.25">
      <c r="H669" s="26"/>
    </row>
    <row r="670" spans="8:57" x14ac:dyDescent="0.25">
      <c r="H670" s="26"/>
    </row>
    <row r="671" spans="8:57" x14ac:dyDescent="0.25">
      <c r="H671" s="26"/>
    </row>
    <row r="672" spans="8:57" x14ac:dyDescent="0.25">
      <c r="H672" s="26"/>
      <c r="J672" s="26"/>
      <c r="AI672" s="26"/>
      <c r="BE672" s="26"/>
    </row>
    <row r="673" spans="8:57" x14ac:dyDescent="0.25">
      <c r="H673" s="26"/>
    </row>
    <row r="674" spans="8:57" x14ac:dyDescent="0.25">
      <c r="H674" s="26"/>
    </row>
    <row r="675" spans="8:57" x14ac:dyDescent="0.25">
      <c r="H675" s="26"/>
    </row>
    <row r="676" spans="8:57" x14ac:dyDescent="0.25">
      <c r="H676" s="26"/>
      <c r="J676" s="26"/>
      <c r="AI676" s="26"/>
      <c r="BE676" s="26"/>
    </row>
    <row r="677" spans="8:57" x14ac:dyDescent="0.25">
      <c r="H677" s="26"/>
    </row>
    <row r="678" spans="8:57" x14ac:dyDescent="0.25">
      <c r="H678" s="26"/>
      <c r="J678" s="26"/>
      <c r="U678" s="26"/>
      <c r="V678" s="26"/>
      <c r="AI678" s="26"/>
      <c r="BE678" s="26"/>
    </row>
    <row r="679" spans="8:57" x14ac:dyDescent="0.25">
      <c r="H679" s="26"/>
      <c r="J679" s="26"/>
      <c r="AI679" s="26"/>
      <c r="BE679" s="26"/>
    </row>
    <row r="680" spans="8:57" x14ac:dyDescent="0.25">
      <c r="H680" s="26"/>
      <c r="J680" s="26"/>
      <c r="AI680" s="26"/>
      <c r="BE680" s="26"/>
    </row>
    <row r="681" spans="8:57" x14ac:dyDescent="0.25">
      <c r="H681" s="26"/>
    </row>
    <row r="682" spans="8:57" x14ac:dyDescent="0.25">
      <c r="H682" s="26"/>
    </row>
    <row r="683" spans="8:57" x14ac:dyDescent="0.25">
      <c r="H683" s="26"/>
      <c r="J683" s="26"/>
      <c r="AI683" s="26"/>
      <c r="BE683" s="26"/>
    </row>
    <row r="684" spans="8:57" x14ac:dyDescent="0.25">
      <c r="H684" s="26"/>
    </row>
    <row r="685" spans="8:57" x14ac:dyDescent="0.25">
      <c r="H685" s="26"/>
      <c r="J685" s="26"/>
      <c r="U685" s="26"/>
      <c r="V685" s="26"/>
      <c r="AI685" s="26"/>
      <c r="BE685" s="26"/>
    </row>
    <row r="686" spans="8:57" x14ac:dyDescent="0.25">
      <c r="H686" s="26"/>
      <c r="J686" s="26"/>
      <c r="AI686" s="26"/>
      <c r="BE686" s="26"/>
    </row>
    <row r="687" spans="8:57" x14ac:dyDescent="0.25">
      <c r="H687" s="26"/>
    </row>
    <row r="688" spans="8:57" x14ac:dyDescent="0.25">
      <c r="H688" s="26"/>
      <c r="J688" s="26"/>
      <c r="U688" s="26"/>
      <c r="V688" s="26"/>
      <c r="AI688" s="26"/>
      <c r="BE688" s="26"/>
    </row>
    <row r="689" spans="8:57" x14ac:dyDescent="0.25">
      <c r="H689" s="26"/>
      <c r="J689" s="26"/>
      <c r="U689" s="26"/>
      <c r="V689" s="26"/>
      <c r="AI689" s="26"/>
      <c r="BE689" s="26"/>
    </row>
    <row r="690" spans="8:57" x14ac:dyDescent="0.25">
      <c r="H690" s="26"/>
      <c r="J690" s="26"/>
      <c r="AI690" s="26"/>
      <c r="BE690" s="26"/>
    </row>
    <row r="691" spans="8:57" x14ac:dyDescent="0.25">
      <c r="H691" s="26"/>
      <c r="J691" s="26"/>
      <c r="AI691" s="26"/>
      <c r="BE691" s="26"/>
    </row>
    <row r="692" spans="8:57" x14ac:dyDescent="0.25">
      <c r="H692" s="26"/>
      <c r="J692" s="26"/>
      <c r="U692" s="26"/>
      <c r="V692" s="26"/>
      <c r="AI692" s="26"/>
      <c r="BE692" s="26"/>
    </row>
    <row r="693" spans="8:57" x14ac:dyDescent="0.25">
      <c r="H693" s="26"/>
    </row>
    <row r="694" spans="8:57" x14ac:dyDescent="0.25">
      <c r="H694" s="26"/>
    </row>
    <row r="695" spans="8:57" x14ac:dyDescent="0.25">
      <c r="H695" s="26"/>
    </row>
    <row r="696" spans="8:57" x14ac:dyDescent="0.25">
      <c r="H696" s="26"/>
    </row>
    <row r="697" spans="8:57" x14ac:dyDescent="0.25">
      <c r="H697" s="26"/>
    </row>
    <row r="698" spans="8:57" x14ac:dyDescent="0.25">
      <c r="H698" s="26"/>
    </row>
    <row r="699" spans="8:57" x14ac:dyDescent="0.25">
      <c r="H699" s="26"/>
    </row>
    <row r="700" spans="8:57" x14ac:dyDescent="0.25">
      <c r="H700" s="26"/>
    </row>
    <row r="701" spans="8:57" x14ac:dyDescent="0.25">
      <c r="H701" s="26"/>
      <c r="J701" s="26"/>
      <c r="AI701" s="26"/>
      <c r="BE701" s="26"/>
    </row>
    <row r="702" spans="8:57" x14ac:dyDescent="0.25">
      <c r="H702" s="26"/>
    </row>
    <row r="703" spans="8:57" x14ac:dyDescent="0.25">
      <c r="H703" s="26"/>
    </row>
    <row r="704" spans="8:57" x14ac:dyDescent="0.25">
      <c r="H704" s="26"/>
      <c r="J704" s="26"/>
      <c r="AI704" s="26"/>
      <c r="BE704" s="26"/>
    </row>
    <row r="705" spans="8:57" x14ac:dyDescent="0.25">
      <c r="H705" s="26"/>
      <c r="J705" s="26"/>
      <c r="U705" s="26"/>
      <c r="V705" s="26"/>
      <c r="AI705" s="26"/>
      <c r="BE705" s="26"/>
    </row>
    <row r="706" spans="8:57" x14ac:dyDescent="0.25">
      <c r="H706" s="26"/>
      <c r="J706" s="26"/>
      <c r="U706" s="26"/>
      <c r="AI706" s="26"/>
      <c r="BE706" s="26"/>
    </row>
    <row r="707" spans="8:57" x14ac:dyDescent="0.25">
      <c r="H707" s="26"/>
      <c r="J707" s="26"/>
      <c r="AI707" s="26"/>
      <c r="BE707" s="26"/>
    </row>
    <row r="708" spans="8:57" x14ac:dyDescent="0.25">
      <c r="H708" s="26"/>
      <c r="J708" s="26"/>
      <c r="AI708" s="26"/>
      <c r="BE708" s="26"/>
    </row>
    <row r="709" spans="8:57" x14ac:dyDescent="0.25">
      <c r="H709" s="26"/>
      <c r="J709" s="26"/>
      <c r="U709" s="26"/>
      <c r="V709" s="26"/>
      <c r="AI709" s="26"/>
      <c r="BE709" s="26"/>
    </row>
    <row r="710" spans="8:57" x14ac:dyDescent="0.25">
      <c r="H710" s="26"/>
      <c r="J710" s="26"/>
      <c r="U710" s="26"/>
      <c r="V710" s="26"/>
      <c r="AI710" s="26"/>
      <c r="BE710" s="26"/>
    </row>
    <row r="711" spans="8:57" x14ac:dyDescent="0.25">
      <c r="H711" s="26"/>
      <c r="J711" s="26"/>
      <c r="AI711" s="26"/>
      <c r="BE711" s="26"/>
    </row>
    <row r="712" spans="8:57" x14ac:dyDescent="0.25">
      <c r="H712" s="26"/>
      <c r="J712" s="26"/>
      <c r="AI712" s="26"/>
      <c r="BE712" s="26"/>
    </row>
    <row r="713" spans="8:57" x14ac:dyDescent="0.25">
      <c r="H713" s="26"/>
    </row>
    <row r="714" spans="8:57" x14ac:dyDescent="0.25">
      <c r="H714" s="26"/>
    </row>
    <row r="715" spans="8:57" x14ac:dyDescent="0.25">
      <c r="H715" s="26"/>
    </row>
    <row r="716" spans="8:57" x14ac:dyDescent="0.25">
      <c r="H716" s="26"/>
    </row>
    <row r="717" spans="8:57" x14ac:dyDescent="0.25">
      <c r="H717" s="26"/>
    </row>
    <row r="718" spans="8:57" x14ac:dyDescent="0.25">
      <c r="H718" s="26"/>
    </row>
    <row r="719" spans="8:57" x14ac:dyDescent="0.25">
      <c r="H719" s="26"/>
      <c r="J719" s="26"/>
      <c r="AI719" s="26"/>
      <c r="BE719" s="26"/>
    </row>
    <row r="720" spans="8:57" x14ac:dyDescent="0.25">
      <c r="H720" s="26"/>
    </row>
    <row r="721" spans="8:57" x14ac:dyDescent="0.25">
      <c r="H721" s="26"/>
    </row>
    <row r="722" spans="8:57" x14ac:dyDescent="0.25">
      <c r="H722" s="26"/>
    </row>
    <row r="723" spans="8:57" x14ac:dyDescent="0.25">
      <c r="H723" s="26"/>
    </row>
    <row r="724" spans="8:57" x14ac:dyDescent="0.25">
      <c r="H724" s="26"/>
    </row>
    <row r="725" spans="8:57" x14ac:dyDescent="0.25">
      <c r="H725" s="26"/>
    </row>
    <row r="726" spans="8:57" x14ac:dyDescent="0.25">
      <c r="H726" s="26"/>
    </row>
    <row r="727" spans="8:57" x14ac:dyDescent="0.25">
      <c r="H727" s="26"/>
      <c r="J727" s="26"/>
      <c r="AI727" s="26"/>
      <c r="BE727" s="26"/>
    </row>
    <row r="728" spans="8:57" x14ac:dyDescent="0.25">
      <c r="H728" s="26"/>
    </row>
    <row r="729" spans="8:57" x14ac:dyDescent="0.25">
      <c r="H729" s="26"/>
      <c r="J729" s="26"/>
      <c r="AI729" s="26"/>
      <c r="BE729" s="26"/>
    </row>
    <row r="730" spans="8:57" x14ac:dyDescent="0.25">
      <c r="H730" s="26"/>
    </row>
    <row r="731" spans="8:57" x14ac:dyDescent="0.25">
      <c r="H731" s="26"/>
    </row>
    <row r="732" spans="8:57" x14ac:dyDescent="0.25">
      <c r="H732" s="26"/>
      <c r="J732" s="26"/>
      <c r="AI732" s="26"/>
      <c r="BE732" s="26"/>
    </row>
    <row r="733" spans="8:57" x14ac:dyDescent="0.25">
      <c r="H733" s="26"/>
      <c r="J733" s="26"/>
      <c r="AI733" s="26"/>
      <c r="BE733" s="26"/>
    </row>
    <row r="734" spans="8:57" x14ac:dyDescent="0.25">
      <c r="H734" s="26"/>
    </row>
    <row r="735" spans="8:57" x14ac:dyDescent="0.25">
      <c r="H735" s="26"/>
    </row>
    <row r="736" spans="8:57" x14ac:dyDescent="0.25">
      <c r="H736" s="26"/>
    </row>
    <row r="737" spans="3:57" x14ac:dyDescent="0.25">
      <c r="H737" s="26"/>
      <c r="J737" s="26"/>
      <c r="AI737" s="26"/>
      <c r="BE737" s="26"/>
    </row>
    <row r="738" spans="3:57" x14ac:dyDescent="0.25">
      <c r="H738" s="26"/>
      <c r="J738" s="26"/>
      <c r="AI738" s="26"/>
      <c r="BE738" s="26"/>
    </row>
    <row r="739" spans="3:57" x14ac:dyDescent="0.25">
      <c r="H739" s="26"/>
      <c r="J739" s="26"/>
      <c r="AI739" s="26"/>
      <c r="BE739" s="26"/>
    </row>
    <row r="740" spans="3:57" x14ac:dyDescent="0.25">
      <c r="H740" s="26"/>
    </row>
    <row r="741" spans="3:57" x14ac:dyDescent="0.25">
      <c r="H741" s="26"/>
      <c r="J741" s="26"/>
      <c r="AI741" s="26"/>
      <c r="BE741" s="26"/>
    </row>
    <row r="742" spans="3:57" x14ac:dyDescent="0.25">
      <c r="H742" s="26"/>
    </row>
    <row r="743" spans="3:57" x14ac:dyDescent="0.25">
      <c r="H743" s="26"/>
    </row>
    <row r="744" spans="3:57" x14ac:dyDescent="0.25">
      <c r="H744" s="26"/>
    </row>
    <row r="745" spans="3:57" x14ac:dyDescent="0.25">
      <c r="H745" s="26"/>
      <c r="J745" s="26"/>
      <c r="AI745" s="26"/>
      <c r="BE745" s="26"/>
    </row>
    <row r="746" spans="3:57" x14ac:dyDescent="0.25">
      <c r="H746" s="26"/>
      <c r="J746" s="26"/>
      <c r="AI746" s="26"/>
      <c r="BE746" s="26"/>
    </row>
    <row r="747" spans="3:57" x14ac:dyDescent="0.25">
      <c r="H747" s="26"/>
      <c r="J747" s="26"/>
      <c r="AI747" s="26"/>
      <c r="BE747" s="26"/>
    </row>
    <row r="748" spans="3:57" x14ac:dyDescent="0.25">
      <c r="H748" s="26"/>
      <c r="J748" s="26"/>
      <c r="U748" s="26"/>
      <c r="V748" s="26"/>
      <c r="AI748" s="26"/>
      <c r="BE748" s="26"/>
    </row>
    <row r="749" spans="3:57" x14ac:dyDescent="0.25">
      <c r="H749" s="26"/>
      <c r="J749" s="26"/>
      <c r="U749" s="26"/>
      <c r="V749" s="26"/>
      <c r="AI749" s="26"/>
      <c r="BE749" s="26"/>
    </row>
    <row r="750" spans="3:57" x14ac:dyDescent="0.25">
      <c r="C750" s="27"/>
      <c r="H750" s="26"/>
      <c r="J750" s="26"/>
      <c r="AI750" s="26"/>
      <c r="BE750" s="26"/>
    </row>
    <row r="751" spans="3:57" x14ac:dyDescent="0.25">
      <c r="H751" s="26"/>
      <c r="J751" s="26"/>
      <c r="U751" s="26"/>
      <c r="V751" s="26"/>
      <c r="AI751" s="26"/>
      <c r="BE751" s="26"/>
    </row>
    <row r="752" spans="3:57" x14ac:dyDescent="0.25">
      <c r="H752" s="26"/>
      <c r="J752" s="26"/>
      <c r="AI752" s="26"/>
      <c r="BE752" s="26"/>
    </row>
    <row r="753" spans="8:57" x14ac:dyDescent="0.25">
      <c r="H753" s="26"/>
      <c r="J753" s="26"/>
      <c r="AI753" s="26"/>
      <c r="BE753" s="26"/>
    </row>
    <row r="754" spans="8:57" x14ac:dyDescent="0.25">
      <c r="H754" s="26"/>
    </row>
    <row r="755" spans="8:57" x14ac:dyDescent="0.25">
      <c r="H755" s="26"/>
    </row>
    <row r="756" spans="8:57" x14ac:dyDescent="0.25">
      <c r="H756" s="26"/>
      <c r="J756" s="26"/>
      <c r="U756" s="26"/>
      <c r="V756" s="26"/>
      <c r="AI756" s="26"/>
      <c r="BE756" s="26"/>
    </row>
    <row r="757" spans="8:57" x14ac:dyDescent="0.25">
      <c r="H757" s="26"/>
    </row>
    <row r="758" spans="8:57" x14ac:dyDescent="0.25">
      <c r="H758" s="26"/>
      <c r="J758" s="26"/>
      <c r="U758" s="26"/>
      <c r="V758" s="26"/>
      <c r="AI758" s="26"/>
      <c r="BE758" s="26"/>
    </row>
    <row r="759" spans="8:57" x14ac:dyDescent="0.25">
      <c r="H759" s="26"/>
      <c r="J759" s="26"/>
      <c r="U759" s="26"/>
      <c r="V759" s="26"/>
      <c r="AI759" s="26"/>
      <c r="BE759" s="26"/>
    </row>
    <row r="760" spans="8:57" x14ac:dyDescent="0.25">
      <c r="H760" s="26"/>
    </row>
    <row r="761" spans="8:57" x14ac:dyDescent="0.25">
      <c r="H761" s="26"/>
      <c r="J761" s="26"/>
      <c r="U761" s="26"/>
      <c r="V761" s="26"/>
      <c r="AI761" s="26"/>
      <c r="BE761" s="26"/>
    </row>
    <row r="762" spans="8:57" x14ac:dyDescent="0.25">
      <c r="H762" s="26"/>
      <c r="J762" s="26"/>
      <c r="AI762" s="26"/>
      <c r="BE762" s="26"/>
    </row>
    <row r="763" spans="8:57" x14ac:dyDescent="0.25">
      <c r="H763" s="26"/>
      <c r="J763" s="26"/>
      <c r="AI763" s="26"/>
      <c r="BE763" s="26"/>
    </row>
    <row r="764" spans="8:57" x14ac:dyDescent="0.25">
      <c r="H764" s="26"/>
    </row>
    <row r="765" spans="8:57" x14ac:dyDescent="0.25">
      <c r="H765" s="26"/>
      <c r="J765" s="26"/>
      <c r="AI765" s="26"/>
      <c r="BE765" s="26"/>
    </row>
    <row r="766" spans="8:57" x14ac:dyDescent="0.25">
      <c r="H766" s="26"/>
      <c r="J766" s="26"/>
      <c r="AI766" s="26"/>
      <c r="BE766" s="26"/>
    </row>
    <row r="767" spans="8:57" x14ac:dyDescent="0.25">
      <c r="H767" s="26"/>
      <c r="J767" s="26"/>
      <c r="U767" s="26"/>
      <c r="V767" s="26"/>
      <c r="AI767" s="26"/>
      <c r="BE767" s="26"/>
    </row>
    <row r="768" spans="8:57" x14ac:dyDescent="0.25">
      <c r="H768" s="26"/>
      <c r="J768" s="26"/>
      <c r="U768" s="26"/>
      <c r="V768" s="26"/>
      <c r="AI768" s="26"/>
      <c r="BE768" s="26"/>
    </row>
    <row r="769" spans="8:57" x14ac:dyDescent="0.25">
      <c r="H769" s="26"/>
      <c r="J769" s="26"/>
      <c r="U769" s="26"/>
      <c r="V769" s="26"/>
      <c r="AI769" s="26"/>
      <c r="BE769" s="26"/>
    </row>
    <row r="770" spans="8:57" x14ac:dyDescent="0.25">
      <c r="H770" s="26"/>
      <c r="J770" s="26"/>
      <c r="AI770" s="26"/>
      <c r="BE770" s="26"/>
    </row>
    <row r="771" spans="8:57" x14ac:dyDescent="0.25">
      <c r="H771" s="26"/>
    </row>
    <row r="772" spans="8:57" x14ac:dyDescent="0.25">
      <c r="H772" s="26"/>
    </row>
    <row r="773" spans="8:57" x14ac:dyDescent="0.25">
      <c r="H773" s="26"/>
    </row>
    <row r="774" spans="8:57" x14ac:dyDescent="0.25">
      <c r="H774" s="26"/>
    </row>
    <row r="775" spans="8:57" x14ac:dyDescent="0.25">
      <c r="H775" s="26"/>
    </row>
    <row r="776" spans="8:57" x14ac:dyDescent="0.25">
      <c r="H776" s="26"/>
    </row>
    <row r="777" spans="8:57" x14ac:dyDescent="0.25">
      <c r="H777" s="26"/>
    </row>
    <row r="778" spans="8:57" x14ac:dyDescent="0.25">
      <c r="H778" s="26"/>
      <c r="J778" s="26"/>
      <c r="AI778" s="26"/>
      <c r="BE778" s="26"/>
    </row>
    <row r="779" spans="8:57" x14ac:dyDescent="0.25">
      <c r="H779" s="26"/>
    </row>
    <row r="780" spans="8:57" x14ac:dyDescent="0.25">
      <c r="H780" s="26"/>
    </row>
    <row r="781" spans="8:57" x14ac:dyDescent="0.25">
      <c r="H781" s="26"/>
    </row>
    <row r="782" spans="8:57" x14ac:dyDescent="0.25">
      <c r="H782" s="26"/>
    </row>
    <row r="783" spans="8:57" x14ac:dyDescent="0.25">
      <c r="H783" s="26"/>
    </row>
    <row r="784" spans="8:57" x14ac:dyDescent="0.25">
      <c r="H784" s="26"/>
    </row>
    <row r="785" spans="8:57" x14ac:dyDescent="0.25">
      <c r="H785" s="26"/>
    </row>
    <row r="786" spans="8:57" x14ac:dyDescent="0.25">
      <c r="H786" s="26"/>
      <c r="J786" s="26"/>
      <c r="AI786" s="26"/>
      <c r="BE786" s="26"/>
    </row>
    <row r="787" spans="8:57" x14ac:dyDescent="0.25">
      <c r="H787" s="26"/>
      <c r="J787" s="26"/>
      <c r="U787" s="26"/>
      <c r="V787" s="26"/>
      <c r="AI787" s="26"/>
      <c r="BE787" s="26"/>
    </row>
    <row r="788" spans="8:57" x14ac:dyDescent="0.25">
      <c r="H788" s="26"/>
      <c r="J788" s="26"/>
      <c r="AI788" s="26"/>
      <c r="BE788" s="26"/>
    </row>
    <row r="789" spans="8:57" x14ac:dyDescent="0.25">
      <c r="H789" s="26"/>
    </row>
    <row r="790" spans="8:57" x14ac:dyDescent="0.25">
      <c r="H790" s="26"/>
    </row>
    <row r="791" spans="8:57" x14ac:dyDescent="0.25">
      <c r="H791" s="26"/>
    </row>
    <row r="792" spans="8:57" x14ac:dyDescent="0.25">
      <c r="H792" s="26"/>
    </row>
    <row r="793" spans="8:57" x14ac:dyDescent="0.25">
      <c r="H793" s="26"/>
      <c r="J793" s="26"/>
      <c r="AI793" s="26"/>
      <c r="BE793" s="26"/>
    </row>
    <row r="794" spans="8:57" x14ac:dyDescent="0.25">
      <c r="H794" s="26"/>
      <c r="J794" s="26"/>
      <c r="AI794" s="26"/>
      <c r="BE794" s="26"/>
    </row>
    <row r="795" spans="8:57" x14ac:dyDescent="0.25">
      <c r="H795" s="26"/>
      <c r="J795" s="26"/>
      <c r="U795" s="26"/>
      <c r="V795" s="26"/>
      <c r="AI795" s="26"/>
      <c r="BE795" s="26"/>
    </row>
    <row r="796" spans="8:57" x14ac:dyDescent="0.25">
      <c r="H796" s="26"/>
      <c r="J796" s="26"/>
      <c r="AI796" s="26"/>
      <c r="BE796" s="26"/>
    </row>
    <row r="797" spans="8:57" x14ac:dyDescent="0.25">
      <c r="H797" s="26"/>
    </row>
    <row r="798" spans="8:57" x14ac:dyDescent="0.25">
      <c r="H798" s="26"/>
      <c r="J798" s="26"/>
      <c r="AI798" s="26"/>
      <c r="BE798" s="26"/>
    </row>
    <row r="799" spans="8:57" x14ac:dyDescent="0.25">
      <c r="H799" s="26"/>
      <c r="J799" s="26"/>
      <c r="AI799" s="26"/>
      <c r="BE799" s="26"/>
    </row>
    <row r="800" spans="8:57" x14ac:dyDescent="0.25">
      <c r="H800" s="26"/>
      <c r="J800" s="26"/>
      <c r="AI800" s="26"/>
      <c r="BE800" s="26"/>
    </row>
    <row r="801" spans="8:57" x14ac:dyDescent="0.25">
      <c r="H801" s="26"/>
    </row>
    <row r="802" spans="8:57" x14ac:dyDescent="0.25">
      <c r="H802" s="26"/>
      <c r="J802" s="26"/>
      <c r="AI802" s="26"/>
      <c r="BE802" s="26"/>
    </row>
    <row r="803" spans="8:57" x14ac:dyDescent="0.25">
      <c r="H803" s="26"/>
      <c r="J803" s="26"/>
      <c r="U803" s="26"/>
      <c r="V803" s="26"/>
      <c r="AI803" s="26"/>
      <c r="BE803" s="26"/>
    </row>
    <row r="804" spans="8:57" x14ac:dyDescent="0.25">
      <c r="H804" s="26"/>
      <c r="J804" s="26"/>
      <c r="AI804" s="26"/>
      <c r="BE804" s="26"/>
    </row>
    <row r="805" spans="8:57" x14ac:dyDescent="0.25">
      <c r="H805" s="26"/>
      <c r="J805" s="26"/>
      <c r="U805" s="26"/>
      <c r="V805" s="26"/>
      <c r="AI805" s="26"/>
      <c r="BE805" s="26"/>
    </row>
    <row r="806" spans="8:57" x14ac:dyDescent="0.25">
      <c r="H806" s="26"/>
      <c r="J806" s="26"/>
      <c r="AI806" s="26"/>
      <c r="BE806" s="26"/>
    </row>
    <row r="807" spans="8:57" x14ac:dyDescent="0.25">
      <c r="H807" s="26"/>
    </row>
    <row r="808" spans="8:57" x14ac:dyDescent="0.25">
      <c r="H808" s="26"/>
      <c r="J808" s="26"/>
      <c r="AI808" s="26"/>
      <c r="BE808" s="26"/>
    </row>
    <row r="809" spans="8:57" x14ac:dyDescent="0.25">
      <c r="H809" s="26"/>
      <c r="J809" s="26"/>
      <c r="U809" s="26"/>
      <c r="V809" s="26"/>
      <c r="AI809" s="26"/>
      <c r="BE809" s="26"/>
    </row>
    <row r="810" spans="8:57" x14ac:dyDescent="0.25">
      <c r="H810" s="26"/>
      <c r="J810" s="26"/>
      <c r="AI810" s="26"/>
      <c r="BE810" s="26"/>
    </row>
    <row r="811" spans="8:57" x14ac:dyDescent="0.25">
      <c r="H811" s="26"/>
      <c r="J811" s="26"/>
      <c r="AI811" s="26"/>
      <c r="BE811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>
    <pageSetUpPr fitToPage="1"/>
  </sheetPr>
  <dimension ref="A1:AL83"/>
  <sheetViews>
    <sheetView zoomScale="70" zoomScaleNormal="70" workbookViewId="0">
      <selection activeCell="AB28" sqref="AB28"/>
    </sheetView>
  </sheetViews>
  <sheetFormatPr defaultRowHeight="15" x14ac:dyDescent="0.25"/>
  <cols>
    <col min="1" max="1" width="14.7109375" style="2" bestFit="1" customWidth="1"/>
    <col min="2" max="2" width="8.28515625" style="2" bestFit="1" customWidth="1"/>
    <col min="3" max="3" width="8.7109375" style="2" bestFit="1" customWidth="1"/>
    <col min="4" max="4" width="9.140625" style="2"/>
    <col min="5" max="6" width="7.42578125" style="2" bestFit="1" customWidth="1"/>
    <col min="7" max="7" width="13.85546875" style="2" bestFit="1" customWidth="1"/>
    <col min="8" max="8" width="12.85546875" style="2" bestFit="1" customWidth="1"/>
    <col min="9" max="31" width="9.140625" style="2"/>
    <col min="32" max="32" width="14.7109375" style="2" bestFit="1" customWidth="1"/>
    <col min="33" max="33" width="10.28515625" style="23" bestFit="1" customWidth="1"/>
    <col min="34" max="34" width="24.5703125" style="23" bestFit="1" customWidth="1"/>
    <col min="35" max="35" width="9.140625" style="23"/>
    <col min="36" max="16384" width="9.140625" style="2"/>
  </cols>
  <sheetData>
    <row r="1" spans="1:38" x14ac:dyDescent="0.25">
      <c r="A1" s="2" t="s">
        <v>65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</row>
    <row r="2" spans="1:38" ht="18.75" x14ac:dyDescent="0.3">
      <c r="A2" s="21" t="s">
        <v>64</v>
      </c>
      <c r="B2" s="22" t="s">
        <v>34</v>
      </c>
      <c r="C2" s="22" t="s">
        <v>54</v>
      </c>
      <c r="D2" s="22" t="s">
        <v>55</v>
      </c>
      <c r="E2" s="22" t="s">
        <v>35</v>
      </c>
      <c r="F2" s="22" t="s">
        <v>36</v>
      </c>
      <c r="G2" s="22" t="s">
        <v>56</v>
      </c>
      <c r="H2" s="22" t="s">
        <v>57</v>
      </c>
      <c r="I2" s="22" t="s">
        <v>37</v>
      </c>
      <c r="J2" s="22" t="s">
        <v>50</v>
      </c>
      <c r="K2" s="22" t="s">
        <v>58</v>
      </c>
      <c r="L2" s="22" t="s">
        <v>38</v>
      </c>
      <c r="M2" s="22" t="s">
        <v>39</v>
      </c>
      <c r="N2" s="22" t="s">
        <v>40</v>
      </c>
      <c r="O2" s="22" t="s">
        <v>41</v>
      </c>
      <c r="P2" s="22" t="s">
        <v>42</v>
      </c>
      <c r="Q2" s="22" t="s">
        <v>43</v>
      </c>
      <c r="R2" s="22" t="s">
        <v>44</v>
      </c>
      <c r="S2" s="22" t="s">
        <v>45</v>
      </c>
      <c r="T2" s="22" t="s">
        <v>59</v>
      </c>
      <c r="U2" s="22" t="s">
        <v>60</v>
      </c>
      <c r="V2" s="22" t="s">
        <v>61</v>
      </c>
      <c r="W2" s="22" t="s">
        <v>62</v>
      </c>
      <c r="X2" s="22" t="s">
        <v>46</v>
      </c>
      <c r="Y2" s="22" t="s">
        <v>47</v>
      </c>
      <c r="Z2" s="22" t="s">
        <v>48</v>
      </c>
      <c r="AA2" s="22" t="s">
        <v>51</v>
      </c>
      <c r="AB2" s="22" t="s">
        <v>63</v>
      </c>
      <c r="AC2" s="22" t="s">
        <v>49</v>
      </c>
      <c r="AF2" s="22" t="s">
        <v>66</v>
      </c>
      <c r="AG2" s="24" t="s">
        <v>32</v>
      </c>
      <c r="AH2" s="24" t="s">
        <v>67</v>
      </c>
      <c r="AI2" s="24" t="s">
        <v>33</v>
      </c>
    </row>
    <row r="3" spans="1:38" ht="18.75" x14ac:dyDescent="0.3">
      <c r="A3" s="2" t="s">
        <v>10</v>
      </c>
      <c r="B3" s="3">
        <f>'1'!$N2</f>
        <v>0</v>
      </c>
      <c r="C3" s="3">
        <f>'2'!$N2</f>
        <v>0</v>
      </c>
      <c r="D3" s="3">
        <f>'3'!$N2</f>
        <v>0</v>
      </c>
      <c r="E3" s="3">
        <f>'4'!$N2</f>
        <v>0</v>
      </c>
      <c r="F3" s="3">
        <f>'5'!$N2</f>
        <v>0</v>
      </c>
      <c r="G3" s="3">
        <f>'6'!$N2</f>
        <v>0</v>
      </c>
      <c r="H3" s="3">
        <f>'7'!$N2</f>
        <v>0</v>
      </c>
      <c r="I3" s="3">
        <f>'8'!$N2</f>
        <v>0</v>
      </c>
      <c r="J3" s="3">
        <f>'9'!$N2</f>
        <v>0</v>
      </c>
      <c r="K3" s="3">
        <f>'10'!$N2</f>
        <v>0</v>
      </c>
      <c r="L3" s="3">
        <f>'11'!$N2</f>
        <v>0</v>
      </c>
      <c r="M3" s="3">
        <f>'12'!$N2</f>
        <v>0</v>
      </c>
      <c r="N3" s="3">
        <f>'13'!$N2</f>
        <v>0</v>
      </c>
      <c r="O3" s="3">
        <f>'14'!$N2</f>
        <v>0</v>
      </c>
      <c r="P3" s="3">
        <f>'15'!$N2</f>
        <v>0</v>
      </c>
      <c r="Q3" s="3">
        <f>'16'!$N2</f>
        <v>0</v>
      </c>
      <c r="R3" s="3">
        <f>'17'!$N2</f>
        <v>0</v>
      </c>
      <c r="S3" s="3">
        <f>'18'!$N2</f>
        <v>0</v>
      </c>
      <c r="T3" s="3">
        <f>'19'!$N2</f>
        <v>0</v>
      </c>
      <c r="U3" s="3">
        <f>'20'!$N2</f>
        <v>0</v>
      </c>
      <c r="V3" s="3">
        <f>'21'!$N2</f>
        <v>0</v>
      </c>
      <c r="W3" s="3">
        <f>'22'!$N2</f>
        <v>0</v>
      </c>
      <c r="X3" s="3">
        <f>'23'!$N2</f>
        <v>0</v>
      </c>
      <c r="Y3" s="3">
        <f>'24'!$N2</f>
        <v>0</v>
      </c>
      <c r="Z3" s="3">
        <f>'25'!$N2</f>
        <v>0</v>
      </c>
      <c r="AA3" s="3">
        <f>'26'!$N2</f>
        <v>0</v>
      </c>
      <c r="AB3" s="3">
        <f>'27'!$N2</f>
        <v>0</v>
      </c>
      <c r="AC3" s="3">
        <f>'28'!$N2</f>
        <v>0</v>
      </c>
      <c r="AD3" s="18"/>
      <c r="AE3" s="18"/>
      <c r="AF3" s="22" t="s">
        <v>34</v>
      </c>
      <c r="AG3" s="24">
        <v>93</v>
      </c>
      <c r="AH3" s="24">
        <v>93</v>
      </c>
      <c r="AI3" s="24">
        <v>88</v>
      </c>
      <c r="AJ3" s="18"/>
      <c r="AK3" s="18"/>
      <c r="AL3" s="18"/>
    </row>
    <row r="4" spans="1:38" ht="18.75" x14ac:dyDescent="0.3">
      <c r="A4" s="2" t="s">
        <v>9</v>
      </c>
      <c r="B4" s="3">
        <f>'1'!$N3</f>
        <v>0</v>
      </c>
      <c r="C4" s="3">
        <f>'2'!$N3</f>
        <v>0</v>
      </c>
      <c r="D4" s="3">
        <f>'3'!$N3</f>
        <v>0</v>
      </c>
      <c r="E4" s="3">
        <f>'4'!$N3</f>
        <v>0</v>
      </c>
      <c r="F4" s="3">
        <f>'5'!$N3</f>
        <v>0</v>
      </c>
      <c r="G4" s="3">
        <f>'6'!$N3</f>
        <v>0</v>
      </c>
      <c r="H4" s="3">
        <f>'7'!$N3</f>
        <v>0</v>
      </c>
      <c r="I4" s="3">
        <f>'8'!$N3</f>
        <v>0</v>
      </c>
      <c r="J4" s="3">
        <f>'9'!$N3</f>
        <v>0</v>
      </c>
      <c r="K4" s="3">
        <f>'10'!$N3</f>
        <v>0</v>
      </c>
      <c r="L4" s="3">
        <f>'11'!$N3</f>
        <v>0</v>
      </c>
      <c r="M4" s="3">
        <f>'12'!$N3</f>
        <v>0</v>
      </c>
      <c r="N4" s="3">
        <f>'13'!$N3</f>
        <v>0</v>
      </c>
      <c r="O4" s="3">
        <f>'14'!$N3</f>
        <v>0</v>
      </c>
      <c r="P4" s="3">
        <f>'15'!$N3</f>
        <v>0</v>
      </c>
      <c r="Q4" s="3">
        <f>'16'!$N3</f>
        <v>0</v>
      </c>
      <c r="R4" s="3">
        <f>'17'!$N3</f>
        <v>0</v>
      </c>
      <c r="S4" s="3">
        <f>'18'!$N3</f>
        <v>0</v>
      </c>
      <c r="T4" s="3">
        <f>'19'!$N3</f>
        <v>0</v>
      </c>
      <c r="U4" s="3">
        <f>'20'!$N3</f>
        <v>0</v>
      </c>
      <c r="V4" s="3">
        <f>'21'!$N3</f>
        <v>0</v>
      </c>
      <c r="W4" s="3">
        <f>'22'!$N3</f>
        <v>0</v>
      </c>
      <c r="X4" s="3">
        <f>'23'!$N3</f>
        <v>0</v>
      </c>
      <c r="Y4" s="3">
        <f>'24'!$N3</f>
        <v>0</v>
      </c>
      <c r="Z4" s="3">
        <f>'25'!$N3</f>
        <v>0</v>
      </c>
      <c r="AA4" s="3">
        <f>'26'!$N3</f>
        <v>0</v>
      </c>
      <c r="AB4" s="3">
        <f>'27'!$N3</f>
        <v>0</v>
      </c>
      <c r="AC4" s="3">
        <f>'28'!$N3</f>
        <v>0</v>
      </c>
      <c r="AD4" s="18"/>
      <c r="AE4" s="18"/>
      <c r="AF4" s="22" t="s">
        <v>54</v>
      </c>
      <c r="AG4" s="24">
        <v>138</v>
      </c>
      <c r="AH4" s="24">
        <v>138</v>
      </c>
      <c r="AI4" s="24">
        <v>133</v>
      </c>
      <c r="AJ4" s="18"/>
      <c r="AK4" s="18"/>
      <c r="AL4" s="18"/>
    </row>
    <row r="5" spans="1:38" ht="18.75" x14ac:dyDescent="0.3">
      <c r="A5" s="2" t="s">
        <v>5</v>
      </c>
      <c r="B5" s="3">
        <f>'1'!$N4</f>
        <v>0</v>
      </c>
      <c r="C5" s="3">
        <f>'2'!$N4</f>
        <v>0</v>
      </c>
      <c r="D5" s="3">
        <f>'3'!$N4</f>
        <v>0</v>
      </c>
      <c r="E5" s="3">
        <f>'4'!$N4</f>
        <v>0</v>
      </c>
      <c r="F5" s="3">
        <f>'5'!$N4</f>
        <v>0</v>
      </c>
      <c r="G5" s="3">
        <f>'6'!$N4</f>
        <v>0</v>
      </c>
      <c r="H5" s="3">
        <f>'7'!$N4</f>
        <v>0</v>
      </c>
      <c r="I5" s="3">
        <f>'8'!$N4</f>
        <v>0</v>
      </c>
      <c r="J5" s="3">
        <f>'9'!$N4</f>
        <v>0</v>
      </c>
      <c r="K5" s="3">
        <f>'10'!$N4</f>
        <v>0</v>
      </c>
      <c r="L5" s="3">
        <f>'11'!$N4</f>
        <v>0</v>
      </c>
      <c r="M5" s="3">
        <f>'12'!$N4</f>
        <v>0</v>
      </c>
      <c r="N5" s="3">
        <f>'13'!$N4</f>
        <v>0</v>
      </c>
      <c r="O5" s="3">
        <f>'14'!$N4</f>
        <v>0</v>
      </c>
      <c r="P5" s="3">
        <f>'15'!$N4</f>
        <v>0</v>
      </c>
      <c r="Q5" s="3">
        <f>'16'!$N4</f>
        <v>0</v>
      </c>
      <c r="R5" s="3">
        <f>'17'!$N4</f>
        <v>0</v>
      </c>
      <c r="S5" s="3">
        <f>'18'!$N4</f>
        <v>0</v>
      </c>
      <c r="T5" s="3">
        <f>'19'!$N4</f>
        <v>0</v>
      </c>
      <c r="U5" s="3">
        <f>'20'!$N4</f>
        <v>0</v>
      </c>
      <c r="V5" s="3">
        <f>'21'!$N4</f>
        <v>0</v>
      </c>
      <c r="W5" s="3">
        <f>'22'!$N4</f>
        <v>0</v>
      </c>
      <c r="X5" s="3">
        <f>'23'!$N4</f>
        <v>0</v>
      </c>
      <c r="Y5" s="3">
        <f>'24'!$N4</f>
        <v>0</v>
      </c>
      <c r="Z5" s="3">
        <f>'25'!$N4</f>
        <v>0</v>
      </c>
      <c r="AA5" s="3">
        <f>'26'!$N4</f>
        <v>0</v>
      </c>
      <c r="AB5" s="3">
        <f>'27'!$N4</f>
        <v>0</v>
      </c>
      <c r="AC5" s="3">
        <f>'28'!$N4</f>
        <v>0</v>
      </c>
      <c r="AD5" s="18"/>
      <c r="AE5" s="18"/>
      <c r="AF5" s="22" t="s">
        <v>55</v>
      </c>
      <c r="AG5" s="24">
        <v>142</v>
      </c>
      <c r="AH5" s="24">
        <v>147</v>
      </c>
      <c r="AI5" s="24">
        <v>142</v>
      </c>
      <c r="AJ5" s="18"/>
      <c r="AK5" s="18"/>
      <c r="AL5" s="18"/>
    </row>
    <row r="6" spans="1:38" ht="18.75" x14ac:dyDescent="0.3">
      <c r="A6" s="2" t="s">
        <v>7</v>
      </c>
      <c r="B6" s="3">
        <f>'1'!$N5</f>
        <v>0</v>
      </c>
      <c r="C6" s="3">
        <f>'2'!$N5</f>
        <v>0</v>
      </c>
      <c r="D6" s="3">
        <f>'3'!$N5</f>
        <v>0</v>
      </c>
      <c r="E6" s="3">
        <f>'4'!$N5</f>
        <v>0</v>
      </c>
      <c r="F6" s="3">
        <f>'5'!$N5</f>
        <v>0</v>
      </c>
      <c r="G6" s="3">
        <f>'6'!$N5</f>
        <v>0</v>
      </c>
      <c r="H6" s="3">
        <f>'7'!$N5</f>
        <v>0</v>
      </c>
      <c r="I6" s="3">
        <f>'8'!$N5</f>
        <v>0</v>
      </c>
      <c r="J6" s="3">
        <f>'9'!$N5</f>
        <v>0</v>
      </c>
      <c r="K6" s="3">
        <f>'10'!$N5</f>
        <v>0</v>
      </c>
      <c r="L6" s="3">
        <f>'11'!$N5</f>
        <v>0</v>
      </c>
      <c r="M6" s="3">
        <f>'12'!$N5</f>
        <v>0</v>
      </c>
      <c r="N6" s="3">
        <f>'13'!$N5</f>
        <v>0</v>
      </c>
      <c r="O6" s="3">
        <f>'14'!$N5</f>
        <v>0</v>
      </c>
      <c r="P6" s="3">
        <f>'15'!$N5</f>
        <v>0</v>
      </c>
      <c r="Q6" s="3">
        <f>'16'!$N5</f>
        <v>0</v>
      </c>
      <c r="R6" s="3">
        <f>'17'!$N5</f>
        <v>0</v>
      </c>
      <c r="S6" s="3">
        <f>'18'!$N5</f>
        <v>0</v>
      </c>
      <c r="T6" s="3">
        <f>'19'!$N5</f>
        <v>0</v>
      </c>
      <c r="U6" s="3">
        <f>'20'!$N5</f>
        <v>0</v>
      </c>
      <c r="V6" s="3">
        <f>'21'!$N5</f>
        <v>0</v>
      </c>
      <c r="W6" s="3">
        <f>'22'!$N5</f>
        <v>0</v>
      </c>
      <c r="X6" s="3">
        <f>'23'!$N5</f>
        <v>0</v>
      </c>
      <c r="Y6" s="3">
        <f>'24'!$N5</f>
        <v>0</v>
      </c>
      <c r="Z6" s="3">
        <f>'25'!$N5</f>
        <v>0</v>
      </c>
      <c r="AA6" s="3">
        <f>'26'!$N5</f>
        <v>0</v>
      </c>
      <c r="AB6" s="3">
        <f>'27'!$N5</f>
        <v>0</v>
      </c>
      <c r="AC6" s="3">
        <f>'28'!$N5</f>
        <v>0</v>
      </c>
      <c r="AD6" s="18"/>
      <c r="AE6" s="18"/>
      <c r="AF6" s="22" t="s">
        <v>35</v>
      </c>
      <c r="AG6" s="24">
        <v>153</v>
      </c>
      <c r="AH6" s="24">
        <v>161</v>
      </c>
      <c r="AI6" s="24">
        <v>156</v>
      </c>
      <c r="AJ6" s="18"/>
      <c r="AK6" s="18"/>
      <c r="AL6" s="18"/>
    </row>
    <row r="7" spans="1:38" ht="18.75" x14ac:dyDescent="0.3">
      <c r="A7" s="2" t="s">
        <v>8</v>
      </c>
      <c r="B7" s="3">
        <f>'1'!$N6</f>
        <v>0</v>
      </c>
      <c r="C7" s="3">
        <f>'2'!$N6</f>
        <v>0</v>
      </c>
      <c r="D7" s="3">
        <f>'3'!$N6</f>
        <v>0</v>
      </c>
      <c r="E7" s="3">
        <f>'4'!$N6</f>
        <v>0</v>
      </c>
      <c r="F7" s="3">
        <f>'5'!$N6</f>
        <v>0</v>
      </c>
      <c r="G7" s="3">
        <f>'6'!$N6</f>
        <v>0</v>
      </c>
      <c r="H7" s="3">
        <f>'7'!$N6</f>
        <v>0</v>
      </c>
      <c r="I7" s="3">
        <f>'8'!$N6</f>
        <v>0</v>
      </c>
      <c r="J7" s="3">
        <f>'9'!$N6</f>
        <v>0</v>
      </c>
      <c r="K7" s="3">
        <f>'10'!$N6</f>
        <v>0</v>
      </c>
      <c r="L7" s="3">
        <f>'11'!$N6</f>
        <v>0</v>
      </c>
      <c r="M7" s="3">
        <f>'12'!$N6</f>
        <v>0</v>
      </c>
      <c r="N7" s="3">
        <f>'13'!$N6</f>
        <v>0</v>
      </c>
      <c r="O7" s="3">
        <f>'14'!$N6</f>
        <v>0</v>
      </c>
      <c r="P7" s="3">
        <f>'15'!$N6</f>
        <v>0</v>
      </c>
      <c r="Q7" s="3">
        <f>'16'!$N6</f>
        <v>0</v>
      </c>
      <c r="R7" s="3">
        <f>'17'!$N6</f>
        <v>0</v>
      </c>
      <c r="S7" s="3">
        <f>'18'!$N6</f>
        <v>0</v>
      </c>
      <c r="T7" s="3">
        <f>'19'!$N6</f>
        <v>0</v>
      </c>
      <c r="U7" s="3">
        <f>'20'!$N6</f>
        <v>0</v>
      </c>
      <c r="V7" s="3">
        <f>'21'!$N6</f>
        <v>0</v>
      </c>
      <c r="W7" s="3">
        <f>'22'!$N6</f>
        <v>0</v>
      </c>
      <c r="X7" s="3">
        <f>'23'!$N6</f>
        <v>0</v>
      </c>
      <c r="Y7" s="3">
        <f>'24'!$N6</f>
        <v>0</v>
      </c>
      <c r="Z7" s="3">
        <f>'25'!$N6</f>
        <v>0</v>
      </c>
      <c r="AA7" s="3">
        <f>'26'!$N6</f>
        <v>0</v>
      </c>
      <c r="AB7" s="3">
        <f>'27'!$N6</f>
        <v>0</v>
      </c>
      <c r="AC7" s="3">
        <f>'28'!$N6</f>
        <v>0</v>
      </c>
      <c r="AD7" s="18"/>
      <c r="AE7" s="18"/>
      <c r="AF7" s="22" t="s">
        <v>36</v>
      </c>
      <c r="AG7" s="24">
        <v>157</v>
      </c>
      <c r="AH7" s="24">
        <v>165</v>
      </c>
      <c r="AI7" s="24">
        <v>160</v>
      </c>
      <c r="AJ7" s="18"/>
      <c r="AK7" s="18"/>
      <c r="AL7" s="18"/>
    </row>
    <row r="8" spans="1:38" ht="18.75" x14ac:dyDescent="0.3">
      <c r="A8" s="2" t="s">
        <v>6</v>
      </c>
      <c r="B8" s="3">
        <f>'1'!$N7</f>
        <v>0</v>
      </c>
      <c r="C8" s="3">
        <f>'2'!$N7</f>
        <v>0</v>
      </c>
      <c r="D8" s="3">
        <f>'3'!$N7</f>
        <v>0</v>
      </c>
      <c r="E8" s="3">
        <f>'4'!$N7</f>
        <v>0</v>
      </c>
      <c r="F8" s="3">
        <f>'5'!$N7</f>
        <v>0</v>
      </c>
      <c r="G8" s="3">
        <f>'6'!$N7</f>
        <v>0</v>
      </c>
      <c r="H8" s="3">
        <f>'7'!$N7</f>
        <v>0</v>
      </c>
      <c r="I8" s="3">
        <f>'8'!$N7</f>
        <v>0</v>
      </c>
      <c r="J8" s="3">
        <f>'9'!$N7</f>
        <v>0</v>
      </c>
      <c r="K8" s="3">
        <f>'10'!$N7</f>
        <v>0</v>
      </c>
      <c r="L8" s="3">
        <f>'11'!$N7</f>
        <v>0</v>
      </c>
      <c r="M8" s="3">
        <f>'12'!$N7</f>
        <v>0</v>
      </c>
      <c r="N8" s="3">
        <f>'13'!$N7</f>
        <v>0</v>
      </c>
      <c r="O8" s="3">
        <f>'14'!$N7</f>
        <v>0</v>
      </c>
      <c r="P8" s="3">
        <f>'15'!$N7</f>
        <v>0</v>
      </c>
      <c r="Q8" s="3">
        <f>'16'!$N7</f>
        <v>0</v>
      </c>
      <c r="R8" s="3">
        <f>'17'!$N7</f>
        <v>0</v>
      </c>
      <c r="S8" s="3">
        <f>'18'!$N7</f>
        <v>0</v>
      </c>
      <c r="T8" s="3">
        <f>'19'!$N7</f>
        <v>0</v>
      </c>
      <c r="U8" s="3">
        <f>'20'!$N7</f>
        <v>0</v>
      </c>
      <c r="V8" s="3">
        <f>'21'!$N7</f>
        <v>0</v>
      </c>
      <c r="W8" s="3">
        <f>'22'!$N7</f>
        <v>0</v>
      </c>
      <c r="X8" s="3">
        <f>'23'!$N7</f>
        <v>0</v>
      </c>
      <c r="Y8" s="3">
        <f>'24'!$N7</f>
        <v>0</v>
      </c>
      <c r="Z8" s="3">
        <f>'25'!$N7</f>
        <v>0</v>
      </c>
      <c r="AA8" s="3">
        <f>'26'!$N7</f>
        <v>0</v>
      </c>
      <c r="AB8" s="3">
        <f>'27'!$N7</f>
        <v>0</v>
      </c>
      <c r="AC8" s="3">
        <f>'28'!$N7</f>
        <v>0</v>
      </c>
      <c r="AD8" s="18"/>
      <c r="AE8" s="18"/>
      <c r="AF8" s="22" t="s">
        <v>56</v>
      </c>
      <c r="AG8" s="24">
        <v>187</v>
      </c>
      <c r="AH8" s="24">
        <v>195</v>
      </c>
      <c r="AI8" s="24" t="s">
        <v>68</v>
      </c>
      <c r="AJ8" s="18"/>
      <c r="AK8" s="18"/>
      <c r="AL8" s="18"/>
    </row>
    <row r="9" spans="1:38" ht="18.75" x14ac:dyDescent="0.3">
      <c r="A9" s="2" t="s">
        <v>4</v>
      </c>
      <c r="B9" s="3">
        <f>'1'!$N8</f>
        <v>0</v>
      </c>
      <c r="C9" s="3">
        <f>'2'!$N8</f>
        <v>0</v>
      </c>
      <c r="D9" s="3">
        <f>'3'!$N8</f>
        <v>0</v>
      </c>
      <c r="E9" s="3">
        <f>'4'!$N8</f>
        <v>0</v>
      </c>
      <c r="F9" s="3">
        <f>'5'!$N8</f>
        <v>0</v>
      </c>
      <c r="G9" s="3">
        <f>'6'!$N8</f>
        <v>0</v>
      </c>
      <c r="H9" s="3">
        <f>'7'!$N8</f>
        <v>0</v>
      </c>
      <c r="I9" s="3">
        <f>'8'!$N8</f>
        <v>0</v>
      </c>
      <c r="J9" s="3">
        <f>'9'!$N8</f>
        <v>0</v>
      </c>
      <c r="K9" s="3">
        <f>'10'!$N8</f>
        <v>0</v>
      </c>
      <c r="L9" s="3">
        <f>'11'!$N8</f>
        <v>0</v>
      </c>
      <c r="M9" s="3">
        <f>'12'!$N8</f>
        <v>0</v>
      </c>
      <c r="N9" s="3">
        <f>'13'!$N8</f>
        <v>0</v>
      </c>
      <c r="O9" s="3">
        <f>'14'!$N8</f>
        <v>0</v>
      </c>
      <c r="P9" s="3">
        <f>'15'!$N8</f>
        <v>0</v>
      </c>
      <c r="Q9" s="3">
        <f>'16'!$N8</f>
        <v>0</v>
      </c>
      <c r="R9" s="3">
        <f>'17'!$N8</f>
        <v>0</v>
      </c>
      <c r="S9" s="3">
        <f>'18'!$N8</f>
        <v>0</v>
      </c>
      <c r="T9" s="3">
        <f>'19'!$N8</f>
        <v>0</v>
      </c>
      <c r="U9" s="3">
        <f>'20'!$N8</f>
        <v>0</v>
      </c>
      <c r="V9" s="3">
        <f>'21'!$N8</f>
        <v>0</v>
      </c>
      <c r="W9" s="3">
        <f>'22'!$N8</f>
        <v>0</v>
      </c>
      <c r="X9" s="3">
        <f>'23'!$N8</f>
        <v>0</v>
      </c>
      <c r="Y9" s="3">
        <f>'24'!$N8</f>
        <v>0</v>
      </c>
      <c r="Z9" s="3">
        <f>'25'!$N8</f>
        <v>0</v>
      </c>
      <c r="AA9" s="3">
        <f>'26'!$N8</f>
        <v>0</v>
      </c>
      <c r="AB9" s="3">
        <f>'27'!$N8</f>
        <v>0</v>
      </c>
      <c r="AC9" s="3">
        <f>'28'!$N8</f>
        <v>0</v>
      </c>
      <c r="AD9" s="18"/>
      <c r="AE9" s="18"/>
      <c r="AF9" s="22" t="s">
        <v>57</v>
      </c>
      <c r="AG9" s="24">
        <v>190</v>
      </c>
      <c r="AH9" s="24">
        <v>198</v>
      </c>
      <c r="AI9" s="24" t="s">
        <v>69</v>
      </c>
      <c r="AJ9" s="18"/>
      <c r="AK9" s="18"/>
      <c r="AL9" s="18"/>
    </row>
    <row r="10" spans="1:38" ht="18.75" x14ac:dyDescent="0.3">
      <c r="A10" s="2" t="s">
        <v>3</v>
      </c>
      <c r="B10" s="3">
        <f>'1'!$N9</f>
        <v>0</v>
      </c>
      <c r="C10" s="3">
        <f>'2'!$N9</f>
        <v>0</v>
      </c>
      <c r="D10" s="3">
        <f>'3'!$N9</f>
        <v>0</v>
      </c>
      <c r="E10" s="3">
        <f>'4'!$N9</f>
        <v>0</v>
      </c>
      <c r="F10" s="3">
        <f>'5'!$N9</f>
        <v>0</v>
      </c>
      <c r="G10" s="3">
        <f>'6'!$N9</f>
        <v>0</v>
      </c>
      <c r="H10" s="3">
        <f>'7'!$N9</f>
        <v>0</v>
      </c>
      <c r="I10" s="3">
        <f>'8'!$N9</f>
        <v>0</v>
      </c>
      <c r="J10" s="3">
        <f>'9'!$N9</f>
        <v>0</v>
      </c>
      <c r="K10" s="3">
        <f>'10'!$N9</f>
        <v>0</v>
      </c>
      <c r="L10" s="3">
        <f>'11'!$N9</f>
        <v>0</v>
      </c>
      <c r="M10" s="3">
        <f>'12'!$N9</f>
        <v>0</v>
      </c>
      <c r="N10" s="3">
        <f>'13'!$N9</f>
        <v>0</v>
      </c>
      <c r="O10" s="3">
        <f>'14'!$N9</f>
        <v>0</v>
      </c>
      <c r="P10" s="3">
        <f>'15'!$N9</f>
        <v>0</v>
      </c>
      <c r="Q10" s="3">
        <f>'16'!$N9</f>
        <v>0</v>
      </c>
      <c r="R10" s="3">
        <f>'17'!$N9</f>
        <v>0</v>
      </c>
      <c r="S10" s="3">
        <f>'18'!$N9</f>
        <v>0</v>
      </c>
      <c r="T10" s="3">
        <f>'19'!$N9</f>
        <v>0</v>
      </c>
      <c r="U10" s="3">
        <f>'20'!$N9</f>
        <v>0</v>
      </c>
      <c r="V10" s="3">
        <f>'21'!$N9</f>
        <v>0</v>
      </c>
      <c r="W10" s="3">
        <f>'22'!$N9</f>
        <v>0</v>
      </c>
      <c r="X10" s="3">
        <f>'23'!$N9</f>
        <v>0</v>
      </c>
      <c r="Y10" s="3">
        <f>'24'!$N9</f>
        <v>0</v>
      </c>
      <c r="Z10" s="3">
        <f>'25'!$N9</f>
        <v>0</v>
      </c>
      <c r="AA10" s="3">
        <f>'26'!$N9</f>
        <v>0</v>
      </c>
      <c r="AB10" s="3">
        <f>'27'!$N9</f>
        <v>0</v>
      </c>
      <c r="AC10" s="3">
        <f>'28'!$N9</f>
        <v>0</v>
      </c>
      <c r="AD10" s="18"/>
      <c r="AE10" s="18"/>
      <c r="AF10" s="22" t="s">
        <v>37</v>
      </c>
      <c r="AG10" s="24">
        <v>202</v>
      </c>
      <c r="AH10" s="24">
        <v>210</v>
      </c>
      <c r="AI10" s="24">
        <v>197</v>
      </c>
      <c r="AJ10" s="18"/>
      <c r="AK10" s="18"/>
      <c r="AL10" s="18"/>
    </row>
    <row r="11" spans="1:38" ht="18.75" x14ac:dyDescent="0.3">
      <c r="A11" s="2" t="s">
        <v>19</v>
      </c>
      <c r="B11" s="3">
        <f>'1'!$N10</f>
        <v>0</v>
      </c>
      <c r="C11" s="3">
        <f>'2'!$N10</f>
        <v>0</v>
      </c>
      <c r="D11" s="3">
        <f>'3'!$N10</f>
        <v>0</v>
      </c>
      <c r="E11" s="3">
        <f>'4'!$N10</f>
        <v>0</v>
      </c>
      <c r="F11" s="3">
        <f>'5'!$N10</f>
        <v>0</v>
      </c>
      <c r="G11" s="3">
        <f>'6'!$N10</f>
        <v>0</v>
      </c>
      <c r="H11" s="3">
        <f>'7'!$N10</f>
        <v>0</v>
      </c>
      <c r="I11" s="3">
        <f>'8'!$N10</f>
        <v>0</v>
      </c>
      <c r="J11" s="3">
        <f>'9'!$N10</f>
        <v>0</v>
      </c>
      <c r="K11" s="3">
        <f>'10'!$N10</f>
        <v>0</v>
      </c>
      <c r="L11" s="3">
        <f>'11'!$N10</f>
        <v>0</v>
      </c>
      <c r="M11" s="3">
        <f>'12'!$N10</f>
        <v>0</v>
      </c>
      <c r="N11" s="3">
        <f>'13'!$N10</f>
        <v>0</v>
      </c>
      <c r="O11" s="3">
        <f>'14'!$N10</f>
        <v>0</v>
      </c>
      <c r="P11" s="3">
        <f>'15'!$N10</f>
        <v>0</v>
      </c>
      <c r="Q11" s="3">
        <f>'16'!$N10</f>
        <v>0</v>
      </c>
      <c r="R11" s="3">
        <f>'17'!$N10</f>
        <v>0</v>
      </c>
      <c r="S11" s="3">
        <f>'18'!$N10</f>
        <v>0</v>
      </c>
      <c r="T11" s="3">
        <f>'19'!$N10</f>
        <v>0</v>
      </c>
      <c r="U11" s="3">
        <f>'20'!$N10</f>
        <v>0</v>
      </c>
      <c r="V11" s="3">
        <f>'21'!$N10</f>
        <v>0</v>
      </c>
      <c r="W11" s="3">
        <f>'22'!$N10</f>
        <v>0</v>
      </c>
      <c r="X11" s="3">
        <f>'23'!$N10</f>
        <v>0</v>
      </c>
      <c r="Y11" s="3">
        <f>'24'!$N10</f>
        <v>0</v>
      </c>
      <c r="Z11" s="3">
        <f>'25'!$N10</f>
        <v>0</v>
      </c>
      <c r="AA11" s="3">
        <f>'26'!$N10</f>
        <v>0</v>
      </c>
      <c r="AB11" s="3">
        <f>'27'!$N10</f>
        <v>0</v>
      </c>
      <c r="AC11" s="3">
        <f>'28'!$N10</f>
        <v>0</v>
      </c>
      <c r="AD11" s="18"/>
      <c r="AE11" s="18"/>
      <c r="AF11" s="22" t="s">
        <v>50</v>
      </c>
      <c r="AG11" s="24">
        <v>239</v>
      </c>
      <c r="AH11" s="24">
        <v>247</v>
      </c>
      <c r="AI11" s="24">
        <v>234</v>
      </c>
      <c r="AJ11" s="18"/>
      <c r="AK11" s="18"/>
      <c r="AL11" s="18"/>
    </row>
    <row r="12" spans="1:38" ht="18.75" x14ac:dyDescent="0.3">
      <c r="A12" s="2" t="s">
        <v>2</v>
      </c>
      <c r="B12" s="3">
        <f>'1'!$N11</f>
        <v>0</v>
      </c>
      <c r="C12" s="3">
        <f>'2'!$N11</f>
        <v>0</v>
      </c>
      <c r="D12" s="3">
        <f>'3'!$N11</f>
        <v>0</v>
      </c>
      <c r="E12" s="3">
        <f>'4'!$N11</f>
        <v>0</v>
      </c>
      <c r="F12" s="3">
        <f>'5'!$N11</f>
        <v>0</v>
      </c>
      <c r="G12" s="3">
        <f>'6'!$N11</f>
        <v>0</v>
      </c>
      <c r="H12" s="3">
        <f>'7'!$N11</f>
        <v>0</v>
      </c>
      <c r="I12" s="3">
        <f>'8'!$N11</f>
        <v>0</v>
      </c>
      <c r="J12" s="3">
        <f>'9'!$N11</f>
        <v>0</v>
      </c>
      <c r="K12" s="3">
        <f>'10'!$N11</f>
        <v>0</v>
      </c>
      <c r="L12" s="3">
        <f>'11'!$N11</f>
        <v>0</v>
      </c>
      <c r="M12" s="3">
        <f>'12'!$N11</f>
        <v>0</v>
      </c>
      <c r="N12" s="3">
        <f>'13'!$N11</f>
        <v>0</v>
      </c>
      <c r="O12" s="3">
        <f>'14'!$N11</f>
        <v>0</v>
      </c>
      <c r="P12" s="3">
        <f>'15'!$N11</f>
        <v>0</v>
      </c>
      <c r="Q12" s="3">
        <f>'16'!$N11</f>
        <v>0</v>
      </c>
      <c r="R12" s="3">
        <f>'17'!$N11</f>
        <v>0</v>
      </c>
      <c r="S12" s="3">
        <f>'18'!$N11</f>
        <v>0</v>
      </c>
      <c r="T12" s="3">
        <f>'19'!$N11</f>
        <v>0</v>
      </c>
      <c r="U12" s="3">
        <f>'20'!$N11</f>
        <v>0</v>
      </c>
      <c r="V12" s="3">
        <f>'21'!$N11</f>
        <v>0</v>
      </c>
      <c r="W12" s="3">
        <f>'22'!$N11</f>
        <v>0</v>
      </c>
      <c r="X12" s="3">
        <f>'23'!$N11</f>
        <v>0</v>
      </c>
      <c r="Y12" s="3">
        <f>'24'!$N11</f>
        <v>0</v>
      </c>
      <c r="Z12" s="3">
        <f>'25'!$N11</f>
        <v>0</v>
      </c>
      <c r="AA12" s="3">
        <f>'26'!$N11</f>
        <v>0</v>
      </c>
      <c r="AB12" s="3">
        <f>'27'!$N11</f>
        <v>0</v>
      </c>
      <c r="AC12" s="3">
        <f>'28'!$N11</f>
        <v>0</v>
      </c>
      <c r="AD12" s="18"/>
      <c r="AE12" s="18"/>
      <c r="AF12" s="22" t="s">
        <v>58</v>
      </c>
      <c r="AG12" s="24">
        <v>267</v>
      </c>
      <c r="AH12" s="24">
        <v>275</v>
      </c>
      <c r="AI12" s="24">
        <v>262</v>
      </c>
      <c r="AJ12" s="18"/>
      <c r="AK12" s="18"/>
      <c r="AL12" s="18"/>
    </row>
    <row r="13" spans="1:38" ht="18.75" x14ac:dyDescent="0.3">
      <c r="A13" s="2" t="s">
        <v>0</v>
      </c>
      <c r="B13" s="3">
        <f>'1'!$N12</f>
        <v>0</v>
      </c>
      <c r="C13" s="3">
        <f>'2'!$N12</f>
        <v>0</v>
      </c>
      <c r="D13" s="3">
        <f>'3'!$N12</f>
        <v>0</v>
      </c>
      <c r="E13" s="3">
        <f>'4'!$N12</f>
        <v>0</v>
      </c>
      <c r="F13" s="3">
        <f>'5'!$N12</f>
        <v>0</v>
      </c>
      <c r="G13" s="3">
        <f>'6'!$N12</f>
        <v>0</v>
      </c>
      <c r="H13" s="3">
        <f>'7'!$N12</f>
        <v>0</v>
      </c>
      <c r="I13" s="3">
        <f>'8'!$N12</f>
        <v>0</v>
      </c>
      <c r="J13" s="3">
        <f>'9'!$N12</f>
        <v>0</v>
      </c>
      <c r="K13" s="3">
        <f>'10'!$N12</f>
        <v>0</v>
      </c>
      <c r="L13" s="3">
        <f>'11'!$N12</f>
        <v>0</v>
      </c>
      <c r="M13" s="3">
        <f>'12'!$N12</f>
        <v>0</v>
      </c>
      <c r="N13" s="3">
        <f>'13'!$N12</f>
        <v>0</v>
      </c>
      <c r="O13" s="3">
        <f>'14'!$N12</f>
        <v>0</v>
      </c>
      <c r="P13" s="3">
        <f>'15'!$N12</f>
        <v>0</v>
      </c>
      <c r="Q13" s="3">
        <f>'16'!$N12</f>
        <v>0</v>
      </c>
      <c r="R13" s="3">
        <f>'17'!$N12</f>
        <v>0</v>
      </c>
      <c r="S13" s="3">
        <f>'18'!$N12</f>
        <v>0</v>
      </c>
      <c r="T13" s="3">
        <f>'19'!$N12</f>
        <v>0</v>
      </c>
      <c r="U13" s="3">
        <f>'20'!$N12</f>
        <v>0</v>
      </c>
      <c r="V13" s="3">
        <f>'21'!$N12</f>
        <v>0</v>
      </c>
      <c r="W13" s="3">
        <f>'22'!$N12</f>
        <v>0</v>
      </c>
      <c r="X13" s="3">
        <f>'23'!$N12</f>
        <v>0</v>
      </c>
      <c r="Y13" s="3">
        <f>'24'!$N12</f>
        <v>0</v>
      </c>
      <c r="Z13" s="3">
        <f>'25'!$N12</f>
        <v>0</v>
      </c>
      <c r="AA13" s="3">
        <f>'26'!$N12</f>
        <v>0</v>
      </c>
      <c r="AB13" s="3">
        <f>'27'!$N12</f>
        <v>0</v>
      </c>
      <c r="AC13" s="3">
        <f>'28'!$N12</f>
        <v>0</v>
      </c>
      <c r="AD13" s="18"/>
      <c r="AE13" s="18"/>
      <c r="AF13" s="22" t="s">
        <v>38</v>
      </c>
      <c r="AG13" s="24">
        <v>281</v>
      </c>
      <c r="AH13" s="24">
        <v>289</v>
      </c>
      <c r="AI13" s="24">
        <v>276</v>
      </c>
      <c r="AJ13" s="18"/>
      <c r="AK13" s="18"/>
      <c r="AL13" s="18"/>
    </row>
    <row r="14" spans="1:38" ht="18.75" x14ac:dyDescent="0.3">
      <c r="A14" s="2" t="s">
        <v>520</v>
      </c>
      <c r="B14" s="3">
        <f>'1'!$N13</f>
        <v>0</v>
      </c>
      <c r="C14" s="3">
        <f>'2'!$N13</f>
        <v>0</v>
      </c>
      <c r="D14" s="3">
        <f>'3'!$N13</f>
        <v>0</v>
      </c>
      <c r="E14" s="3">
        <f>'4'!$N13</f>
        <v>0</v>
      </c>
      <c r="F14" s="3">
        <f>'5'!$N13</f>
        <v>0</v>
      </c>
      <c r="G14" s="3">
        <f>'6'!$N13</f>
        <v>0</v>
      </c>
      <c r="H14" s="3">
        <f>'7'!$N13</f>
        <v>0</v>
      </c>
      <c r="I14" s="3">
        <f>'8'!$N13</f>
        <v>0</v>
      </c>
      <c r="J14" s="3">
        <f>'9'!$N13</f>
        <v>0</v>
      </c>
      <c r="K14" s="3">
        <f>'10'!$N13</f>
        <v>0</v>
      </c>
      <c r="L14" s="3">
        <f>'11'!$N13</f>
        <v>0</v>
      </c>
      <c r="M14" s="3">
        <f>'12'!$N13</f>
        <v>0</v>
      </c>
      <c r="N14" s="3">
        <f>'13'!$N13</f>
        <v>0</v>
      </c>
      <c r="O14" s="3">
        <f>'14'!$N13</f>
        <v>0</v>
      </c>
      <c r="P14" s="3">
        <f>'15'!$N13</f>
        <v>0</v>
      </c>
      <c r="Q14" s="3">
        <f>'16'!$N13</f>
        <v>0</v>
      </c>
      <c r="R14" s="3">
        <f>'17'!$N13</f>
        <v>0</v>
      </c>
      <c r="S14" s="3">
        <f>'18'!$N13</f>
        <v>0</v>
      </c>
      <c r="T14" s="3">
        <f>'19'!$N13</f>
        <v>0</v>
      </c>
      <c r="U14" s="3">
        <f>'20'!$N13</f>
        <v>0</v>
      </c>
      <c r="V14" s="3">
        <f>'21'!$N13</f>
        <v>0</v>
      </c>
      <c r="W14" s="3">
        <f>'22'!$N13</f>
        <v>0</v>
      </c>
      <c r="X14" s="3">
        <f>'23'!$N13</f>
        <v>0</v>
      </c>
      <c r="Y14" s="3">
        <f>'24'!$N13</f>
        <v>0</v>
      </c>
      <c r="Z14" s="3">
        <f>'25'!$N13</f>
        <v>0</v>
      </c>
      <c r="AA14" s="3">
        <f>'26'!$N13</f>
        <v>0</v>
      </c>
      <c r="AB14" s="3">
        <f>'27'!$N13</f>
        <v>0</v>
      </c>
      <c r="AC14" s="3">
        <f>'28'!$N13</f>
        <v>0</v>
      </c>
      <c r="AD14" s="18"/>
      <c r="AE14" s="18"/>
      <c r="AF14" s="22" t="s">
        <v>39</v>
      </c>
      <c r="AG14" s="24">
        <v>300</v>
      </c>
      <c r="AH14" s="24">
        <v>308</v>
      </c>
      <c r="AI14" s="24">
        <v>295</v>
      </c>
      <c r="AJ14" s="18"/>
      <c r="AK14" s="18"/>
      <c r="AL14" s="18"/>
    </row>
    <row r="15" spans="1:38" ht="18.75" x14ac:dyDescent="0.3">
      <c r="A15" s="2" t="s">
        <v>521</v>
      </c>
      <c r="B15" s="3">
        <f>'1'!$N14</f>
        <v>0</v>
      </c>
      <c r="C15" s="3">
        <f>'2'!$N14</f>
        <v>0</v>
      </c>
      <c r="D15" s="3">
        <f>'3'!$N14</f>
        <v>0</v>
      </c>
      <c r="E15" s="3">
        <f>'4'!$N14</f>
        <v>0</v>
      </c>
      <c r="F15" s="3">
        <f>'5'!$N14</f>
        <v>0</v>
      </c>
      <c r="G15" s="3">
        <f>'6'!$N14</f>
        <v>0</v>
      </c>
      <c r="H15" s="3">
        <f>'7'!$N14</f>
        <v>0</v>
      </c>
      <c r="I15" s="3">
        <f>'8'!$N14</f>
        <v>0</v>
      </c>
      <c r="J15" s="3">
        <f>'9'!$N14</f>
        <v>0</v>
      </c>
      <c r="K15" s="3">
        <f>'10'!$N14</f>
        <v>0</v>
      </c>
      <c r="L15" s="3">
        <f>'11'!$N14</f>
        <v>0</v>
      </c>
      <c r="M15" s="3">
        <f>'12'!$N14</f>
        <v>0</v>
      </c>
      <c r="N15" s="3">
        <f>'13'!$N14</f>
        <v>0</v>
      </c>
      <c r="O15" s="3">
        <f>'14'!$N14</f>
        <v>0</v>
      </c>
      <c r="P15" s="3">
        <f>'15'!$N14</f>
        <v>0</v>
      </c>
      <c r="Q15" s="3">
        <f>'16'!$N14</f>
        <v>0</v>
      </c>
      <c r="R15" s="3">
        <f>'17'!$N14</f>
        <v>0</v>
      </c>
      <c r="S15" s="3">
        <f>'18'!$N14</f>
        <v>0</v>
      </c>
      <c r="T15" s="3">
        <f>'19'!$N14</f>
        <v>0</v>
      </c>
      <c r="U15" s="3">
        <f>'20'!$N14</f>
        <v>0</v>
      </c>
      <c r="V15" s="3">
        <f>'21'!$N14</f>
        <v>0</v>
      </c>
      <c r="W15" s="3">
        <f>'22'!$N14</f>
        <v>0</v>
      </c>
      <c r="X15" s="3">
        <f>'23'!$N14</f>
        <v>0</v>
      </c>
      <c r="Y15" s="3">
        <f>'24'!$N14</f>
        <v>0</v>
      </c>
      <c r="Z15" s="3">
        <f>'25'!$N14</f>
        <v>0</v>
      </c>
      <c r="AA15" s="3">
        <f>'26'!$N14</f>
        <v>0</v>
      </c>
      <c r="AB15" s="3">
        <f>'27'!$N14</f>
        <v>0</v>
      </c>
      <c r="AC15" s="3">
        <f>'28'!$N14</f>
        <v>0</v>
      </c>
      <c r="AD15" s="18"/>
      <c r="AE15" s="18"/>
      <c r="AF15" s="22" t="s">
        <v>40</v>
      </c>
      <c r="AG15" s="24">
        <v>306</v>
      </c>
      <c r="AH15" s="24">
        <v>314</v>
      </c>
      <c r="AI15" s="24">
        <v>301</v>
      </c>
      <c r="AJ15" s="18"/>
      <c r="AK15" s="18"/>
      <c r="AL15" s="18"/>
    </row>
    <row r="16" spans="1:38" ht="18.75" x14ac:dyDescent="0.3">
      <c r="A16" s="2" t="s">
        <v>522</v>
      </c>
      <c r="B16" s="3">
        <f>'1'!$N15</f>
        <v>0</v>
      </c>
      <c r="C16" s="3">
        <f>'2'!$N15</f>
        <v>0</v>
      </c>
      <c r="D16" s="3">
        <f>'3'!$N15</f>
        <v>0</v>
      </c>
      <c r="E16" s="3">
        <f>'4'!$N15</f>
        <v>0</v>
      </c>
      <c r="F16" s="3">
        <f>'5'!$N15</f>
        <v>0</v>
      </c>
      <c r="G16" s="3">
        <f>'6'!$N15</f>
        <v>0</v>
      </c>
      <c r="H16" s="3">
        <f>'7'!$N15</f>
        <v>0</v>
      </c>
      <c r="I16" s="3">
        <f>'8'!$N15</f>
        <v>0</v>
      </c>
      <c r="J16" s="3">
        <f>'9'!$N15</f>
        <v>0</v>
      </c>
      <c r="K16" s="3">
        <f>'10'!$N15</f>
        <v>0</v>
      </c>
      <c r="L16" s="3">
        <f>'11'!$N15</f>
        <v>0</v>
      </c>
      <c r="M16" s="3">
        <f>'12'!$N15</f>
        <v>0</v>
      </c>
      <c r="N16" s="3">
        <f>'13'!$N15</f>
        <v>0</v>
      </c>
      <c r="O16" s="3">
        <f>'14'!$N15</f>
        <v>0</v>
      </c>
      <c r="P16" s="3">
        <f>'15'!$N15</f>
        <v>0</v>
      </c>
      <c r="Q16" s="3">
        <f>'16'!$N15</f>
        <v>0</v>
      </c>
      <c r="R16" s="3">
        <f>'17'!$N15</f>
        <v>0</v>
      </c>
      <c r="S16" s="3">
        <f>'18'!$N15</f>
        <v>0</v>
      </c>
      <c r="T16" s="3">
        <f>'19'!$N15</f>
        <v>0</v>
      </c>
      <c r="U16" s="3">
        <f>'20'!$N15</f>
        <v>0</v>
      </c>
      <c r="V16" s="3">
        <f>'21'!$N15</f>
        <v>0</v>
      </c>
      <c r="W16" s="3">
        <f>'22'!$N15</f>
        <v>0</v>
      </c>
      <c r="X16" s="3">
        <f>'23'!$N15</f>
        <v>0</v>
      </c>
      <c r="Y16" s="3">
        <f>'24'!$N15</f>
        <v>0</v>
      </c>
      <c r="Z16" s="3">
        <f>'25'!$N15</f>
        <v>0</v>
      </c>
      <c r="AA16" s="3">
        <f>'26'!$N15</f>
        <v>0</v>
      </c>
      <c r="AB16" s="3">
        <f>'27'!$N15</f>
        <v>0</v>
      </c>
      <c r="AC16" s="3">
        <f>'28'!$N15</f>
        <v>0</v>
      </c>
      <c r="AD16" s="18"/>
      <c r="AE16" s="18"/>
      <c r="AF16" s="22" t="s">
        <v>41</v>
      </c>
      <c r="AG16" s="24">
        <v>336</v>
      </c>
      <c r="AH16" s="24">
        <v>346</v>
      </c>
      <c r="AI16" s="24">
        <v>332</v>
      </c>
      <c r="AJ16" s="18"/>
      <c r="AK16" s="18"/>
      <c r="AL16" s="18"/>
    </row>
    <row r="17" spans="1:38" ht="18.75" x14ac:dyDescent="0.3">
      <c r="A17" s="2" t="s">
        <v>523</v>
      </c>
      <c r="B17" s="3">
        <f>'1'!$N16</f>
        <v>0</v>
      </c>
      <c r="C17" s="3">
        <f>'2'!$N16</f>
        <v>0</v>
      </c>
      <c r="D17" s="3">
        <f>'3'!$N16</f>
        <v>0</v>
      </c>
      <c r="E17" s="3">
        <f>'4'!$N16</f>
        <v>0</v>
      </c>
      <c r="F17" s="3">
        <f>'5'!$N16</f>
        <v>0</v>
      </c>
      <c r="G17" s="3">
        <f>'6'!$N16</f>
        <v>0</v>
      </c>
      <c r="H17" s="3">
        <f>'7'!$N16</f>
        <v>0</v>
      </c>
      <c r="I17" s="3">
        <f>'8'!$N16</f>
        <v>0</v>
      </c>
      <c r="J17" s="3">
        <f>'9'!$N16</f>
        <v>0</v>
      </c>
      <c r="K17" s="3">
        <f>'10'!$N16</f>
        <v>0</v>
      </c>
      <c r="L17" s="3">
        <f>'11'!$N16</f>
        <v>0</v>
      </c>
      <c r="M17" s="3">
        <f>'12'!$N16</f>
        <v>0</v>
      </c>
      <c r="N17" s="3">
        <f>'13'!$N16</f>
        <v>0</v>
      </c>
      <c r="O17" s="3">
        <f>'14'!$N16</f>
        <v>0</v>
      </c>
      <c r="P17" s="3">
        <f>'15'!$N16</f>
        <v>0</v>
      </c>
      <c r="Q17" s="3">
        <f>'16'!$N16</f>
        <v>0</v>
      </c>
      <c r="R17" s="3">
        <f>'17'!$N16</f>
        <v>0</v>
      </c>
      <c r="S17" s="3">
        <f>'18'!$N16</f>
        <v>0</v>
      </c>
      <c r="T17" s="3">
        <f>'19'!$N16</f>
        <v>0</v>
      </c>
      <c r="U17" s="3">
        <f>'20'!$N16</f>
        <v>0</v>
      </c>
      <c r="V17" s="3">
        <f>'21'!$N16</f>
        <v>0</v>
      </c>
      <c r="W17" s="3">
        <f>'22'!$N16</f>
        <v>0</v>
      </c>
      <c r="X17" s="3">
        <f>'23'!$N16</f>
        <v>0</v>
      </c>
      <c r="Y17" s="3">
        <f>'24'!$N16</f>
        <v>0</v>
      </c>
      <c r="Z17" s="3">
        <f>'25'!$N16</f>
        <v>0</v>
      </c>
      <c r="AA17" s="3">
        <f>'26'!$N16</f>
        <v>0</v>
      </c>
      <c r="AB17" s="3">
        <f>'27'!$N16</f>
        <v>0</v>
      </c>
      <c r="AC17" s="3">
        <f>'28'!$N16</f>
        <v>0</v>
      </c>
      <c r="AD17" s="18"/>
      <c r="AE17" s="18"/>
      <c r="AF17" s="22" t="s">
        <v>42</v>
      </c>
      <c r="AG17" s="24">
        <v>343</v>
      </c>
      <c r="AH17" s="24">
        <v>353</v>
      </c>
      <c r="AI17" s="24">
        <v>339</v>
      </c>
      <c r="AJ17" s="18"/>
      <c r="AK17" s="18"/>
      <c r="AL17" s="18"/>
    </row>
    <row r="18" spans="1:38" ht="18.75" x14ac:dyDescent="0.3">
      <c r="A18" s="2" t="s">
        <v>524</v>
      </c>
      <c r="B18" s="3">
        <f>'1'!$N17</f>
        <v>0</v>
      </c>
      <c r="C18" s="3">
        <f>'2'!$N17</f>
        <v>0</v>
      </c>
      <c r="D18" s="3">
        <f>'3'!$N17</f>
        <v>0</v>
      </c>
      <c r="E18" s="3">
        <f>'4'!$N17</f>
        <v>0</v>
      </c>
      <c r="F18" s="3">
        <f>'5'!$N17</f>
        <v>0</v>
      </c>
      <c r="G18" s="3">
        <f>'6'!$N17</f>
        <v>0</v>
      </c>
      <c r="H18" s="3">
        <f>'7'!$N17</f>
        <v>0</v>
      </c>
      <c r="I18" s="3">
        <f>'8'!$N17</f>
        <v>0</v>
      </c>
      <c r="J18" s="3">
        <f>'9'!$N17</f>
        <v>0</v>
      </c>
      <c r="K18" s="3">
        <f>'10'!$N17</f>
        <v>0</v>
      </c>
      <c r="L18" s="3">
        <f>'11'!$N17</f>
        <v>0</v>
      </c>
      <c r="M18" s="3">
        <f>'12'!$N17</f>
        <v>0</v>
      </c>
      <c r="N18" s="3">
        <f>'13'!$N17</f>
        <v>0</v>
      </c>
      <c r="O18" s="3">
        <f>'14'!$N17</f>
        <v>0</v>
      </c>
      <c r="P18" s="3">
        <f>'15'!$N17</f>
        <v>0</v>
      </c>
      <c r="Q18" s="3">
        <f>'16'!$N17</f>
        <v>0</v>
      </c>
      <c r="R18" s="3">
        <f>'17'!$N17</f>
        <v>0</v>
      </c>
      <c r="S18" s="3">
        <f>'18'!$N17</f>
        <v>0</v>
      </c>
      <c r="T18" s="3">
        <f>'19'!$N17</f>
        <v>0</v>
      </c>
      <c r="U18" s="3">
        <f>'20'!$N17</f>
        <v>0</v>
      </c>
      <c r="V18" s="3">
        <f>'21'!$N17</f>
        <v>0</v>
      </c>
      <c r="W18" s="3">
        <f>'22'!$N17</f>
        <v>0</v>
      </c>
      <c r="X18" s="3">
        <f>'23'!$N17</f>
        <v>0</v>
      </c>
      <c r="Y18" s="3">
        <f>'24'!$N17</f>
        <v>0</v>
      </c>
      <c r="Z18" s="3">
        <f>'25'!$N17</f>
        <v>0</v>
      </c>
      <c r="AA18" s="3">
        <f>'26'!$N17</f>
        <v>0</v>
      </c>
      <c r="AB18" s="3">
        <f>'27'!$N17</f>
        <v>0</v>
      </c>
      <c r="AC18" s="3">
        <f>'28'!$N17</f>
        <v>0</v>
      </c>
      <c r="AD18" s="18"/>
      <c r="AE18" s="18"/>
      <c r="AF18" s="22" t="s">
        <v>43</v>
      </c>
      <c r="AG18" s="24">
        <v>359</v>
      </c>
      <c r="AH18" s="24">
        <v>369</v>
      </c>
      <c r="AI18" s="24">
        <v>355</v>
      </c>
      <c r="AJ18" s="18"/>
      <c r="AK18" s="18"/>
      <c r="AL18" s="18"/>
    </row>
    <row r="19" spans="1:38" ht="18.75" x14ac:dyDescent="0.3">
      <c r="A19" s="2" t="s">
        <v>525</v>
      </c>
      <c r="B19" s="3">
        <f>'1'!$N18</f>
        <v>0</v>
      </c>
      <c r="C19" s="3">
        <f>'2'!$N18</f>
        <v>0</v>
      </c>
      <c r="D19" s="3">
        <f>'3'!$N18</f>
        <v>0</v>
      </c>
      <c r="E19" s="3">
        <f>'4'!$N18</f>
        <v>0</v>
      </c>
      <c r="F19" s="3">
        <f>'5'!$N18</f>
        <v>0</v>
      </c>
      <c r="G19" s="3">
        <f>'6'!$N18</f>
        <v>0</v>
      </c>
      <c r="H19" s="3">
        <f>'7'!$N18</f>
        <v>0</v>
      </c>
      <c r="I19" s="3">
        <f>'8'!$N18</f>
        <v>0</v>
      </c>
      <c r="J19" s="3">
        <f>'9'!$N18</f>
        <v>0</v>
      </c>
      <c r="K19" s="3">
        <f>'10'!$N18</f>
        <v>0</v>
      </c>
      <c r="L19" s="3">
        <f>'11'!$N18</f>
        <v>0</v>
      </c>
      <c r="M19" s="3">
        <f>'12'!$N18</f>
        <v>0</v>
      </c>
      <c r="N19" s="3">
        <f>'13'!$N18</f>
        <v>0</v>
      </c>
      <c r="O19" s="3">
        <f>'14'!$N18</f>
        <v>0</v>
      </c>
      <c r="P19" s="3">
        <f>'15'!$N18</f>
        <v>0</v>
      </c>
      <c r="Q19" s="3">
        <f>'16'!$N18</f>
        <v>0</v>
      </c>
      <c r="R19" s="3">
        <f>'17'!$N18</f>
        <v>0</v>
      </c>
      <c r="S19" s="3">
        <f>'18'!$N18</f>
        <v>0</v>
      </c>
      <c r="T19" s="3">
        <f>'19'!$N18</f>
        <v>0</v>
      </c>
      <c r="U19" s="3">
        <f>'20'!$N18</f>
        <v>0</v>
      </c>
      <c r="V19" s="3">
        <f>'21'!$N18</f>
        <v>0</v>
      </c>
      <c r="W19" s="3">
        <f>'22'!$N18</f>
        <v>0</v>
      </c>
      <c r="X19" s="3">
        <f>'23'!$N18</f>
        <v>0</v>
      </c>
      <c r="Y19" s="3">
        <f>'24'!$N18</f>
        <v>0</v>
      </c>
      <c r="Z19" s="3">
        <f>'25'!$N18</f>
        <v>0</v>
      </c>
      <c r="AA19" s="3">
        <f>'26'!$N18</f>
        <v>0</v>
      </c>
      <c r="AB19" s="3">
        <f>'27'!$N18</f>
        <v>0</v>
      </c>
      <c r="AC19" s="3">
        <f>'28'!$N18</f>
        <v>0</v>
      </c>
      <c r="AD19" s="18"/>
      <c r="AE19" s="18"/>
      <c r="AF19" s="22" t="s">
        <v>44</v>
      </c>
      <c r="AG19" s="24">
        <v>367</v>
      </c>
      <c r="AH19" s="24">
        <v>377</v>
      </c>
      <c r="AI19" s="24">
        <v>363</v>
      </c>
      <c r="AJ19" s="18"/>
      <c r="AK19" s="18"/>
      <c r="AL19" s="18"/>
    </row>
    <row r="20" spans="1:38" ht="18.75" x14ac:dyDescent="0.3">
      <c r="A20" s="2" t="s">
        <v>526</v>
      </c>
      <c r="B20" s="3">
        <f>'1'!$N19</f>
        <v>0</v>
      </c>
      <c r="C20" s="3">
        <f>'2'!$N19</f>
        <v>0</v>
      </c>
      <c r="D20" s="3">
        <f>'3'!$N19</f>
        <v>0</v>
      </c>
      <c r="E20" s="3">
        <f>'4'!$N19</f>
        <v>0</v>
      </c>
      <c r="F20" s="3">
        <f>'5'!$N19</f>
        <v>0</v>
      </c>
      <c r="G20" s="3">
        <f>'6'!$N19</f>
        <v>0</v>
      </c>
      <c r="H20" s="3">
        <f>'7'!$N19</f>
        <v>0</v>
      </c>
      <c r="I20" s="3">
        <f>'8'!$N19</f>
        <v>0</v>
      </c>
      <c r="J20" s="3">
        <f>'9'!$N19</f>
        <v>0</v>
      </c>
      <c r="K20" s="3">
        <f>'10'!$N19</f>
        <v>0</v>
      </c>
      <c r="L20" s="3">
        <f>'11'!$N19</f>
        <v>0</v>
      </c>
      <c r="M20" s="3">
        <f>'12'!$N19</f>
        <v>0</v>
      </c>
      <c r="N20" s="3">
        <f>'13'!$N19</f>
        <v>0</v>
      </c>
      <c r="O20" s="3">
        <f>'14'!$N19</f>
        <v>0</v>
      </c>
      <c r="P20" s="3">
        <f>'15'!$N19</f>
        <v>0</v>
      </c>
      <c r="Q20" s="3">
        <f>'16'!$N19</f>
        <v>0</v>
      </c>
      <c r="R20" s="3">
        <f>'17'!$N19</f>
        <v>0</v>
      </c>
      <c r="S20" s="3">
        <f>'18'!$N19</f>
        <v>0</v>
      </c>
      <c r="T20" s="3">
        <f>'19'!$N19</f>
        <v>0</v>
      </c>
      <c r="U20" s="3">
        <f>'20'!$N19</f>
        <v>0</v>
      </c>
      <c r="V20" s="3">
        <f>'21'!$N19</f>
        <v>0</v>
      </c>
      <c r="W20" s="3">
        <f>'22'!$N19</f>
        <v>0</v>
      </c>
      <c r="X20" s="3">
        <f>'23'!$N19</f>
        <v>0</v>
      </c>
      <c r="Y20" s="3">
        <f>'24'!$N19</f>
        <v>0</v>
      </c>
      <c r="Z20" s="3">
        <f>'25'!$N19</f>
        <v>0</v>
      </c>
      <c r="AA20" s="3">
        <f>'26'!$N19</f>
        <v>0</v>
      </c>
      <c r="AB20" s="3">
        <f>'27'!$N19</f>
        <v>0</v>
      </c>
      <c r="AC20" s="3">
        <f>'28'!$N19</f>
        <v>0</v>
      </c>
      <c r="AD20" s="18"/>
      <c r="AE20" s="18"/>
      <c r="AF20" s="22" t="s">
        <v>45</v>
      </c>
      <c r="AG20" s="24">
        <v>390</v>
      </c>
      <c r="AH20" s="24">
        <v>400</v>
      </c>
      <c r="AI20" s="24">
        <v>386</v>
      </c>
      <c r="AJ20" s="18"/>
      <c r="AK20" s="18"/>
      <c r="AL20" s="18"/>
    </row>
    <row r="21" spans="1:38" ht="18.75" x14ac:dyDescent="0.3">
      <c r="A21" s="2" t="s">
        <v>527</v>
      </c>
      <c r="B21" s="3">
        <f>'1'!$N20</f>
        <v>0</v>
      </c>
      <c r="C21" s="3">
        <f>'2'!$N20</f>
        <v>0</v>
      </c>
      <c r="D21" s="3">
        <f>'3'!$N20</f>
        <v>0</v>
      </c>
      <c r="E21" s="3">
        <f>'4'!$N20</f>
        <v>0</v>
      </c>
      <c r="F21" s="3">
        <f>'5'!$N20</f>
        <v>0</v>
      </c>
      <c r="G21" s="3">
        <f>'6'!$N20</f>
        <v>0</v>
      </c>
      <c r="H21" s="3">
        <f>'7'!$N20</f>
        <v>0</v>
      </c>
      <c r="I21" s="3">
        <f>'8'!$N20</f>
        <v>0</v>
      </c>
      <c r="J21" s="3">
        <f>'9'!$N20</f>
        <v>0</v>
      </c>
      <c r="K21" s="3">
        <f>'10'!$N20</f>
        <v>0</v>
      </c>
      <c r="L21" s="3">
        <f>'11'!$N20</f>
        <v>0</v>
      </c>
      <c r="M21" s="3">
        <f>'12'!$N20</f>
        <v>0</v>
      </c>
      <c r="N21" s="3">
        <f>'13'!$N20</f>
        <v>0</v>
      </c>
      <c r="O21" s="3">
        <f>'14'!$N20</f>
        <v>0</v>
      </c>
      <c r="P21" s="3">
        <f>'15'!$N20</f>
        <v>0</v>
      </c>
      <c r="Q21" s="3">
        <f>'16'!$N20</f>
        <v>0</v>
      </c>
      <c r="R21" s="3">
        <f>'17'!$N20</f>
        <v>0</v>
      </c>
      <c r="S21" s="3">
        <f>'18'!$N20</f>
        <v>0</v>
      </c>
      <c r="T21" s="3">
        <f>'19'!$N20</f>
        <v>0</v>
      </c>
      <c r="U21" s="3">
        <f>'20'!$N20</f>
        <v>0</v>
      </c>
      <c r="V21" s="3">
        <f>'21'!$N20</f>
        <v>0</v>
      </c>
      <c r="W21" s="3">
        <f>'22'!$N20</f>
        <v>0</v>
      </c>
      <c r="X21" s="3">
        <f>'23'!$N20</f>
        <v>0</v>
      </c>
      <c r="Y21" s="3">
        <f>'24'!$N20</f>
        <v>0</v>
      </c>
      <c r="Z21" s="3">
        <f>'25'!$N20</f>
        <v>0</v>
      </c>
      <c r="AA21" s="3">
        <f>'26'!$N20</f>
        <v>0</v>
      </c>
      <c r="AB21" s="3">
        <f>'27'!$N20</f>
        <v>0</v>
      </c>
      <c r="AC21" s="3">
        <f>'28'!$N20</f>
        <v>0</v>
      </c>
      <c r="AD21" s="18"/>
      <c r="AE21" s="18"/>
      <c r="AF21" s="22" t="s">
        <v>59</v>
      </c>
      <c r="AG21" s="24">
        <v>396</v>
      </c>
      <c r="AH21" s="24">
        <v>406</v>
      </c>
      <c r="AI21" s="24">
        <v>392</v>
      </c>
      <c r="AJ21" s="18"/>
      <c r="AK21" s="18"/>
      <c r="AL21" s="18"/>
    </row>
    <row r="22" spans="1:38" ht="18.75" x14ac:dyDescent="0.3">
      <c r="A22" s="2" t="s">
        <v>1</v>
      </c>
      <c r="B22" s="3">
        <f>'1'!$N21</f>
        <v>0</v>
      </c>
      <c r="C22" s="3">
        <f>'2'!$N21</f>
        <v>0</v>
      </c>
      <c r="D22" s="3">
        <f>'3'!$N21</f>
        <v>0</v>
      </c>
      <c r="E22" s="3">
        <f>'4'!$N21</f>
        <v>0</v>
      </c>
      <c r="F22" s="3">
        <f>'5'!$N21</f>
        <v>0</v>
      </c>
      <c r="G22" s="3">
        <f>'6'!$N21</f>
        <v>0</v>
      </c>
      <c r="H22" s="3">
        <f>'7'!$N21</f>
        <v>0</v>
      </c>
      <c r="I22" s="3">
        <f>'8'!$N21</f>
        <v>0</v>
      </c>
      <c r="J22" s="3">
        <f>'9'!$N21</f>
        <v>0</v>
      </c>
      <c r="K22" s="3">
        <f>'10'!$N21</f>
        <v>0</v>
      </c>
      <c r="L22" s="3">
        <f>'11'!$N21</f>
        <v>0</v>
      </c>
      <c r="M22" s="3">
        <f>'12'!$N21</f>
        <v>0</v>
      </c>
      <c r="N22" s="3">
        <f>'13'!$N21</f>
        <v>0</v>
      </c>
      <c r="O22" s="3">
        <f>'14'!$N21</f>
        <v>0</v>
      </c>
      <c r="P22" s="3">
        <f>'15'!$N21</f>
        <v>0</v>
      </c>
      <c r="Q22" s="3">
        <f>'16'!$N21</f>
        <v>0</v>
      </c>
      <c r="R22" s="3">
        <f>'17'!$N21</f>
        <v>0</v>
      </c>
      <c r="S22" s="3">
        <f>'18'!$N21</f>
        <v>0</v>
      </c>
      <c r="T22" s="3">
        <f>'19'!$N21</f>
        <v>0</v>
      </c>
      <c r="U22" s="3">
        <f>'20'!$N21</f>
        <v>0</v>
      </c>
      <c r="V22" s="3">
        <f>'21'!$N21</f>
        <v>0</v>
      </c>
      <c r="W22" s="3">
        <f>'22'!$N21</f>
        <v>0</v>
      </c>
      <c r="X22" s="3">
        <f>'23'!$N21</f>
        <v>0</v>
      </c>
      <c r="Y22" s="3">
        <f>'24'!$N21</f>
        <v>0</v>
      </c>
      <c r="Z22" s="3">
        <f>'25'!$N21</f>
        <v>0</v>
      </c>
      <c r="AA22" s="3">
        <f>'26'!$N21</f>
        <v>0</v>
      </c>
      <c r="AB22" s="3">
        <f>'27'!$N21</f>
        <v>0</v>
      </c>
      <c r="AC22" s="3">
        <f>'28'!$N21</f>
        <v>0</v>
      </c>
      <c r="AD22" s="18"/>
      <c r="AE22" s="18"/>
      <c r="AF22" s="22" t="s">
        <v>60</v>
      </c>
      <c r="AG22" s="23">
        <v>402</v>
      </c>
      <c r="AH22" s="23">
        <v>412</v>
      </c>
      <c r="AI22" s="23">
        <v>398</v>
      </c>
      <c r="AJ22" s="18"/>
      <c r="AK22" s="18"/>
      <c r="AL22" s="18"/>
    </row>
    <row r="23" spans="1:38" ht="18.75" x14ac:dyDescent="0.3">
      <c r="A23" s="2" t="s">
        <v>70</v>
      </c>
      <c r="B23" s="3">
        <f>'1'!$N22</f>
        <v>0</v>
      </c>
      <c r="C23" s="3">
        <f>'2'!$N22</f>
        <v>0</v>
      </c>
      <c r="D23" s="3">
        <f>'3'!$N22</f>
        <v>0</v>
      </c>
      <c r="E23" s="3">
        <f>'4'!$N22</f>
        <v>0</v>
      </c>
      <c r="F23" s="3">
        <f>'5'!$N22</f>
        <v>0</v>
      </c>
      <c r="G23" s="3">
        <f>'6'!$N22</f>
        <v>0</v>
      </c>
      <c r="H23" s="3">
        <f>'7'!$N22</f>
        <v>0</v>
      </c>
      <c r="I23" s="3">
        <f>'8'!$N22</f>
        <v>0</v>
      </c>
      <c r="J23" s="3">
        <f>'9'!$N22</f>
        <v>0</v>
      </c>
      <c r="K23" s="3">
        <f>'10'!$N22</f>
        <v>0</v>
      </c>
      <c r="L23" s="3">
        <f>'11'!$N22</f>
        <v>0</v>
      </c>
      <c r="M23" s="3">
        <f>'12'!$N22</f>
        <v>0</v>
      </c>
      <c r="N23" s="3">
        <f>'13'!$N22</f>
        <v>0</v>
      </c>
      <c r="O23" s="3">
        <f>'14'!$N22</f>
        <v>0</v>
      </c>
      <c r="P23" s="3">
        <f>'15'!$N22</f>
        <v>0</v>
      </c>
      <c r="Q23" s="3">
        <f>'16'!$N22</f>
        <v>0</v>
      </c>
      <c r="R23" s="3">
        <f>'17'!$N22</f>
        <v>0</v>
      </c>
      <c r="S23" s="3">
        <f>'18'!$N22</f>
        <v>0</v>
      </c>
      <c r="T23" s="3">
        <f>'19'!$N22</f>
        <v>0</v>
      </c>
      <c r="U23" s="3">
        <f>'20'!$N22</f>
        <v>0</v>
      </c>
      <c r="V23" s="3">
        <f>'21'!$N22</f>
        <v>0</v>
      </c>
      <c r="W23" s="3">
        <f>'22'!$N22</f>
        <v>0</v>
      </c>
      <c r="X23" s="3">
        <f>'23'!$N22</f>
        <v>0</v>
      </c>
      <c r="Y23" s="3">
        <f>'24'!$N22</f>
        <v>0</v>
      </c>
      <c r="Z23" s="3">
        <f>'25'!$N22</f>
        <v>0</v>
      </c>
      <c r="AA23" s="3">
        <f>'26'!$N22</f>
        <v>0</v>
      </c>
      <c r="AB23" s="3">
        <f>'27'!$N22</f>
        <v>0</v>
      </c>
      <c r="AC23" s="3">
        <f>'28'!$N22</f>
        <v>0</v>
      </c>
      <c r="AF23" s="22" t="s">
        <v>61</v>
      </c>
      <c r="AG23" s="23">
        <v>409</v>
      </c>
      <c r="AH23" s="23">
        <v>420</v>
      </c>
      <c r="AI23" s="23">
        <v>406</v>
      </c>
    </row>
    <row r="24" spans="1:38" ht="18.75" x14ac:dyDescent="0.3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F24" s="22" t="s">
        <v>62</v>
      </c>
      <c r="AG24" s="23">
        <v>414</v>
      </c>
      <c r="AH24" s="23">
        <v>425</v>
      </c>
      <c r="AI24" s="23">
        <v>411</v>
      </c>
    </row>
    <row r="25" spans="1:38" ht="18.75" x14ac:dyDescent="0.3">
      <c r="A25" t="s">
        <v>26</v>
      </c>
      <c r="B25" s="3">
        <f>'1'!$N24</f>
        <v>0</v>
      </c>
      <c r="C25" s="3">
        <f>'2'!$N25</f>
        <v>0</v>
      </c>
      <c r="D25" s="3">
        <f>'3'!$N24</f>
        <v>0</v>
      </c>
      <c r="E25" s="3">
        <f>'4'!$N24</f>
        <v>0</v>
      </c>
      <c r="F25" s="3">
        <f>'5'!$N24</f>
        <v>0</v>
      </c>
      <c r="G25" s="3">
        <f>'6'!$N24</f>
        <v>0</v>
      </c>
      <c r="H25" s="3">
        <f>'7'!$N24</f>
        <v>0</v>
      </c>
      <c r="I25" s="3">
        <f>'8'!$N24</f>
        <v>0</v>
      </c>
      <c r="J25" s="3">
        <f>'9'!$N24</f>
        <v>0</v>
      </c>
      <c r="K25" s="3">
        <f>'10'!$N24</f>
        <v>0</v>
      </c>
      <c r="L25" s="3">
        <f>'11'!$N24</f>
        <v>0</v>
      </c>
      <c r="M25" s="3">
        <f>'12'!$N24</f>
        <v>0</v>
      </c>
      <c r="N25" s="3">
        <f>'13'!$N24</f>
        <v>0</v>
      </c>
      <c r="O25" s="3">
        <f>'14'!$N24</f>
        <v>0</v>
      </c>
      <c r="P25" s="3">
        <f>'15'!$N24</f>
        <v>0</v>
      </c>
      <c r="Q25" s="3">
        <f>'16'!$N24</f>
        <v>0</v>
      </c>
      <c r="R25" s="3">
        <f>'17'!$N24</f>
        <v>0</v>
      </c>
      <c r="S25" s="3">
        <f>'18'!$N24</f>
        <v>0</v>
      </c>
      <c r="T25" s="3">
        <f>'19'!$N24</f>
        <v>0</v>
      </c>
      <c r="U25" s="3">
        <f>'20'!$N24</f>
        <v>0</v>
      </c>
      <c r="V25" s="3">
        <f>'21'!$N24</f>
        <v>0</v>
      </c>
      <c r="W25" s="3">
        <f>'22'!$N24</f>
        <v>0</v>
      </c>
      <c r="X25" s="3">
        <f>'23'!$N24</f>
        <v>0</v>
      </c>
      <c r="Y25" s="3">
        <f>'24'!$N24</f>
        <v>0</v>
      </c>
      <c r="Z25" s="3">
        <f>'25'!$N24</f>
        <v>0</v>
      </c>
      <c r="AA25" s="3">
        <f>'26'!$N24</f>
        <v>0</v>
      </c>
      <c r="AB25" s="3">
        <f>'27'!$N24</f>
        <v>0</v>
      </c>
      <c r="AC25" s="3">
        <f>'28'!$N24</f>
        <v>0</v>
      </c>
      <c r="AF25" s="22" t="s">
        <v>46</v>
      </c>
      <c r="AG25" s="23">
        <v>451</v>
      </c>
      <c r="AH25" s="23">
        <v>462</v>
      </c>
      <c r="AI25" s="23">
        <v>448</v>
      </c>
    </row>
    <row r="26" spans="1:38" ht="18.75" x14ac:dyDescent="0.3">
      <c r="A26" t="s">
        <v>52</v>
      </c>
      <c r="B26" s="3">
        <f>'1'!$N25</f>
        <v>0</v>
      </c>
      <c r="C26" s="3">
        <f>'2'!$N26</f>
        <v>0</v>
      </c>
      <c r="D26" s="3">
        <f>'3'!$N25</f>
        <v>0</v>
      </c>
      <c r="E26" s="3">
        <f>'4'!$N25</f>
        <v>0</v>
      </c>
      <c r="F26" s="3">
        <f>'5'!$N25</f>
        <v>0</v>
      </c>
      <c r="G26" s="3">
        <f>'6'!$N25</f>
        <v>0</v>
      </c>
      <c r="H26" s="3">
        <f>'7'!$N25</f>
        <v>0</v>
      </c>
      <c r="I26" s="3">
        <f>'8'!$N25</f>
        <v>0</v>
      </c>
      <c r="J26" s="3">
        <f>'9'!$N25</f>
        <v>0</v>
      </c>
      <c r="K26" s="3">
        <f>'10'!$N25</f>
        <v>0</v>
      </c>
      <c r="L26" s="3">
        <f>'11'!$N25</f>
        <v>0</v>
      </c>
      <c r="M26" s="3">
        <f>'12'!$N25</f>
        <v>0</v>
      </c>
      <c r="N26" s="3">
        <f>'13'!$N25</f>
        <v>0</v>
      </c>
      <c r="O26" s="3">
        <f>'14'!$N25</f>
        <v>0</v>
      </c>
      <c r="P26" s="3">
        <f>'15'!$N25</f>
        <v>0</v>
      </c>
      <c r="Q26" s="3">
        <f>'16'!$N25</f>
        <v>0</v>
      </c>
      <c r="R26" s="3">
        <f>'17'!$N25</f>
        <v>0</v>
      </c>
      <c r="S26" s="3">
        <f>'18'!$N25</f>
        <v>0</v>
      </c>
      <c r="T26" s="3">
        <f>'19'!$N25</f>
        <v>0</v>
      </c>
      <c r="U26" s="3">
        <f>'20'!$N25</f>
        <v>0</v>
      </c>
      <c r="V26" s="3">
        <f>'21'!$N25</f>
        <v>0</v>
      </c>
      <c r="W26" s="3">
        <f>'22'!$N25</f>
        <v>0</v>
      </c>
      <c r="X26" s="3">
        <f>'23'!$N25</f>
        <v>0</v>
      </c>
      <c r="Y26" s="3">
        <f>'24'!$N25</f>
        <v>0</v>
      </c>
      <c r="Z26" s="3">
        <f>'25'!$N25</f>
        <v>0</v>
      </c>
      <c r="AA26" s="3">
        <f>'26'!$N25</f>
        <v>0</v>
      </c>
      <c r="AB26" s="3">
        <f>'27'!$N25</f>
        <v>0</v>
      </c>
      <c r="AC26" s="3">
        <f>'28'!$N25</f>
        <v>0</v>
      </c>
      <c r="AF26" s="22" t="s">
        <v>47</v>
      </c>
      <c r="AG26" s="23">
        <v>465</v>
      </c>
      <c r="AH26" s="23">
        <v>476</v>
      </c>
      <c r="AI26" s="23">
        <v>462</v>
      </c>
    </row>
    <row r="27" spans="1:38" ht="18.75" x14ac:dyDescent="0.3">
      <c r="A27" t="s">
        <v>21</v>
      </c>
      <c r="B27" s="3">
        <f>'1'!$N26</f>
        <v>0</v>
      </c>
      <c r="C27" s="3">
        <f>'2'!$N27</f>
        <v>0</v>
      </c>
      <c r="D27" s="3">
        <f>'3'!$N26</f>
        <v>0</v>
      </c>
      <c r="E27" s="3">
        <f>'4'!$N26</f>
        <v>0</v>
      </c>
      <c r="F27" s="3">
        <f>'5'!$N26</f>
        <v>0</v>
      </c>
      <c r="G27" s="3">
        <f>'6'!$N26</f>
        <v>0</v>
      </c>
      <c r="H27" s="3">
        <f>'7'!$N26</f>
        <v>0</v>
      </c>
      <c r="I27" s="3">
        <f>'8'!$N26</f>
        <v>0</v>
      </c>
      <c r="J27" s="3">
        <f>'9'!$N26</f>
        <v>0</v>
      </c>
      <c r="K27" s="3">
        <f>'10'!$N26</f>
        <v>0</v>
      </c>
      <c r="L27" s="3">
        <f>'11'!$N26</f>
        <v>0</v>
      </c>
      <c r="M27" s="3">
        <f>'12'!$N26</f>
        <v>0</v>
      </c>
      <c r="N27" s="3">
        <f>'13'!$N26</f>
        <v>0</v>
      </c>
      <c r="O27" s="3">
        <f>'14'!$N26</f>
        <v>0</v>
      </c>
      <c r="P27" s="3">
        <f>'15'!$N26</f>
        <v>0</v>
      </c>
      <c r="Q27" s="3">
        <f>'16'!$N26</f>
        <v>0</v>
      </c>
      <c r="R27" s="3">
        <f>'17'!$N26</f>
        <v>0</v>
      </c>
      <c r="S27" s="3">
        <f>'18'!$N26</f>
        <v>0</v>
      </c>
      <c r="T27" s="3">
        <f>'19'!$N26</f>
        <v>0</v>
      </c>
      <c r="U27" s="3">
        <f>'20'!$N26</f>
        <v>0</v>
      </c>
      <c r="V27" s="3">
        <f>'21'!$N26</f>
        <v>0</v>
      </c>
      <c r="W27" s="3">
        <f>'22'!$N26</f>
        <v>0</v>
      </c>
      <c r="X27" s="3">
        <f>'23'!$N26</f>
        <v>0</v>
      </c>
      <c r="Y27" s="3">
        <f>'24'!$N26</f>
        <v>0</v>
      </c>
      <c r="Z27" s="3">
        <f>'25'!$N26</f>
        <v>0</v>
      </c>
      <c r="AA27" s="3">
        <f>'26'!$N26</f>
        <v>0</v>
      </c>
      <c r="AB27" s="3">
        <f>'27'!$N26</f>
        <v>0</v>
      </c>
      <c r="AC27" s="3">
        <f>'28'!$N26</f>
        <v>0</v>
      </c>
      <c r="AF27" s="22" t="s">
        <v>48</v>
      </c>
      <c r="AG27" s="23">
        <v>616</v>
      </c>
      <c r="AH27" s="23">
        <v>627</v>
      </c>
      <c r="AI27" s="23">
        <v>611</v>
      </c>
    </row>
    <row r="28" spans="1:38" ht="18.75" x14ac:dyDescent="0.3">
      <c r="A28" t="s">
        <v>70</v>
      </c>
      <c r="B28" s="3">
        <f>'1'!$N22</f>
        <v>0</v>
      </c>
      <c r="C28" s="3">
        <f>'2'!$N22</f>
        <v>0</v>
      </c>
      <c r="D28" s="3">
        <f>'3'!$N22</f>
        <v>0</v>
      </c>
      <c r="E28" s="3">
        <f>'4'!$N22</f>
        <v>0</v>
      </c>
      <c r="F28" s="3">
        <f>'5'!$N22</f>
        <v>0</v>
      </c>
      <c r="G28" s="3">
        <f>'6'!$N22</f>
        <v>0</v>
      </c>
      <c r="H28" s="3">
        <f>'7'!$N22</f>
        <v>0</v>
      </c>
      <c r="I28" s="3">
        <f>'8'!$N22</f>
        <v>0</v>
      </c>
      <c r="J28" s="3">
        <f>'9'!$N22</f>
        <v>0</v>
      </c>
      <c r="K28" s="3">
        <f>'10'!$N22</f>
        <v>0</v>
      </c>
      <c r="L28" s="3">
        <f>'11'!$N22</f>
        <v>0</v>
      </c>
      <c r="M28" s="3">
        <f>'12'!$N22</f>
        <v>0</v>
      </c>
      <c r="N28" s="3">
        <f>'13'!$N22</f>
        <v>0</v>
      </c>
      <c r="O28" s="3">
        <f>'14'!$N22</f>
        <v>0</v>
      </c>
      <c r="P28" s="3">
        <f>'15'!$N22</f>
        <v>0</v>
      </c>
      <c r="Q28" s="3">
        <f>'16'!$N22</f>
        <v>0</v>
      </c>
      <c r="R28" s="3">
        <f>'17'!$N22</f>
        <v>0</v>
      </c>
      <c r="S28" s="3">
        <f>'18'!$N22</f>
        <v>0</v>
      </c>
      <c r="T28" s="3">
        <f>'19'!$N22</f>
        <v>0</v>
      </c>
      <c r="U28" s="3">
        <f>'20'!$N22</f>
        <v>0</v>
      </c>
      <c r="V28" s="3">
        <f>'21'!$N22</f>
        <v>0</v>
      </c>
      <c r="W28" s="3">
        <f>'22'!$N22</f>
        <v>0</v>
      </c>
      <c r="X28" s="3">
        <f>'23'!$N22</f>
        <v>0</v>
      </c>
      <c r="Y28" s="3">
        <f>'24'!$N22</f>
        <v>0</v>
      </c>
      <c r="Z28" s="3">
        <f>'25'!$N22</f>
        <v>0</v>
      </c>
      <c r="AA28" s="3">
        <f>'26'!$N22</f>
        <v>0</v>
      </c>
      <c r="AB28" s="3">
        <f>'27'!$N22</f>
        <v>0</v>
      </c>
      <c r="AC28" s="3">
        <f>'28'!$N22</f>
        <v>0</v>
      </c>
      <c r="AF28" s="22"/>
    </row>
    <row r="29" spans="1:38" ht="18.75" x14ac:dyDescent="0.3">
      <c r="A29" t="s">
        <v>22</v>
      </c>
      <c r="B29" s="3">
        <f>'1'!$N27</f>
        <v>0</v>
      </c>
      <c r="C29" s="3">
        <f>'2'!$N28</f>
        <v>0</v>
      </c>
      <c r="D29" s="3">
        <f>'3'!$N27</f>
        <v>0</v>
      </c>
      <c r="E29" s="3">
        <f>'4'!$N27</f>
        <v>0</v>
      </c>
      <c r="F29" s="3">
        <f>'5'!$N27</f>
        <v>0</v>
      </c>
      <c r="G29" s="3">
        <f>'6'!$N27</f>
        <v>0</v>
      </c>
      <c r="H29" s="3">
        <f>'7'!$N27</f>
        <v>0</v>
      </c>
      <c r="I29" s="3">
        <f>'8'!$N27</f>
        <v>0</v>
      </c>
      <c r="J29" s="3">
        <f>'9'!$N27</f>
        <v>0</v>
      </c>
      <c r="K29" s="3">
        <f>'10'!$N27</f>
        <v>0</v>
      </c>
      <c r="L29" s="3">
        <f>'11'!$N27</f>
        <v>0</v>
      </c>
      <c r="M29" s="3">
        <f>'12'!$N27</f>
        <v>0</v>
      </c>
      <c r="N29" s="3">
        <f>'13'!$N27</f>
        <v>0</v>
      </c>
      <c r="O29" s="3">
        <f>'14'!$N27</f>
        <v>0</v>
      </c>
      <c r="P29" s="3">
        <f>'15'!$N27</f>
        <v>0</v>
      </c>
      <c r="Q29" s="3">
        <f>'16'!$N27</f>
        <v>0</v>
      </c>
      <c r="R29" s="3">
        <f>'17'!$N27</f>
        <v>0</v>
      </c>
      <c r="S29" s="3">
        <f>'18'!$N27</f>
        <v>0</v>
      </c>
      <c r="T29" s="3">
        <f>'19'!$N27</f>
        <v>0</v>
      </c>
      <c r="U29" s="3">
        <f>'20'!$N27</f>
        <v>0</v>
      </c>
      <c r="V29" s="3">
        <f>'21'!$N27</f>
        <v>0</v>
      </c>
      <c r="W29" s="3">
        <f>'22'!$N27</f>
        <v>0</v>
      </c>
      <c r="X29" s="3">
        <f>'23'!$N27</f>
        <v>0</v>
      </c>
      <c r="Y29" s="3">
        <f>'24'!$N27</f>
        <v>0</v>
      </c>
      <c r="Z29" s="3">
        <f>'25'!$N27</f>
        <v>0</v>
      </c>
      <c r="AA29" s="3">
        <f>'26'!$N27</f>
        <v>0</v>
      </c>
      <c r="AB29" s="3">
        <f>'27'!$N27</f>
        <v>0</v>
      </c>
      <c r="AC29" s="3">
        <f>'28'!$N27</f>
        <v>0</v>
      </c>
      <c r="AF29" s="22" t="s">
        <v>51</v>
      </c>
      <c r="AG29" s="23">
        <v>623</v>
      </c>
      <c r="AH29" s="23">
        <v>634</v>
      </c>
      <c r="AI29" s="23">
        <v>618</v>
      </c>
    </row>
    <row r="30" spans="1:38" ht="18.75" x14ac:dyDescent="0.3">
      <c r="A30" t="s">
        <v>53</v>
      </c>
      <c r="B30" s="3">
        <f>'1'!$N29</f>
        <v>0</v>
      </c>
      <c r="C30" s="3">
        <f>'2'!$N29</f>
        <v>0</v>
      </c>
      <c r="D30" s="3">
        <f>'3'!$N28</f>
        <v>0</v>
      </c>
      <c r="E30" s="3">
        <f>'4'!$N28</f>
        <v>0</v>
      </c>
      <c r="F30" s="3">
        <f>'5'!$N28</f>
        <v>0</v>
      </c>
      <c r="G30" s="3">
        <f>'6'!$N28</f>
        <v>0</v>
      </c>
      <c r="H30" s="3">
        <f>'7'!$N28</f>
        <v>0</v>
      </c>
      <c r="I30" s="3">
        <f>'8'!$N28</f>
        <v>0</v>
      </c>
      <c r="J30" s="3">
        <f>'9'!$N28</f>
        <v>0</v>
      </c>
      <c r="K30" s="3">
        <f>'10'!$N28</f>
        <v>0</v>
      </c>
      <c r="L30" s="3">
        <f>'11'!$N28</f>
        <v>0</v>
      </c>
      <c r="M30" s="3">
        <f>'12'!$N28</f>
        <v>0</v>
      </c>
      <c r="N30" s="3">
        <f>'13'!$N28</f>
        <v>0</v>
      </c>
      <c r="O30" s="3">
        <f>'14'!$N28</f>
        <v>0</v>
      </c>
      <c r="P30" s="3">
        <f>'15'!$N28</f>
        <v>0</v>
      </c>
      <c r="Q30" s="3">
        <f>'16'!$N28</f>
        <v>0</v>
      </c>
      <c r="R30" s="3">
        <f>'17'!$N28</f>
        <v>0</v>
      </c>
      <c r="S30" s="3">
        <f>'18'!$N28</f>
        <v>0</v>
      </c>
      <c r="T30" s="3">
        <f>'19'!$N28</f>
        <v>0</v>
      </c>
      <c r="U30" s="3">
        <f>'20'!$N28</f>
        <v>0</v>
      </c>
      <c r="V30" s="3">
        <f>'21'!$N28</f>
        <v>0</v>
      </c>
      <c r="W30" s="3">
        <f>'22'!$N28</f>
        <v>0</v>
      </c>
      <c r="X30" s="3">
        <f>'23'!$N28</f>
        <v>0</v>
      </c>
      <c r="Y30" s="3">
        <f>'24'!$N28</f>
        <v>0</v>
      </c>
      <c r="Z30" s="3">
        <f>'25'!$N28</f>
        <v>0</v>
      </c>
      <c r="AA30" s="3">
        <f>'26'!$N28</f>
        <v>0</v>
      </c>
      <c r="AB30" s="3">
        <f>'27'!$N28</f>
        <v>0</v>
      </c>
      <c r="AC30" s="3">
        <f>'28'!$N28</f>
        <v>0</v>
      </c>
      <c r="AF30" s="22" t="s">
        <v>63</v>
      </c>
      <c r="AG30" s="23">
        <v>630</v>
      </c>
      <c r="AH30" s="23">
        <v>641</v>
      </c>
      <c r="AI30" s="23">
        <v>625</v>
      </c>
    </row>
    <row r="31" spans="1:38" ht="18.75" x14ac:dyDescent="0.3">
      <c r="A31" s="2" t="s">
        <v>20</v>
      </c>
      <c r="B31" s="3">
        <f>'1'!$N30</f>
        <v>0</v>
      </c>
      <c r="C31" s="3">
        <f>'2'!$N30</f>
        <v>0</v>
      </c>
      <c r="D31" s="3">
        <f>'3'!$N29</f>
        <v>0</v>
      </c>
      <c r="E31" s="3">
        <f>'4'!$N29</f>
        <v>0</v>
      </c>
      <c r="F31" s="3">
        <f>'5'!$N29</f>
        <v>0</v>
      </c>
      <c r="G31" s="3">
        <f>'6'!$N29</f>
        <v>0</v>
      </c>
      <c r="H31" s="3">
        <f>'7'!$N29</f>
        <v>0</v>
      </c>
      <c r="I31" s="3">
        <f>'8'!$N29</f>
        <v>0</v>
      </c>
      <c r="J31" s="3">
        <f>'9'!$N29</f>
        <v>0</v>
      </c>
      <c r="K31" s="3">
        <f>'10'!$N29</f>
        <v>0</v>
      </c>
      <c r="L31" s="3">
        <f>'11'!$N29</f>
        <v>0</v>
      </c>
      <c r="M31" s="3">
        <f>'12'!$N29</f>
        <v>0</v>
      </c>
      <c r="N31" s="3">
        <f>'13'!$N29</f>
        <v>0</v>
      </c>
      <c r="O31" s="3">
        <f>'14'!$N29</f>
        <v>0</v>
      </c>
      <c r="P31" s="3">
        <f>'15'!$N29</f>
        <v>0</v>
      </c>
      <c r="Q31" s="3">
        <f>'16'!$N29</f>
        <v>0</v>
      </c>
      <c r="R31" s="3">
        <f>'17'!$N29</f>
        <v>0</v>
      </c>
      <c r="S31" s="3">
        <f>'18'!$N29</f>
        <v>0</v>
      </c>
      <c r="T31" s="3">
        <f>'19'!$N29</f>
        <v>0</v>
      </c>
      <c r="U31" s="3">
        <f>'20'!$N29</f>
        <v>0</v>
      </c>
      <c r="V31" s="3">
        <f>'21'!$N29</f>
        <v>0</v>
      </c>
      <c r="W31" s="3">
        <f>'22'!$N29</f>
        <v>0</v>
      </c>
      <c r="X31" s="3">
        <f>'23'!$N29</f>
        <v>0</v>
      </c>
      <c r="Y31" s="3">
        <f>'24'!$N29</f>
        <v>0</v>
      </c>
      <c r="Z31" s="3">
        <f>'25'!$N29</f>
        <v>0</v>
      </c>
      <c r="AA31" s="3">
        <f>'26'!$N29</f>
        <v>0</v>
      </c>
      <c r="AB31" s="3">
        <f>'27'!$N29</f>
        <v>0</v>
      </c>
      <c r="AC31" s="3">
        <f>'28'!$N29</f>
        <v>0</v>
      </c>
      <c r="AF31" s="22" t="s">
        <v>49</v>
      </c>
      <c r="AG31" s="23">
        <v>642</v>
      </c>
      <c r="AH31" s="23">
        <v>653</v>
      </c>
      <c r="AI31" s="23">
        <v>637</v>
      </c>
    </row>
    <row r="32" spans="1:38" x14ac:dyDescent="0.25">
      <c r="J32" s="19"/>
      <c r="N32" s="17"/>
      <c r="O32" s="17"/>
      <c r="P32" s="17"/>
      <c r="Q32" s="3"/>
      <c r="R32" s="17"/>
    </row>
    <row r="33" spans="10:35" x14ac:dyDescent="0.25">
      <c r="J33" s="19"/>
      <c r="N33" s="17"/>
      <c r="O33" s="17"/>
      <c r="P33" s="17"/>
      <c r="Q33" s="17"/>
      <c r="R33" s="17"/>
    </row>
    <row r="34" spans="10:35" x14ac:dyDescent="0.25">
      <c r="J34" s="19"/>
      <c r="N34" s="17"/>
      <c r="O34" s="17"/>
      <c r="P34" s="17"/>
      <c r="Q34" s="17"/>
      <c r="R34" s="17"/>
      <c r="AG34" s="2"/>
      <c r="AH34" s="2"/>
      <c r="AI34" s="2"/>
    </row>
    <row r="35" spans="10:35" x14ac:dyDescent="0.25">
      <c r="J35" s="19"/>
      <c r="N35" s="17"/>
      <c r="O35" s="17"/>
      <c r="P35" s="17"/>
      <c r="Q35" s="17"/>
      <c r="R35" s="17"/>
      <c r="AG35" s="2"/>
      <c r="AH35" s="2"/>
      <c r="AI35" s="2"/>
    </row>
    <row r="36" spans="10:35" x14ac:dyDescent="0.25">
      <c r="J36" s="19"/>
      <c r="AG36" s="2"/>
      <c r="AH36" s="2"/>
      <c r="AI36" s="2"/>
    </row>
    <row r="37" spans="10:35" x14ac:dyDescent="0.25">
      <c r="J37" s="19"/>
      <c r="AG37" s="2"/>
      <c r="AH37" s="2"/>
      <c r="AI37" s="2"/>
    </row>
    <row r="38" spans="10:35" x14ac:dyDescent="0.25">
      <c r="J38" s="19"/>
      <c r="AG38" s="2"/>
      <c r="AH38" s="2"/>
      <c r="AI38" s="2"/>
    </row>
    <row r="39" spans="10:35" x14ac:dyDescent="0.25">
      <c r="J39" s="19"/>
      <c r="AG39" s="2"/>
      <c r="AH39" s="2"/>
      <c r="AI39" s="2"/>
    </row>
    <row r="40" spans="10:35" x14ac:dyDescent="0.25">
      <c r="J40" s="19"/>
      <c r="AG40" s="2"/>
      <c r="AH40" s="2"/>
      <c r="AI40" s="2"/>
    </row>
    <row r="41" spans="10:35" x14ac:dyDescent="0.25">
      <c r="J41" s="19"/>
      <c r="AG41" s="2"/>
      <c r="AH41" s="2"/>
      <c r="AI41" s="2"/>
    </row>
    <row r="42" spans="10:35" x14ac:dyDescent="0.25">
      <c r="J42" s="19"/>
      <c r="AG42" s="2"/>
      <c r="AH42" s="2"/>
      <c r="AI42" s="2"/>
    </row>
    <row r="43" spans="10:35" x14ac:dyDescent="0.25">
      <c r="J43" s="19"/>
      <c r="AG43" s="2"/>
      <c r="AH43" s="2"/>
      <c r="AI43" s="2"/>
    </row>
    <row r="44" spans="10:35" x14ac:dyDescent="0.25">
      <c r="J44" s="19"/>
      <c r="AG44" s="2"/>
      <c r="AH44" s="2"/>
      <c r="AI44" s="2"/>
    </row>
    <row r="45" spans="10:35" x14ac:dyDescent="0.25">
      <c r="J45" s="19"/>
      <c r="AG45" s="2"/>
      <c r="AH45" s="2"/>
      <c r="AI45" s="2"/>
    </row>
    <row r="46" spans="10:35" x14ac:dyDescent="0.25">
      <c r="J46" s="19"/>
      <c r="AG46" s="2"/>
      <c r="AH46" s="2"/>
      <c r="AI46" s="2"/>
    </row>
    <row r="47" spans="10:35" x14ac:dyDescent="0.25">
      <c r="J47" s="19"/>
      <c r="AG47" s="2"/>
      <c r="AH47" s="2"/>
      <c r="AI47" s="2"/>
    </row>
    <row r="48" spans="10:35" x14ac:dyDescent="0.25">
      <c r="J48" s="19"/>
      <c r="AG48" s="2"/>
      <c r="AH48" s="2"/>
      <c r="AI48" s="2"/>
    </row>
    <row r="49" spans="10:35" x14ac:dyDescent="0.25">
      <c r="J49" s="19"/>
      <c r="AG49" s="2"/>
      <c r="AH49" s="2"/>
      <c r="AI49" s="2"/>
    </row>
    <row r="50" spans="10:35" x14ac:dyDescent="0.25">
      <c r="J50" s="19"/>
      <c r="AG50" s="2"/>
      <c r="AH50" s="2"/>
      <c r="AI50" s="2"/>
    </row>
    <row r="51" spans="10:35" x14ac:dyDescent="0.25">
      <c r="J51" s="19"/>
      <c r="AG51" s="2"/>
      <c r="AH51" s="2"/>
      <c r="AI51" s="2"/>
    </row>
    <row r="52" spans="10:35" x14ac:dyDescent="0.25">
      <c r="J52" s="19"/>
      <c r="AG52" s="2"/>
      <c r="AH52" s="2"/>
      <c r="AI52" s="2"/>
    </row>
    <row r="53" spans="10:35" x14ac:dyDescent="0.25">
      <c r="J53" s="19"/>
      <c r="AG53" s="2"/>
      <c r="AH53" s="2"/>
      <c r="AI53" s="2"/>
    </row>
    <row r="54" spans="10:35" x14ac:dyDescent="0.25">
      <c r="J54" s="19"/>
      <c r="AG54" s="2"/>
      <c r="AH54" s="2"/>
      <c r="AI54" s="2"/>
    </row>
    <row r="55" spans="10:35" x14ac:dyDescent="0.25">
      <c r="J55" s="19"/>
      <c r="AG55" s="2"/>
      <c r="AH55" s="2"/>
      <c r="AI55" s="2"/>
    </row>
    <row r="56" spans="10:35" x14ac:dyDescent="0.25">
      <c r="J56" s="19"/>
      <c r="AG56" s="2"/>
      <c r="AH56" s="2"/>
      <c r="AI56" s="2"/>
    </row>
    <row r="57" spans="10:35" x14ac:dyDescent="0.25">
      <c r="J57" s="19"/>
      <c r="AG57" s="2"/>
      <c r="AH57" s="2"/>
      <c r="AI57" s="2"/>
    </row>
    <row r="58" spans="10:35" x14ac:dyDescent="0.25">
      <c r="J58" s="19"/>
      <c r="AG58" s="2"/>
      <c r="AH58" s="2"/>
      <c r="AI58" s="2"/>
    </row>
    <row r="59" spans="10:35" x14ac:dyDescent="0.25">
      <c r="J59" s="19"/>
      <c r="AG59" s="2"/>
      <c r="AH59" s="2"/>
      <c r="AI59" s="2"/>
    </row>
    <row r="60" spans="10:35" x14ac:dyDescent="0.25">
      <c r="J60" s="19"/>
      <c r="AG60" s="2"/>
      <c r="AH60" s="2"/>
      <c r="AI60" s="2"/>
    </row>
    <row r="61" spans="10:35" x14ac:dyDescent="0.25">
      <c r="J61" s="19"/>
      <c r="AG61" s="2"/>
      <c r="AH61" s="2"/>
      <c r="AI61" s="2"/>
    </row>
    <row r="62" spans="10:35" x14ac:dyDescent="0.25">
      <c r="J62" s="19"/>
      <c r="AG62" s="2"/>
      <c r="AH62" s="2"/>
      <c r="AI62" s="2"/>
    </row>
    <row r="63" spans="10:35" x14ac:dyDescent="0.25">
      <c r="J63" s="19"/>
      <c r="AG63" s="2"/>
      <c r="AH63" s="2"/>
      <c r="AI63" s="2"/>
    </row>
    <row r="64" spans="10:35" x14ac:dyDescent="0.25">
      <c r="J64" s="19"/>
      <c r="AG64" s="2"/>
      <c r="AH64" s="2"/>
      <c r="AI64" s="2"/>
    </row>
    <row r="65" spans="5:35" x14ac:dyDescent="0.25">
      <c r="J65" s="19"/>
      <c r="AG65" s="2"/>
      <c r="AH65" s="2"/>
      <c r="AI65" s="2"/>
    </row>
    <row r="66" spans="5:35" x14ac:dyDescent="0.25">
      <c r="J66" s="19"/>
      <c r="AG66" s="2"/>
      <c r="AH66" s="2"/>
      <c r="AI66" s="2"/>
    </row>
    <row r="67" spans="5:35" x14ac:dyDescent="0.25">
      <c r="E67" s="20"/>
      <c r="J67" s="19"/>
      <c r="AG67" s="2"/>
      <c r="AH67" s="2"/>
      <c r="AI67" s="2"/>
    </row>
    <row r="68" spans="5:35" x14ac:dyDescent="0.25">
      <c r="E68" s="20"/>
      <c r="J68" s="19"/>
      <c r="AG68" s="2"/>
      <c r="AH68" s="2"/>
      <c r="AI68" s="2"/>
    </row>
    <row r="69" spans="5:35" x14ac:dyDescent="0.25">
      <c r="E69" s="20"/>
      <c r="J69" s="19"/>
      <c r="AG69" s="2"/>
      <c r="AH69" s="2"/>
      <c r="AI69" s="2"/>
    </row>
    <row r="70" spans="5:35" x14ac:dyDescent="0.25">
      <c r="E70" s="20"/>
      <c r="J70" s="19"/>
      <c r="AG70" s="2"/>
      <c r="AH70" s="2"/>
      <c r="AI70" s="2"/>
    </row>
    <row r="71" spans="5:35" x14ac:dyDescent="0.25">
      <c r="E71" s="20"/>
      <c r="J71" s="19"/>
      <c r="AG71" s="2"/>
      <c r="AH71" s="2"/>
      <c r="AI71" s="2"/>
    </row>
    <row r="72" spans="5:35" x14ac:dyDescent="0.25">
      <c r="E72" s="20"/>
      <c r="J72" s="19"/>
      <c r="AG72" s="2"/>
      <c r="AH72" s="2"/>
      <c r="AI72" s="2"/>
    </row>
    <row r="73" spans="5:35" x14ac:dyDescent="0.25">
      <c r="E73" s="20"/>
      <c r="J73" s="19"/>
      <c r="AG73" s="2"/>
      <c r="AH73" s="2"/>
      <c r="AI73" s="2"/>
    </row>
    <row r="74" spans="5:35" x14ac:dyDescent="0.25">
      <c r="E74" s="20"/>
      <c r="J74" s="19"/>
      <c r="AG74" s="2"/>
      <c r="AH74" s="2"/>
      <c r="AI74" s="2"/>
    </row>
    <row r="75" spans="5:35" x14ac:dyDescent="0.25">
      <c r="E75" s="20"/>
      <c r="J75" s="19"/>
      <c r="AG75" s="2"/>
      <c r="AH75" s="2"/>
      <c r="AI75" s="2"/>
    </row>
    <row r="76" spans="5:35" x14ac:dyDescent="0.25">
      <c r="E76" s="20"/>
      <c r="J76" s="19"/>
      <c r="AG76" s="2"/>
      <c r="AH76" s="2"/>
      <c r="AI76" s="2"/>
    </row>
    <row r="77" spans="5:35" x14ac:dyDescent="0.25">
      <c r="E77" s="20"/>
      <c r="J77" s="19"/>
      <c r="AG77" s="2"/>
      <c r="AH77" s="2"/>
      <c r="AI77" s="2"/>
    </row>
    <row r="78" spans="5:35" x14ac:dyDescent="0.25">
      <c r="E78" s="20"/>
      <c r="J78" s="19"/>
      <c r="AG78" s="2"/>
      <c r="AH78" s="2"/>
      <c r="AI78" s="2"/>
    </row>
    <row r="79" spans="5:35" x14ac:dyDescent="0.25">
      <c r="E79" s="20"/>
      <c r="J79" s="19"/>
      <c r="AG79" s="2"/>
      <c r="AH79" s="2"/>
      <c r="AI79" s="2"/>
    </row>
    <row r="80" spans="5:35" x14ac:dyDescent="0.25">
      <c r="E80" s="20"/>
      <c r="J80" s="19"/>
      <c r="AG80" s="2"/>
      <c r="AH80" s="2"/>
      <c r="AI80" s="2"/>
    </row>
    <row r="81" spans="5:35" x14ac:dyDescent="0.25">
      <c r="E81" s="20"/>
      <c r="J81" s="19"/>
      <c r="AG81" s="2"/>
      <c r="AH81" s="2"/>
      <c r="AI81" s="2"/>
    </row>
    <row r="82" spans="5:35" x14ac:dyDescent="0.25">
      <c r="E82" s="20"/>
      <c r="J82" s="19"/>
      <c r="AG82" s="2"/>
      <c r="AH82" s="2"/>
      <c r="AI82" s="2"/>
    </row>
    <row r="83" spans="5:35" x14ac:dyDescent="0.25">
      <c r="E83" s="20"/>
      <c r="J83" s="19"/>
      <c r="AG83" s="2"/>
      <c r="AH83" s="2"/>
      <c r="AI83" s="2"/>
    </row>
  </sheetData>
  <conditionalFormatting sqref="AD3:AE11 AJ3:AL11">
    <cfRule type="colorScale" priority="7">
      <colorScale>
        <cfvo type="min"/>
        <cfvo type="max"/>
        <color theme="9" tint="0.79998168889431442"/>
        <color rgb="FF00B050"/>
      </colorScale>
    </cfRule>
  </conditionalFormatting>
  <conditionalFormatting sqref="AD12:AE20 AJ12:AL20">
    <cfRule type="colorScale" priority="9">
      <colorScale>
        <cfvo type="min"/>
        <cfvo type="max"/>
        <color rgb="FFF9BBFB"/>
        <color rgb="FFFF00FF"/>
      </colorScale>
    </cfRule>
  </conditionalFormatting>
  <conditionalFormatting sqref="AD12:AE21 AJ12:AL21">
    <cfRule type="colorScale" priority="11">
      <colorScale>
        <cfvo type="min"/>
        <cfvo type="max"/>
        <color rgb="FFF9BBFB"/>
        <color rgb="FFFF00FF"/>
      </colorScale>
    </cfRule>
  </conditionalFormatting>
  <conditionalFormatting sqref="AD22:AE22 AJ22:AL22">
    <cfRule type="colorScale" priority="13">
      <colorScale>
        <cfvo type="min"/>
        <cfvo type="max"/>
        <color theme="0" tint="-4.9989318521683403E-2"/>
        <color theme="0" tint="-0.34998626667073579"/>
      </colorScale>
    </cfRule>
  </conditionalFormatting>
  <conditionalFormatting sqref="B4:B23 B3:AC3 C4:P31 Q4:Q32 R4:AC31">
    <cfRule type="colorScale" priority="2">
      <colorScale>
        <cfvo type="min"/>
        <cfvo type="max"/>
        <color theme="0"/>
        <color rgb="FFED7A2B"/>
      </colorScale>
    </cfRule>
  </conditionalFormatting>
  <conditionalFormatting sqref="B25:B31">
    <cfRule type="colorScale" priority="1">
      <colorScale>
        <cfvo type="min"/>
        <cfvo type="max"/>
        <color theme="0"/>
        <color rgb="FFED7A2B"/>
      </colorScale>
    </cfRule>
  </conditionalFormatting>
  <pageMargins left="0.7" right="0.7" top="0.75" bottom="0.75" header="0.3" footer="0.3"/>
  <pageSetup scale="6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M13" sqref="M13:M2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8.710937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 t="shared" ref="I2:I45" si="0"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si="0"/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4:24" x14ac:dyDescent="0.25"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4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4:24" x14ac:dyDescent="0.25"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4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4:24" x14ac:dyDescent="0.25"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4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4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4:24" x14ac:dyDescent="0.25"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4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4:24" x14ac:dyDescent="0.25"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4:24" x14ac:dyDescent="0.25"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4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4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4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4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4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4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4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4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4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4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4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4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4:10" x14ac:dyDescent="0.25"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4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4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4:10" x14ac:dyDescent="0.25"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4:10" x14ac:dyDescent="0.25"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4:10" x14ac:dyDescent="0.25"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4:10" x14ac:dyDescent="0.25">
      <c r="D46"/>
      <c r="E46"/>
      <c r="F46"/>
      <c r="G46"/>
      <c r="H46" s="26"/>
      <c r="I46" s="18" t="e">
        <f t="shared" ref="I46:I66" si="2">H46/SUM(H:H)</f>
        <v>#DIV/0!</v>
      </c>
      <c r="J46" s="14" t="e">
        <f>INDEX('Table of compositions'!G:G,MATCH(E46,'Table of compositions'!H:H,0))</f>
        <v>#N/A</v>
      </c>
    </row>
    <row r="47" spans="4:10" x14ac:dyDescent="0.25">
      <c r="D47"/>
      <c r="E47"/>
      <c r="F47"/>
      <c r="G47"/>
      <c r="H47" s="26"/>
      <c r="I47" s="18" t="e">
        <f t="shared" si="2"/>
        <v>#DIV/0!</v>
      </c>
      <c r="J47" s="14" t="e">
        <f>INDEX('Table of compositions'!G:G,MATCH(E47,'Table of compositions'!H:H,0))</f>
        <v>#N/A</v>
      </c>
    </row>
    <row r="48" spans="4:10" x14ac:dyDescent="0.25">
      <c r="D48"/>
      <c r="E48"/>
      <c r="F48"/>
      <c r="G48"/>
      <c r="H48" s="26"/>
      <c r="I48" s="18" t="e">
        <f t="shared" si="2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2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2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2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2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2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2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2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2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2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2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2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2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2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2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2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2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2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2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3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3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3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3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3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3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3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3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3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3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3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3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3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3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3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3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3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3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3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3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3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3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3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3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3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3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3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3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3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3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3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3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3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3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3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3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3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3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3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3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3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3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3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3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3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3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3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3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3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3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3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3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3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3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3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3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3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3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3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3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3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3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3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3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4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4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4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4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4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4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4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4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4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4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4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4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4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4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4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4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4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4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4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4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4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4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4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4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4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4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4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4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4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4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4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4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4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4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4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4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4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4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4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4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4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4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4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4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4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4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4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4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4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4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4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4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4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4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4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4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4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4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4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4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4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4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4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4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5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5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5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5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5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5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5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5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5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5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5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5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5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5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5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5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5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5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5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5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5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5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5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5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5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5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5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5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5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5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5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5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5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5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5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5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5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5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5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5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5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5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5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5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5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5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5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5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5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5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5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5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5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5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5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5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5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5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5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5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5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5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5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5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6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6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6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6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6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6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6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6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6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6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6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6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6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6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6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6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6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6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6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6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6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6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6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6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6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6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6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6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6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6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6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6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6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6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6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6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6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6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6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6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6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6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6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6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6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6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6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6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6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6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6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6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6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6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6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6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6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6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6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6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6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6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6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6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7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7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7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7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7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7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7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7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7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7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7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7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7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7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7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7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7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7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7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7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7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7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7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7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7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7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7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7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7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7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7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7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7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7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7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7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7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7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7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7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7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7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7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7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7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7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7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7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7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7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7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7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7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7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7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7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7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7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7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7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7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7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7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7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8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8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8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8"/>
        <v>#DIV/0!</v>
      </c>
      <c r="J390" s="14" t="e">
        <f>INDEX('Table of compositions'!G:G,MATCH(E390,'Table of compositions'!H:H,0))</f>
        <v>#N/A</v>
      </c>
    </row>
  </sheetData>
  <sortState xmlns:xlrd2="http://schemas.microsoft.com/office/spreadsheetml/2017/richdata2" ref="M10:M19">
    <sortCondition ref="M10:M19"/>
  </sortState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4861C-74F6-43F8-B349-88B02995E446}">
  <sheetPr codeName="Sheet2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C2" s="15"/>
      <c r="D2"/>
      <c r="E2"/>
      <c r="G2" s="35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C3" s="15"/>
      <c r="D3"/>
      <c r="E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C4" s="15"/>
      <c r="D4"/>
      <c r="E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C5" s="15"/>
      <c r="D5"/>
      <c r="E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C6" s="15"/>
      <c r="D6"/>
      <c r="E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15"/>
      <c r="D7"/>
      <c r="E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C8" s="15"/>
      <c r="D8"/>
      <c r="E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C9" s="15"/>
      <c r="D9"/>
      <c r="E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C10" s="15"/>
      <c r="D10"/>
      <c r="E10"/>
      <c r="G10"/>
      <c r="H10" s="26"/>
      <c r="I10" s="18" t="e">
        <f>H10/SUM(H:H)</f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15"/>
      <c r="D11"/>
      <c r="E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C12" s="15"/>
      <c r="D12"/>
      <c r="E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15"/>
      <c r="D13"/>
      <c r="E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C14" s="15"/>
      <c r="D14"/>
      <c r="E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15"/>
      <c r="D15"/>
      <c r="E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C16" s="15"/>
      <c r="D16"/>
      <c r="E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15"/>
      <c r="D17"/>
      <c r="E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C18" s="15"/>
      <c r="D18"/>
      <c r="E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15"/>
      <c r="D19"/>
      <c r="E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C20" s="15"/>
      <c r="D20"/>
      <c r="E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15"/>
      <c r="D21"/>
      <c r="E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C22" s="15"/>
      <c r="D22"/>
      <c r="E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C23" s="15"/>
      <c r="D23"/>
      <c r="E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15"/>
      <c r="D24"/>
      <c r="E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C25" s="15"/>
      <c r="D25"/>
      <c r="E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15"/>
      <c r="D26"/>
      <c r="E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15"/>
      <c r="D27"/>
      <c r="E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C28" s="15"/>
      <c r="D28"/>
      <c r="E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C29" s="15"/>
      <c r="D29"/>
      <c r="E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C30" s="15"/>
      <c r="D30"/>
      <c r="E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C31" s="15"/>
      <c r="D31"/>
      <c r="E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C32" s="15"/>
      <c r="D32"/>
      <c r="E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C33" s="15"/>
      <c r="D33"/>
      <c r="E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C34" s="15"/>
      <c r="D34"/>
      <c r="E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C35" s="15"/>
      <c r="D35"/>
      <c r="E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C36" s="15"/>
      <c r="D36"/>
      <c r="E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7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61347-DE0A-4AC8-9EA2-93E396EB7451}">
  <sheetPr codeName="Sheet3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C2308-B409-41DB-A78F-D7F55C03F5D9}">
  <sheetPr codeName="Sheet4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B02C3-011C-4FFC-9505-46C5B1CE2185}">
  <sheetPr codeName="Sheet5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FB89B-ECB3-4D97-B292-E45CE6BE2FDB}">
  <sheetPr codeName="Sheet8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6A4EC-C8A6-488C-A372-C66434C877CE}">
  <sheetPr codeName="Sheet9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069AC-DC6B-4244-9D73-C9680457D194}">
  <sheetPr codeName="Sheet10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4F38E-F368-4AA9-B643-08C4C0B700F6}">
  <sheetPr codeName="Sheet11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35376-4CEE-4D9E-AE7B-76F7370A48FF}">
  <sheetPr codeName="Sheet12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9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528B4-7B6E-4A62-855E-7E612C86AE13}">
  <sheetPr codeName="Sheet13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A0011-AA54-480D-8B4F-FDA62750827A}">
  <sheetPr codeName="Sheet14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F3BCE-1A0D-445A-9A39-A9C2997C25AF}">
  <sheetPr codeName="Sheet15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C1F15-5FDC-42AE-8978-F98EBAC05D42}">
  <sheetPr codeName="Sheet16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05401-52D8-4293-B6E7-06E0F4F173E7}">
  <sheetPr codeName="Sheet17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13657-3597-421B-B816-BD94C3481BD1}">
  <sheetPr codeName="Sheet18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AFFCA-6B33-4852-BC46-695FBAB1EF2D}">
  <sheetPr codeName="Sheet19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7F015-BEF5-4449-BEA5-6EA52EEFEA1A}">
  <sheetPr codeName="Sheet20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4DE6A-6D1A-41EE-9DCC-AF543DAB4932}">
  <sheetPr codeName="Sheet21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471B1-AD54-4A98-A8F4-6C98EDBD962B}">
  <sheetPr codeName="Sheet22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90EAB-838D-49AE-8679-EA956F9C1084}">
  <sheetPr codeName="Sheet23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3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821AB-A24F-43D9-AE01-B92516F9832F}">
  <sheetPr codeName="Sheet24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7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D576D-EB14-4AEB-A1CB-218689074DDF}">
  <sheetPr codeName="Sheet25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9BB94-7C66-4CDA-9CCD-4EEF43D41B35}">
  <sheetPr codeName="Sheet26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68B9-A6BA-4FA3-B9FD-1D6BBDDAFB16}">
  <sheetPr codeName="Sheet27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1C0DE-1341-4D56-9B8B-06224F3CD9EE}">
  <sheetPr codeName="Sheet28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F673E-F6A3-4BDD-9ACB-E25CE29990B9}">
  <sheetPr codeName="Sheet29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68D65-C47A-4476-932F-DBBFA7723835}">
  <sheetPr codeName="Sheet30"/>
  <dimension ref="A1:X390"/>
  <sheetViews>
    <sheetView zoomScaleNormal="100" workbookViewId="0">
      <pane ySplit="1" topLeftCell="A2" activePane="bottomLeft" state="frozen"/>
      <selection activeCell="D13" sqref="D13"/>
      <selection pane="bottomLeft" activeCell="N24" sqref="N24:N30"/>
    </sheetView>
  </sheetViews>
  <sheetFormatPr defaultRowHeight="15" x14ac:dyDescent="0.25"/>
  <cols>
    <col min="3" max="3" width="15.85546875" bestFit="1" customWidth="1"/>
    <col min="4" max="4" width="45.140625" style="2" bestFit="1" customWidth="1"/>
    <col min="5" max="5" width="31.7109375" style="2" bestFit="1" customWidth="1"/>
    <col min="6" max="6" width="13.5703125" style="15" bestFit="1" customWidth="1"/>
    <col min="7" max="7" width="15.28515625" style="15" bestFit="1" customWidth="1"/>
    <col min="8" max="8" width="15.7109375" style="14" bestFit="1" customWidth="1"/>
    <col min="9" max="9" width="11" style="14" bestFit="1" customWidth="1"/>
    <col min="10" max="10" width="12.7109375" style="14" bestFit="1" customWidth="1"/>
    <col min="11" max="11" width="11.5703125" style="2" customWidth="1"/>
    <col min="12" max="12" width="13.140625" bestFit="1" customWidth="1"/>
    <col min="13" max="13" width="14" bestFit="1" customWidth="1"/>
    <col min="14" max="14" width="9.140625" style="5"/>
    <col min="16" max="16" width="13.140625" bestFit="1" customWidth="1"/>
    <col min="20" max="21" width="9.140625" style="2"/>
  </cols>
  <sheetData>
    <row r="1" spans="1:21" ht="25.5" customHeight="1" x14ac:dyDescent="0.25">
      <c r="A1" t="s">
        <v>29</v>
      </c>
      <c r="B1" t="s">
        <v>30</v>
      </c>
      <c r="C1" t="s">
        <v>31</v>
      </c>
      <c r="D1" s="12" t="s">
        <v>23</v>
      </c>
      <c r="E1" s="12" t="s">
        <v>11</v>
      </c>
      <c r="F1" s="13" t="s">
        <v>12</v>
      </c>
      <c r="G1" s="13" t="s">
        <v>27</v>
      </c>
      <c r="H1" s="12" t="s">
        <v>28</v>
      </c>
      <c r="I1" s="12" t="s">
        <v>24</v>
      </c>
      <c r="J1" s="12" t="s">
        <v>25</v>
      </c>
      <c r="K1" s="16"/>
      <c r="L1" s="16"/>
    </row>
    <row r="2" spans="1:21" x14ac:dyDescent="0.25">
      <c r="D2"/>
      <c r="E2"/>
      <c r="F2"/>
      <c r="G2"/>
      <c r="H2" s="26"/>
      <c r="I2" s="18" t="e">
        <f>H2/SUM(H:H)</f>
        <v>#DIV/0!</v>
      </c>
      <c r="J2" s="14" t="e">
        <f>INDEX('Table of compositions'!G:G,MATCH(E2,'Table of compositions'!H:H,0))</f>
        <v>#N/A</v>
      </c>
      <c r="L2" t="s">
        <v>26</v>
      </c>
      <c r="M2" s="8" t="s">
        <v>10</v>
      </c>
      <c r="N2" s="5">
        <f>SUMIFS(I:I,J:J,M2)</f>
        <v>0</v>
      </c>
    </row>
    <row r="3" spans="1:21" x14ac:dyDescent="0.25">
      <c r="D3"/>
      <c r="E3"/>
      <c r="F3"/>
      <c r="G3"/>
      <c r="H3" s="26"/>
      <c r="I3" s="18" t="e">
        <f t="shared" ref="I3:I66" si="0">H3/SUM(H:H)</f>
        <v>#DIV/0!</v>
      </c>
      <c r="J3" s="14" t="e">
        <f>INDEX('Table of compositions'!G:G,MATCH(E3,'Table of compositions'!H:H,0))</f>
        <v>#N/A</v>
      </c>
      <c r="M3" s="8" t="s">
        <v>9</v>
      </c>
      <c r="N3" s="5">
        <f t="shared" ref="N3:N22" si="1">SUMIFS(I:I,J:J,M3)</f>
        <v>0</v>
      </c>
    </row>
    <row r="4" spans="1:21" x14ac:dyDescent="0.25">
      <c r="D4"/>
      <c r="E4"/>
      <c r="F4"/>
      <c r="G4"/>
      <c r="H4" s="26"/>
      <c r="I4" s="18" t="e">
        <f t="shared" si="0"/>
        <v>#DIV/0!</v>
      </c>
      <c r="J4" s="14" t="e">
        <f>INDEX('Table of compositions'!G:G,MATCH(E4,'Table of compositions'!H:H,0))</f>
        <v>#N/A</v>
      </c>
      <c r="M4" s="8" t="s">
        <v>5</v>
      </c>
      <c r="N4" s="5">
        <f t="shared" si="1"/>
        <v>0</v>
      </c>
      <c r="U4" s="3"/>
    </row>
    <row r="5" spans="1:21" x14ac:dyDescent="0.25">
      <c r="D5"/>
      <c r="E5"/>
      <c r="F5"/>
      <c r="G5"/>
      <c r="H5" s="26"/>
      <c r="I5" s="18" t="e">
        <f t="shared" si="0"/>
        <v>#DIV/0!</v>
      </c>
      <c r="J5" s="14" t="e">
        <f>INDEX('Table of compositions'!G:G,MATCH(E5,'Table of compositions'!H:H,0))</f>
        <v>#N/A</v>
      </c>
      <c r="M5" s="8" t="s">
        <v>7</v>
      </c>
      <c r="N5" s="5">
        <f t="shared" si="1"/>
        <v>0</v>
      </c>
      <c r="U5" s="3"/>
    </row>
    <row r="6" spans="1:21" x14ac:dyDescent="0.25">
      <c r="D6"/>
      <c r="E6"/>
      <c r="F6"/>
      <c r="G6"/>
      <c r="H6" s="26"/>
      <c r="I6" s="18" t="e">
        <f t="shared" si="0"/>
        <v>#DIV/0!</v>
      </c>
      <c r="J6" s="14" t="e">
        <f>INDEX('Table of compositions'!G:G,MATCH(E6,'Table of compositions'!H:H,0))</f>
        <v>#N/A</v>
      </c>
      <c r="M6" s="8" t="s">
        <v>8</v>
      </c>
      <c r="N6" s="5">
        <f t="shared" si="1"/>
        <v>0</v>
      </c>
      <c r="U6" s="3"/>
    </row>
    <row r="7" spans="1:21" x14ac:dyDescent="0.25">
      <c r="C7" s="27"/>
      <c r="D7"/>
      <c r="E7"/>
      <c r="F7"/>
      <c r="G7"/>
      <c r="H7" s="26"/>
      <c r="I7" s="18" t="e">
        <f t="shared" si="0"/>
        <v>#DIV/0!</v>
      </c>
      <c r="J7" s="14" t="e">
        <f>INDEX('Table of compositions'!G:G,MATCH(E7,'Table of compositions'!H:H,0))</f>
        <v>#N/A</v>
      </c>
      <c r="M7" s="8" t="s">
        <v>6</v>
      </c>
      <c r="N7" s="5">
        <f t="shared" si="1"/>
        <v>0</v>
      </c>
      <c r="U7" s="3"/>
    </row>
    <row r="8" spans="1:21" x14ac:dyDescent="0.25">
      <c r="D8"/>
      <c r="E8"/>
      <c r="F8"/>
      <c r="G8"/>
      <c r="H8" s="26"/>
      <c r="I8" s="18" t="e">
        <f t="shared" si="0"/>
        <v>#DIV/0!</v>
      </c>
      <c r="J8" s="14" t="e">
        <f>INDEX('Table of compositions'!G:G,MATCH(E8,'Table of compositions'!H:H,0))</f>
        <v>#N/A</v>
      </c>
      <c r="M8" s="8" t="s">
        <v>4</v>
      </c>
      <c r="N8" s="5">
        <f t="shared" si="1"/>
        <v>0</v>
      </c>
      <c r="U8" s="3"/>
    </row>
    <row r="9" spans="1:21" x14ac:dyDescent="0.25">
      <c r="D9"/>
      <c r="E9"/>
      <c r="F9"/>
      <c r="G9"/>
      <c r="H9" s="26"/>
      <c r="I9" s="18" t="e">
        <f t="shared" si="0"/>
        <v>#DIV/0!</v>
      </c>
      <c r="J9" s="14" t="e">
        <f>INDEX('Table of compositions'!G:G,MATCH(E9,'Table of compositions'!H:H,0))</f>
        <v>#N/A</v>
      </c>
      <c r="M9" s="8" t="s">
        <v>3</v>
      </c>
      <c r="N9" s="5">
        <f t="shared" si="1"/>
        <v>0</v>
      </c>
      <c r="U9" s="3"/>
    </row>
    <row r="10" spans="1:21" x14ac:dyDescent="0.25">
      <c r="D10"/>
      <c r="E10"/>
      <c r="F10"/>
      <c r="G10"/>
      <c r="H10" s="26"/>
      <c r="I10" s="18" t="e">
        <f t="shared" si="0"/>
        <v>#DIV/0!</v>
      </c>
      <c r="J10" s="14" t="e">
        <f>INDEX('Table of compositions'!G:G,MATCH(E10,'Table of compositions'!H:H,0))</f>
        <v>#N/A</v>
      </c>
      <c r="M10" s="8" t="s">
        <v>19</v>
      </c>
      <c r="N10" s="5">
        <f t="shared" si="1"/>
        <v>0</v>
      </c>
      <c r="U10" s="3"/>
    </row>
    <row r="11" spans="1:21" x14ac:dyDescent="0.25">
      <c r="C11" s="27"/>
      <c r="D11"/>
      <c r="E11"/>
      <c r="F11"/>
      <c r="G11"/>
      <c r="H11" s="26"/>
      <c r="I11" s="18" t="e">
        <f t="shared" si="0"/>
        <v>#DIV/0!</v>
      </c>
      <c r="J11" s="14" t="e">
        <f>INDEX('Table of compositions'!G:G,MATCH(E11,'Table of compositions'!H:H,0))</f>
        <v>#N/A</v>
      </c>
      <c r="L11" t="s">
        <v>21</v>
      </c>
      <c r="M11" s="9" t="s">
        <v>2</v>
      </c>
      <c r="N11" s="5">
        <f t="shared" si="1"/>
        <v>0</v>
      </c>
      <c r="O11" s="1"/>
      <c r="U11" s="3"/>
    </row>
    <row r="12" spans="1:21" x14ac:dyDescent="0.25">
      <c r="D12"/>
      <c r="E12"/>
      <c r="F12"/>
      <c r="G12"/>
      <c r="H12" s="26"/>
      <c r="I12" s="18" t="e">
        <f t="shared" si="0"/>
        <v>#DIV/0!</v>
      </c>
      <c r="J12" s="14" t="e">
        <f>INDEX('Table of compositions'!G:G,MATCH(E12,'Table of compositions'!H:H,0))</f>
        <v>#N/A</v>
      </c>
      <c r="M12" s="9" t="s">
        <v>0</v>
      </c>
      <c r="N12" s="5">
        <f t="shared" si="1"/>
        <v>0</v>
      </c>
      <c r="U12" s="3"/>
    </row>
    <row r="13" spans="1:21" x14ac:dyDescent="0.25">
      <c r="C13" s="27"/>
      <c r="D13"/>
      <c r="E13"/>
      <c r="F13"/>
      <c r="G13"/>
      <c r="H13" s="26"/>
      <c r="I13" s="18" t="e">
        <f t="shared" si="0"/>
        <v>#DIV/0!</v>
      </c>
      <c r="J13" s="14" t="e">
        <f>INDEX('Table of compositions'!G:G,MATCH(E13,'Table of compositions'!H:H,0))</f>
        <v>#N/A</v>
      </c>
      <c r="M13" s="9" t="s">
        <v>520</v>
      </c>
      <c r="N13" s="5">
        <f t="shared" si="1"/>
        <v>0</v>
      </c>
      <c r="U13" s="3"/>
    </row>
    <row r="14" spans="1:21" x14ac:dyDescent="0.25">
      <c r="D14"/>
      <c r="E14"/>
      <c r="F14"/>
      <c r="G14"/>
      <c r="H14" s="26"/>
      <c r="I14" s="18" t="e">
        <f t="shared" si="0"/>
        <v>#DIV/0!</v>
      </c>
      <c r="J14" s="14" t="e">
        <f>INDEX('Table of compositions'!G:G,MATCH(E14,'Table of compositions'!H:H,0))</f>
        <v>#N/A</v>
      </c>
      <c r="M14" s="9" t="s">
        <v>521</v>
      </c>
      <c r="N14" s="5">
        <f t="shared" si="1"/>
        <v>0</v>
      </c>
      <c r="U14" s="3"/>
    </row>
    <row r="15" spans="1:21" x14ac:dyDescent="0.25">
      <c r="C15" s="27"/>
      <c r="D15"/>
      <c r="E15"/>
      <c r="F15"/>
      <c r="G15"/>
      <c r="H15" s="26"/>
      <c r="I15" s="18" t="e">
        <f t="shared" si="0"/>
        <v>#DIV/0!</v>
      </c>
      <c r="J15" s="14" t="e">
        <f>INDEX('Table of compositions'!G:G,MATCH(E15,'Table of compositions'!H:H,0))</f>
        <v>#N/A</v>
      </c>
      <c r="M15" s="9" t="s">
        <v>522</v>
      </c>
      <c r="N15" s="5">
        <f t="shared" si="1"/>
        <v>0</v>
      </c>
      <c r="U15" s="3"/>
    </row>
    <row r="16" spans="1:21" x14ac:dyDescent="0.25">
      <c r="D16"/>
      <c r="E16"/>
      <c r="F16"/>
      <c r="G16"/>
      <c r="H16" s="26"/>
      <c r="I16" s="18" t="e">
        <f t="shared" si="0"/>
        <v>#DIV/0!</v>
      </c>
      <c r="J16" s="14" t="e">
        <f>INDEX('Table of compositions'!G:G,MATCH(E16,'Table of compositions'!H:H,0))</f>
        <v>#N/A</v>
      </c>
      <c r="M16" s="9" t="s">
        <v>523</v>
      </c>
      <c r="N16" s="5">
        <f t="shared" si="1"/>
        <v>0</v>
      </c>
      <c r="U16" s="3"/>
    </row>
    <row r="17" spans="3:24" x14ac:dyDescent="0.25">
      <c r="C17" s="27"/>
      <c r="D17"/>
      <c r="E17"/>
      <c r="F17"/>
      <c r="G17"/>
      <c r="H17" s="26"/>
      <c r="I17" s="18" t="e">
        <f t="shared" si="0"/>
        <v>#DIV/0!</v>
      </c>
      <c r="J17" s="14" t="e">
        <f>INDEX('Table of compositions'!G:G,MATCH(E17,'Table of compositions'!H:H,0))</f>
        <v>#N/A</v>
      </c>
      <c r="M17" s="9" t="s">
        <v>524</v>
      </c>
      <c r="N17" s="5">
        <f t="shared" si="1"/>
        <v>0</v>
      </c>
      <c r="U17" s="3"/>
    </row>
    <row r="18" spans="3:24" x14ac:dyDescent="0.25">
      <c r="D18"/>
      <c r="E18"/>
      <c r="F18"/>
      <c r="G18"/>
      <c r="H18" s="26"/>
      <c r="I18" s="18" t="e">
        <f t="shared" si="0"/>
        <v>#DIV/0!</v>
      </c>
      <c r="J18" s="14" t="e">
        <f>INDEX('Table of compositions'!G:G,MATCH(E18,'Table of compositions'!H:H,0))</f>
        <v>#N/A</v>
      </c>
      <c r="M18" s="9" t="s">
        <v>525</v>
      </c>
      <c r="N18" s="5">
        <f t="shared" si="1"/>
        <v>0</v>
      </c>
    </row>
    <row r="19" spans="3:24" x14ac:dyDescent="0.25">
      <c r="C19" s="27"/>
      <c r="D19"/>
      <c r="E19"/>
      <c r="F19"/>
      <c r="G19"/>
      <c r="H19" s="26"/>
      <c r="I19" s="18" t="e">
        <f t="shared" si="0"/>
        <v>#DIV/0!</v>
      </c>
      <c r="J19" s="14" t="e">
        <f>INDEX('Table of compositions'!G:G,MATCH(E19,'Table of compositions'!H:H,0))</f>
        <v>#N/A</v>
      </c>
      <c r="M19" s="9" t="s">
        <v>526</v>
      </c>
      <c r="N19" s="5">
        <f t="shared" si="1"/>
        <v>0</v>
      </c>
      <c r="U19" s="3"/>
    </row>
    <row r="20" spans="3:24" x14ac:dyDescent="0.25">
      <c r="D20"/>
      <c r="E20"/>
      <c r="F20"/>
      <c r="G20"/>
      <c r="H20" s="26"/>
      <c r="I20" s="18" t="e">
        <f t="shared" si="0"/>
        <v>#DIV/0!</v>
      </c>
      <c r="J20" s="14" t="e">
        <f>INDEX('Table of compositions'!G:G,MATCH(E20,'Table of compositions'!H:H,0))</f>
        <v>#N/A</v>
      </c>
      <c r="M20" s="9" t="s">
        <v>527</v>
      </c>
      <c r="N20" s="5">
        <f t="shared" si="1"/>
        <v>0</v>
      </c>
    </row>
    <row r="21" spans="3:24" x14ac:dyDescent="0.25">
      <c r="C21" s="27"/>
      <c r="D21"/>
      <c r="E21"/>
      <c r="F21"/>
      <c r="G21"/>
      <c r="H21" s="26"/>
      <c r="I21" s="18" t="e">
        <f t="shared" si="0"/>
        <v>#DIV/0!</v>
      </c>
      <c r="J21" s="14" t="e">
        <f>INDEX('Table of compositions'!G:G,MATCH(E21,'Table of compositions'!H:H,0))</f>
        <v>#N/A</v>
      </c>
      <c r="L21" t="s">
        <v>22</v>
      </c>
      <c r="M21" t="s">
        <v>22</v>
      </c>
      <c r="N21" s="5">
        <f t="shared" si="1"/>
        <v>0</v>
      </c>
      <c r="U21" s="4"/>
    </row>
    <row r="22" spans="3:24" x14ac:dyDescent="0.25">
      <c r="D22"/>
      <c r="E22"/>
      <c r="F22"/>
      <c r="G22"/>
      <c r="H22" s="26"/>
      <c r="I22" s="18" t="e">
        <f t="shared" si="0"/>
        <v>#DIV/0!</v>
      </c>
      <c r="J22" s="14" t="e">
        <f>INDEX('Table of compositions'!G:G,MATCH(E22,'Table of compositions'!H:H,0))</f>
        <v>#N/A</v>
      </c>
      <c r="M22" s="9" t="s">
        <v>70</v>
      </c>
      <c r="N22" s="5">
        <f t="shared" si="1"/>
        <v>0</v>
      </c>
      <c r="O22" s="1"/>
    </row>
    <row r="23" spans="3:24" x14ac:dyDescent="0.25">
      <c r="D23"/>
      <c r="E23"/>
      <c r="F23"/>
      <c r="G23"/>
      <c r="H23" s="26"/>
      <c r="I23" s="18" t="e">
        <f t="shared" si="0"/>
        <v>#DIV/0!</v>
      </c>
      <c r="J23" s="14" t="e">
        <f>INDEX('Table of compositions'!G:G,MATCH(E23,'Table of compositions'!H:H,0))</f>
        <v>#N/A</v>
      </c>
    </row>
    <row r="24" spans="3:24" x14ac:dyDescent="0.25">
      <c r="C24" s="27"/>
      <c r="D24"/>
      <c r="E24"/>
      <c r="F24"/>
      <c r="G24"/>
      <c r="H24" s="26"/>
      <c r="I24" s="18" t="e">
        <f t="shared" si="0"/>
        <v>#DIV/0!</v>
      </c>
      <c r="J24" s="14" t="e">
        <f>INDEX('Table of compositions'!G:G,MATCH(E24,'Table of compositions'!H:H,0))</f>
        <v>#N/A</v>
      </c>
      <c r="M24" t="s">
        <v>26</v>
      </c>
      <c r="N24" s="5">
        <f>SUM(N2:N10)</f>
        <v>0</v>
      </c>
    </row>
    <row r="25" spans="3:24" x14ac:dyDescent="0.25">
      <c r="D25"/>
      <c r="E25"/>
      <c r="F25"/>
      <c r="G25"/>
      <c r="H25" s="26"/>
      <c r="I25" s="18" t="e">
        <f t="shared" si="0"/>
        <v>#DIV/0!</v>
      </c>
      <c r="J25" s="14" t="e">
        <f>INDEX('Table of compositions'!G:G,MATCH(E25,'Table of compositions'!H:H,0))</f>
        <v>#N/A</v>
      </c>
      <c r="M25" t="s">
        <v>52</v>
      </c>
      <c r="N25" s="1">
        <f>SUM(N11:N12)</f>
        <v>0</v>
      </c>
    </row>
    <row r="26" spans="3:24" x14ac:dyDescent="0.25">
      <c r="C26" s="27"/>
      <c r="D26"/>
      <c r="E26"/>
      <c r="F26"/>
      <c r="G26"/>
      <c r="H26" s="26"/>
      <c r="I26" s="18" t="e">
        <f t="shared" si="0"/>
        <v>#DIV/0!</v>
      </c>
      <c r="J26" s="14" t="e">
        <f>INDEX('Table of compositions'!G:G,MATCH(E26,'Table of compositions'!H:H,0))</f>
        <v>#N/A</v>
      </c>
      <c r="M26" t="s">
        <v>21</v>
      </c>
      <c r="N26" s="5">
        <f>SUM(N13:N20)</f>
        <v>0</v>
      </c>
      <c r="W26" s="1"/>
      <c r="X26" s="1"/>
    </row>
    <row r="27" spans="3:24" x14ac:dyDescent="0.25">
      <c r="C27" s="27"/>
      <c r="D27"/>
      <c r="E27"/>
      <c r="F27"/>
      <c r="G27"/>
      <c r="H27" s="26"/>
      <c r="I27" s="18" t="e">
        <f t="shared" si="0"/>
        <v>#DIV/0!</v>
      </c>
      <c r="J27" s="14" t="e">
        <f>INDEX('Table of compositions'!G:G,MATCH(E27,'Table of compositions'!H:H,0))</f>
        <v>#N/A</v>
      </c>
      <c r="M27" t="s">
        <v>22</v>
      </c>
      <c r="N27" s="5">
        <f>N21</f>
        <v>0</v>
      </c>
    </row>
    <row r="28" spans="3:24" x14ac:dyDescent="0.25">
      <c r="D28"/>
      <c r="E28"/>
      <c r="F28"/>
      <c r="G28"/>
      <c r="H28" s="26"/>
      <c r="I28" s="18" t="e">
        <f t="shared" si="0"/>
        <v>#DIV/0!</v>
      </c>
      <c r="J28" s="14" t="e">
        <f>INDEX('Table of compositions'!G:G,MATCH(E28,'Table of compositions'!H:H,0))</f>
        <v>#N/A</v>
      </c>
      <c r="M28" t="s">
        <v>70</v>
      </c>
      <c r="N28" s="5">
        <f>N22</f>
        <v>0</v>
      </c>
    </row>
    <row r="29" spans="3:24" x14ac:dyDescent="0.25">
      <c r="D29"/>
      <c r="E29"/>
      <c r="F29"/>
      <c r="G29"/>
      <c r="H29" s="26"/>
      <c r="I29" s="18" t="e">
        <f t="shared" si="0"/>
        <v>#DIV/0!</v>
      </c>
      <c r="J29" s="14" t="e">
        <f>INDEX('Table of compositions'!G:G,MATCH(E29,'Table of compositions'!H:H,0))</f>
        <v>#N/A</v>
      </c>
      <c r="M29" t="s">
        <v>53</v>
      </c>
      <c r="N29" s="1">
        <f>SUM(N10,N12,N14,N16,N18,N20)</f>
        <v>0</v>
      </c>
    </row>
    <row r="30" spans="3:24" x14ac:dyDescent="0.25">
      <c r="D30"/>
      <c r="E30"/>
      <c r="F30"/>
      <c r="G30"/>
      <c r="H30" s="26"/>
      <c r="I30" s="18" t="e">
        <f t="shared" si="0"/>
        <v>#DIV/0!</v>
      </c>
      <c r="J30" s="14" t="e">
        <f>INDEX('Table of compositions'!G:G,MATCH(E30,'Table of compositions'!H:H,0))</f>
        <v>#N/A</v>
      </c>
      <c r="M30" t="s">
        <v>20</v>
      </c>
      <c r="N30" s="5">
        <f>SUMIFS(I:I, E:E,  "*NeuAc*")</f>
        <v>0</v>
      </c>
    </row>
    <row r="31" spans="3:24" x14ac:dyDescent="0.25">
      <c r="D31"/>
      <c r="E31"/>
      <c r="F31"/>
      <c r="G31"/>
      <c r="H31" s="26"/>
      <c r="I31" s="18" t="e">
        <f t="shared" si="0"/>
        <v>#DIV/0!</v>
      </c>
      <c r="J31" s="14" t="e">
        <f>INDEX('Table of compositions'!G:G,MATCH(E31,'Table of compositions'!H:H,0))</f>
        <v>#N/A</v>
      </c>
    </row>
    <row r="32" spans="3:24" x14ac:dyDescent="0.25">
      <c r="D32"/>
      <c r="E32"/>
      <c r="F32"/>
      <c r="G32"/>
      <c r="H32" s="26"/>
      <c r="I32" s="18" t="e">
        <f t="shared" si="0"/>
        <v>#DIV/0!</v>
      </c>
      <c r="J32" s="14" t="e">
        <f>INDEX('Table of compositions'!G:G,MATCH(E32,'Table of compositions'!H:H,0))</f>
        <v>#N/A</v>
      </c>
    </row>
    <row r="33" spans="3:10" x14ac:dyDescent="0.25">
      <c r="D33"/>
      <c r="E33"/>
      <c r="F33"/>
      <c r="G33"/>
      <c r="H33" s="26"/>
      <c r="I33" s="18" t="e">
        <f t="shared" si="0"/>
        <v>#DIV/0!</v>
      </c>
      <c r="J33" s="14" t="e">
        <f>INDEX('Table of compositions'!G:G,MATCH(E33,'Table of compositions'!H:H,0))</f>
        <v>#N/A</v>
      </c>
    </row>
    <row r="34" spans="3:10" x14ac:dyDescent="0.25">
      <c r="D34"/>
      <c r="E34"/>
      <c r="F34"/>
      <c r="G34"/>
      <c r="H34" s="26"/>
      <c r="I34" s="18" t="e">
        <f t="shared" si="0"/>
        <v>#DIV/0!</v>
      </c>
      <c r="J34" s="14" t="e">
        <f>INDEX('Table of compositions'!G:G,MATCH(E34,'Table of compositions'!H:H,0))</f>
        <v>#N/A</v>
      </c>
    </row>
    <row r="35" spans="3:10" x14ac:dyDescent="0.25">
      <c r="D35"/>
      <c r="E35"/>
      <c r="F35"/>
      <c r="G35"/>
      <c r="H35" s="26"/>
      <c r="I35" s="18" t="e">
        <f t="shared" si="0"/>
        <v>#DIV/0!</v>
      </c>
      <c r="J35" s="14" t="e">
        <f>INDEX('Table of compositions'!G:G,MATCH(E35,'Table of compositions'!H:H,0))</f>
        <v>#N/A</v>
      </c>
    </row>
    <row r="36" spans="3:10" x14ac:dyDescent="0.25">
      <c r="D36"/>
      <c r="E36"/>
      <c r="F36"/>
      <c r="G36"/>
      <c r="H36" s="26"/>
      <c r="I36" s="18" t="e">
        <f t="shared" si="0"/>
        <v>#DIV/0!</v>
      </c>
      <c r="J36" s="14" t="e">
        <f>INDEX('Table of compositions'!G:G,MATCH(E36,'Table of compositions'!H:H,0))</f>
        <v>#N/A</v>
      </c>
    </row>
    <row r="37" spans="3:10" x14ac:dyDescent="0.25">
      <c r="D37"/>
      <c r="E37"/>
      <c r="F37"/>
      <c r="G37"/>
      <c r="H37" s="26"/>
      <c r="I37" s="18" t="e">
        <f t="shared" si="0"/>
        <v>#DIV/0!</v>
      </c>
      <c r="J37" s="14" t="e">
        <f>INDEX('Table of compositions'!G:G,MATCH(E37,'Table of compositions'!H:H,0))</f>
        <v>#N/A</v>
      </c>
    </row>
    <row r="38" spans="3:10" x14ac:dyDescent="0.25">
      <c r="D38"/>
      <c r="E38"/>
      <c r="F38"/>
      <c r="G38"/>
      <c r="H38" s="26"/>
      <c r="I38" s="18" t="e">
        <f t="shared" si="0"/>
        <v>#DIV/0!</v>
      </c>
      <c r="J38" s="14" t="e">
        <f>INDEX('Table of compositions'!G:G,MATCH(E38,'Table of compositions'!H:H,0))</f>
        <v>#N/A</v>
      </c>
    </row>
    <row r="39" spans="3:10" x14ac:dyDescent="0.25">
      <c r="D39"/>
      <c r="E39"/>
      <c r="F39"/>
      <c r="G39"/>
      <c r="H39" s="26"/>
      <c r="I39" s="18" t="e">
        <f t="shared" si="0"/>
        <v>#DIV/0!</v>
      </c>
      <c r="J39" s="14" t="e">
        <f>INDEX('Table of compositions'!G:G,MATCH(E39,'Table of compositions'!H:H,0))</f>
        <v>#N/A</v>
      </c>
    </row>
    <row r="40" spans="3:10" x14ac:dyDescent="0.25">
      <c r="C40" s="27"/>
      <c r="D40"/>
      <c r="E40"/>
      <c r="F40"/>
      <c r="G40"/>
      <c r="H40" s="26"/>
      <c r="I40" s="18" t="e">
        <f t="shared" si="0"/>
        <v>#DIV/0!</v>
      </c>
      <c r="J40" s="14" t="e">
        <f>INDEX('Table of compositions'!G:G,MATCH(E40,'Table of compositions'!H:H,0))</f>
        <v>#N/A</v>
      </c>
    </row>
    <row r="41" spans="3:10" x14ac:dyDescent="0.25">
      <c r="D41"/>
      <c r="E41"/>
      <c r="F41"/>
      <c r="G41"/>
      <c r="H41" s="26"/>
      <c r="I41" s="18" t="e">
        <f t="shared" si="0"/>
        <v>#DIV/0!</v>
      </c>
      <c r="J41" s="14" t="e">
        <f>INDEX('Table of compositions'!G:G,MATCH(E41,'Table of compositions'!H:H,0))</f>
        <v>#N/A</v>
      </c>
    </row>
    <row r="42" spans="3:10" x14ac:dyDescent="0.25">
      <c r="D42"/>
      <c r="E42"/>
      <c r="F42"/>
      <c r="G42"/>
      <c r="H42" s="26"/>
      <c r="I42" s="18" t="e">
        <f t="shared" si="0"/>
        <v>#DIV/0!</v>
      </c>
      <c r="J42" s="14" t="e">
        <f>INDEX('Table of compositions'!G:G,MATCH(E42,'Table of compositions'!H:H,0))</f>
        <v>#N/A</v>
      </c>
    </row>
    <row r="43" spans="3:10" x14ac:dyDescent="0.25">
      <c r="C43" s="27"/>
      <c r="D43"/>
      <c r="E43"/>
      <c r="F43"/>
      <c r="G43"/>
      <c r="H43" s="26"/>
      <c r="I43" s="18" t="e">
        <f t="shared" si="0"/>
        <v>#DIV/0!</v>
      </c>
      <c r="J43" s="14" t="e">
        <f>INDEX('Table of compositions'!G:G,MATCH(E43,'Table of compositions'!H:H,0))</f>
        <v>#N/A</v>
      </c>
    </row>
    <row r="44" spans="3:10" x14ac:dyDescent="0.25">
      <c r="C44" s="27"/>
      <c r="D44"/>
      <c r="E44"/>
      <c r="F44"/>
      <c r="G44"/>
      <c r="H44" s="26"/>
      <c r="I44" s="18" t="e">
        <f t="shared" si="0"/>
        <v>#DIV/0!</v>
      </c>
      <c r="J44" s="14" t="e">
        <f>INDEX('Table of compositions'!G:G,MATCH(E44,'Table of compositions'!H:H,0))</f>
        <v>#N/A</v>
      </c>
    </row>
    <row r="45" spans="3:10" x14ac:dyDescent="0.25">
      <c r="C45" s="27"/>
      <c r="D45"/>
      <c r="E45"/>
      <c r="F45"/>
      <c r="G45"/>
      <c r="H45" s="26"/>
      <c r="I45" s="18" t="e">
        <f t="shared" si="0"/>
        <v>#DIV/0!</v>
      </c>
      <c r="J45" s="14" t="e">
        <f>INDEX('Table of compositions'!G:G,MATCH(E45,'Table of compositions'!H:H,0))</f>
        <v>#N/A</v>
      </c>
    </row>
    <row r="46" spans="3:10" x14ac:dyDescent="0.25">
      <c r="D46"/>
      <c r="E46"/>
      <c r="F46"/>
      <c r="G46"/>
      <c r="H46" s="26"/>
      <c r="I46" s="18" t="e">
        <f t="shared" si="0"/>
        <v>#DIV/0!</v>
      </c>
      <c r="J46" s="14" t="e">
        <f>INDEX('Table of compositions'!G:G,MATCH(E46,'Table of compositions'!H:H,0))</f>
        <v>#N/A</v>
      </c>
    </row>
    <row r="47" spans="3:10" x14ac:dyDescent="0.25">
      <c r="D47"/>
      <c r="E47"/>
      <c r="F47"/>
      <c r="G47"/>
      <c r="H47" s="26"/>
      <c r="I47" s="18" t="e">
        <f t="shared" si="0"/>
        <v>#DIV/0!</v>
      </c>
      <c r="J47" s="14" t="e">
        <f>INDEX('Table of compositions'!G:G,MATCH(E47,'Table of compositions'!H:H,0))</f>
        <v>#N/A</v>
      </c>
    </row>
    <row r="48" spans="3:10" x14ac:dyDescent="0.25">
      <c r="D48"/>
      <c r="E48"/>
      <c r="F48"/>
      <c r="G48"/>
      <c r="H48" s="26"/>
      <c r="I48" s="18" t="e">
        <f t="shared" si="0"/>
        <v>#DIV/0!</v>
      </c>
      <c r="J48" s="14" t="e">
        <f>INDEX('Table of compositions'!G:G,MATCH(E48,'Table of compositions'!H:H,0))</f>
        <v>#N/A</v>
      </c>
    </row>
    <row r="49" spans="3:10" x14ac:dyDescent="0.25">
      <c r="D49"/>
      <c r="E49"/>
      <c r="F49"/>
      <c r="G49"/>
      <c r="H49" s="26"/>
      <c r="I49" s="18" t="e">
        <f t="shared" si="0"/>
        <v>#DIV/0!</v>
      </c>
      <c r="J49" s="14" t="e">
        <f>INDEX('Table of compositions'!G:G,MATCH(E49,'Table of compositions'!H:H,0))</f>
        <v>#N/A</v>
      </c>
    </row>
    <row r="50" spans="3:10" x14ac:dyDescent="0.25">
      <c r="C50" s="27"/>
      <c r="D50"/>
      <c r="E50"/>
      <c r="F50"/>
      <c r="G50"/>
      <c r="H50" s="26"/>
      <c r="I50" s="18" t="e">
        <f t="shared" si="0"/>
        <v>#DIV/0!</v>
      </c>
      <c r="J50" s="14" t="e">
        <f>INDEX('Table of compositions'!G:G,MATCH(E50,'Table of compositions'!H:H,0))</f>
        <v>#N/A</v>
      </c>
    </row>
    <row r="51" spans="3:10" x14ac:dyDescent="0.25">
      <c r="D51"/>
      <c r="E51"/>
      <c r="F51"/>
      <c r="G51"/>
      <c r="H51" s="26"/>
      <c r="I51" s="18" t="e">
        <f t="shared" si="0"/>
        <v>#DIV/0!</v>
      </c>
      <c r="J51" s="14" t="e">
        <f>INDEX('Table of compositions'!G:G,MATCH(E51,'Table of compositions'!H:H,0))</f>
        <v>#N/A</v>
      </c>
    </row>
    <row r="52" spans="3:10" x14ac:dyDescent="0.25">
      <c r="C52" s="27"/>
      <c r="D52"/>
      <c r="E52"/>
      <c r="F52"/>
      <c r="G52"/>
      <c r="H52" s="26"/>
      <c r="I52" s="18" t="e">
        <f t="shared" si="0"/>
        <v>#DIV/0!</v>
      </c>
      <c r="J52" s="14" t="e">
        <f>INDEX('Table of compositions'!G:G,MATCH(E52,'Table of compositions'!H:H,0))</f>
        <v>#N/A</v>
      </c>
    </row>
    <row r="53" spans="3:10" x14ac:dyDescent="0.25">
      <c r="D53"/>
      <c r="E53"/>
      <c r="F53"/>
      <c r="G53"/>
      <c r="H53" s="26"/>
      <c r="I53" s="18" t="e">
        <f t="shared" si="0"/>
        <v>#DIV/0!</v>
      </c>
      <c r="J53" s="14" t="e">
        <f>INDEX('Table of compositions'!G:G,MATCH(E53,'Table of compositions'!H:H,0))</f>
        <v>#N/A</v>
      </c>
    </row>
    <row r="54" spans="3:10" x14ac:dyDescent="0.25">
      <c r="C54" s="27"/>
      <c r="D54"/>
      <c r="E54"/>
      <c r="F54"/>
      <c r="G54"/>
      <c r="H54" s="26"/>
      <c r="I54" s="18" t="e">
        <f t="shared" si="0"/>
        <v>#DIV/0!</v>
      </c>
      <c r="J54" s="14" t="e">
        <f>INDEX('Table of compositions'!G:G,MATCH(E54,'Table of compositions'!H:H,0))</f>
        <v>#N/A</v>
      </c>
    </row>
    <row r="55" spans="3:10" x14ac:dyDescent="0.25">
      <c r="D55"/>
      <c r="E55"/>
      <c r="F55"/>
      <c r="G55"/>
      <c r="H55" s="26"/>
      <c r="I55" s="18" t="e">
        <f t="shared" si="0"/>
        <v>#DIV/0!</v>
      </c>
      <c r="J55" s="14" t="e">
        <f>INDEX('Table of compositions'!G:G,MATCH(E55,'Table of compositions'!H:H,0))</f>
        <v>#N/A</v>
      </c>
    </row>
    <row r="56" spans="3:10" x14ac:dyDescent="0.25">
      <c r="C56" s="27"/>
      <c r="D56"/>
      <c r="E56"/>
      <c r="F56"/>
      <c r="G56"/>
      <c r="H56" s="26"/>
      <c r="I56" s="18" t="e">
        <f t="shared" si="0"/>
        <v>#DIV/0!</v>
      </c>
      <c r="J56" s="14" t="e">
        <f>INDEX('Table of compositions'!G:G,MATCH(E56,'Table of compositions'!H:H,0))</f>
        <v>#N/A</v>
      </c>
    </row>
    <row r="57" spans="3:10" x14ac:dyDescent="0.25">
      <c r="D57"/>
      <c r="E57"/>
      <c r="F57"/>
      <c r="G57"/>
      <c r="H57" s="26"/>
      <c r="I57" s="18" t="e">
        <f t="shared" si="0"/>
        <v>#DIV/0!</v>
      </c>
      <c r="J57" s="14" t="e">
        <f>INDEX('Table of compositions'!G:G,MATCH(E57,'Table of compositions'!H:H,0))</f>
        <v>#N/A</v>
      </c>
    </row>
    <row r="58" spans="3:10" x14ac:dyDescent="0.25">
      <c r="C58" s="27"/>
      <c r="D58"/>
      <c r="E58"/>
      <c r="F58"/>
      <c r="G58"/>
      <c r="H58" s="26"/>
      <c r="I58" s="18" t="e">
        <f t="shared" si="0"/>
        <v>#DIV/0!</v>
      </c>
      <c r="J58" s="14" t="e">
        <f>INDEX('Table of compositions'!G:G,MATCH(E58,'Table of compositions'!H:H,0))</f>
        <v>#N/A</v>
      </c>
    </row>
    <row r="59" spans="3:10" x14ac:dyDescent="0.25">
      <c r="D59"/>
      <c r="E59"/>
      <c r="F59"/>
      <c r="G59"/>
      <c r="H59" s="26"/>
      <c r="I59" s="18" t="e">
        <f t="shared" si="0"/>
        <v>#DIV/0!</v>
      </c>
      <c r="J59" s="14" t="e">
        <f>INDEX('Table of compositions'!G:G,MATCH(E59,'Table of compositions'!H:H,0))</f>
        <v>#N/A</v>
      </c>
    </row>
    <row r="60" spans="3:10" x14ac:dyDescent="0.25">
      <c r="D60"/>
      <c r="E60"/>
      <c r="F60"/>
      <c r="G60"/>
      <c r="H60" s="26"/>
      <c r="I60" s="18" t="e">
        <f t="shared" si="0"/>
        <v>#DIV/0!</v>
      </c>
      <c r="J60" s="14" t="e">
        <f>INDEX('Table of compositions'!G:G,MATCH(E60,'Table of compositions'!H:H,0))</f>
        <v>#N/A</v>
      </c>
    </row>
    <row r="61" spans="3:10" x14ac:dyDescent="0.25">
      <c r="D61"/>
      <c r="E61"/>
      <c r="F61"/>
      <c r="G61"/>
      <c r="H61" s="26"/>
      <c r="I61" s="18" t="e">
        <f t="shared" si="0"/>
        <v>#DIV/0!</v>
      </c>
      <c r="J61" s="14" t="e">
        <f>INDEX('Table of compositions'!G:G,MATCH(E61,'Table of compositions'!H:H,0))</f>
        <v>#N/A</v>
      </c>
    </row>
    <row r="62" spans="3:10" x14ac:dyDescent="0.25">
      <c r="D62"/>
      <c r="E62"/>
      <c r="F62"/>
      <c r="G62"/>
      <c r="H62" s="26"/>
      <c r="I62" s="18" t="e">
        <f t="shared" si="0"/>
        <v>#DIV/0!</v>
      </c>
      <c r="J62" s="14" t="e">
        <f>INDEX('Table of compositions'!G:G,MATCH(E62,'Table of compositions'!H:H,0))</f>
        <v>#N/A</v>
      </c>
    </row>
    <row r="63" spans="3:10" x14ac:dyDescent="0.25">
      <c r="C63" s="27"/>
      <c r="D63"/>
      <c r="E63"/>
      <c r="F63"/>
      <c r="G63"/>
      <c r="H63" s="26"/>
      <c r="I63" s="18" t="e">
        <f t="shared" si="0"/>
        <v>#DIV/0!</v>
      </c>
      <c r="J63" s="14" t="e">
        <f>INDEX('Table of compositions'!G:G,MATCH(E63,'Table of compositions'!H:H,0))</f>
        <v>#N/A</v>
      </c>
    </row>
    <row r="64" spans="3:10" x14ac:dyDescent="0.25">
      <c r="D64"/>
      <c r="E64"/>
      <c r="F64"/>
      <c r="G64"/>
      <c r="H64" s="26"/>
      <c r="I64" s="18" t="e">
        <f t="shared" si="0"/>
        <v>#DIV/0!</v>
      </c>
      <c r="J64" s="14" t="e">
        <f>INDEX('Table of compositions'!G:G,MATCH(E64,'Table of compositions'!H:H,0))</f>
        <v>#N/A</v>
      </c>
    </row>
    <row r="65" spans="3:10" x14ac:dyDescent="0.25">
      <c r="C65" s="27"/>
      <c r="D65"/>
      <c r="E65"/>
      <c r="F65"/>
      <c r="G65"/>
      <c r="H65" s="26"/>
      <c r="I65" s="18" t="e">
        <f t="shared" si="0"/>
        <v>#DIV/0!</v>
      </c>
      <c r="J65" s="14" t="e">
        <f>INDEX('Table of compositions'!G:G,MATCH(E65,'Table of compositions'!H:H,0))</f>
        <v>#N/A</v>
      </c>
    </row>
    <row r="66" spans="3:10" x14ac:dyDescent="0.25">
      <c r="C66" s="27"/>
      <c r="D66"/>
      <c r="E66"/>
      <c r="F66"/>
      <c r="G66"/>
      <c r="H66" s="26"/>
      <c r="I66" s="18" t="e">
        <f t="shared" si="0"/>
        <v>#DIV/0!</v>
      </c>
      <c r="J66" s="14" t="e">
        <f>INDEX('Table of compositions'!G:G,MATCH(E66,'Table of compositions'!H:H,0))</f>
        <v>#N/A</v>
      </c>
    </row>
    <row r="67" spans="3:10" x14ac:dyDescent="0.25">
      <c r="C67" s="27"/>
      <c r="D67"/>
      <c r="E67"/>
      <c r="F67"/>
      <c r="G67"/>
      <c r="H67" s="26"/>
      <c r="I67" s="18" t="e">
        <f t="shared" ref="I67:I130" si="2">H67/SUM(H:H)</f>
        <v>#DIV/0!</v>
      </c>
      <c r="J67" s="14" t="e">
        <f>INDEX('Table of compositions'!G:G,MATCH(E67,'Table of compositions'!H:H,0))</f>
        <v>#N/A</v>
      </c>
    </row>
    <row r="68" spans="3:10" x14ac:dyDescent="0.25">
      <c r="C68" s="27"/>
      <c r="D68"/>
      <c r="E68"/>
      <c r="F68"/>
      <c r="G68"/>
      <c r="H68" s="26"/>
      <c r="I68" s="18" t="e">
        <f t="shared" si="2"/>
        <v>#DIV/0!</v>
      </c>
      <c r="J68" s="14" t="e">
        <f>INDEX('Table of compositions'!G:G,MATCH(E68,'Table of compositions'!H:H,0))</f>
        <v>#N/A</v>
      </c>
    </row>
    <row r="69" spans="3:10" x14ac:dyDescent="0.25">
      <c r="D69"/>
      <c r="E69"/>
      <c r="F69"/>
      <c r="G69"/>
      <c r="H69" s="26"/>
      <c r="I69" s="18" t="e">
        <f t="shared" si="2"/>
        <v>#DIV/0!</v>
      </c>
      <c r="J69" s="14" t="e">
        <f>INDEX('Table of compositions'!G:G,MATCH(E69,'Table of compositions'!H:H,0))</f>
        <v>#N/A</v>
      </c>
    </row>
    <row r="70" spans="3:10" x14ac:dyDescent="0.25">
      <c r="C70" s="27"/>
      <c r="D70"/>
      <c r="E70"/>
      <c r="F70"/>
      <c r="G70"/>
      <c r="H70" s="26"/>
      <c r="I70" s="18" t="e">
        <f t="shared" si="2"/>
        <v>#DIV/0!</v>
      </c>
      <c r="J70" s="14" t="e">
        <f>INDEX('Table of compositions'!G:G,MATCH(E70,'Table of compositions'!H:H,0))</f>
        <v>#N/A</v>
      </c>
    </row>
    <row r="71" spans="3:10" x14ac:dyDescent="0.25">
      <c r="D71"/>
      <c r="E71"/>
      <c r="F71"/>
      <c r="G71"/>
      <c r="H71" s="26"/>
      <c r="I71" s="18" t="e">
        <f t="shared" si="2"/>
        <v>#DIV/0!</v>
      </c>
      <c r="J71" s="14" t="e">
        <f>INDEX('Table of compositions'!G:G,MATCH(E71,'Table of compositions'!H:H,0))</f>
        <v>#N/A</v>
      </c>
    </row>
    <row r="72" spans="3:10" x14ac:dyDescent="0.25">
      <c r="C72" s="27"/>
      <c r="D72"/>
      <c r="E72"/>
      <c r="F72"/>
      <c r="G72"/>
      <c r="H72" s="26"/>
      <c r="I72" s="18" t="e">
        <f t="shared" si="2"/>
        <v>#DIV/0!</v>
      </c>
      <c r="J72" s="14" t="e">
        <f>INDEX('Table of compositions'!G:G,MATCH(E72,'Table of compositions'!H:H,0))</f>
        <v>#N/A</v>
      </c>
    </row>
    <row r="73" spans="3:10" x14ac:dyDescent="0.25">
      <c r="C73" s="27"/>
      <c r="D73"/>
      <c r="E73"/>
      <c r="F73"/>
      <c r="G73"/>
      <c r="H73" s="26"/>
      <c r="I73" s="18" t="e">
        <f t="shared" si="2"/>
        <v>#DIV/0!</v>
      </c>
      <c r="J73" s="14" t="e">
        <f>INDEX('Table of compositions'!G:G,MATCH(E73,'Table of compositions'!H:H,0))</f>
        <v>#N/A</v>
      </c>
    </row>
    <row r="74" spans="3:10" x14ac:dyDescent="0.25">
      <c r="D74"/>
      <c r="E74"/>
      <c r="F74"/>
      <c r="G74"/>
      <c r="H74" s="26"/>
      <c r="I74" s="18" t="e">
        <f t="shared" si="2"/>
        <v>#DIV/0!</v>
      </c>
      <c r="J74" s="14" t="e">
        <f>INDEX('Table of compositions'!G:G,MATCH(E74,'Table of compositions'!H:H,0))</f>
        <v>#N/A</v>
      </c>
    </row>
    <row r="75" spans="3:10" x14ac:dyDescent="0.25">
      <c r="C75" s="27"/>
      <c r="D75"/>
      <c r="E75"/>
      <c r="F75"/>
      <c r="G75"/>
      <c r="H75" s="26"/>
      <c r="I75" s="18" t="e">
        <f t="shared" si="2"/>
        <v>#DIV/0!</v>
      </c>
      <c r="J75" s="14" t="e">
        <f>INDEX('Table of compositions'!G:G,MATCH(E75,'Table of compositions'!H:H,0))</f>
        <v>#N/A</v>
      </c>
    </row>
    <row r="76" spans="3:10" x14ac:dyDescent="0.25">
      <c r="D76"/>
      <c r="E76"/>
      <c r="F76"/>
      <c r="G76"/>
      <c r="H76" s="26"/>
      <c r="I76" s="18" t="e">
        <f t="shared" si="2"/>
        <v>#DIV/0!</v>
      </c>
      <c r="J76" s="14" t="e">
        <f>INDEX('Table of compositions'!G:G,MATCH(E76,'Table of compositions'!H:H,0))</f>
        <v>#N/A</v>
      </c>
    </row>
    <row r="77" spans="3:10" x14ac:dyDescent="0.25">
      <c r="D77"/>
      <c r="E77"/>
      <c r="F77"/>
      <c r="G77"/>
      <c r="H77" s="26"/>
      <c r="I77" s="18" t="e">
        <f t="shared" si="2"/>
        <v>#DIV/0!</v>
      </c>
      <c r="J77" s="14" t="e">
        <f>INDEX('Table of compositions'!G:G,MATCH(E77,'Table of compositions'!H:H,0))</f>
        <v>#N/A</v>
      </c>
    </row>
    <row r="78" spans="3:10" x14ac:dyDescent="0.25">
      <c r="C78" s="27"/>
      <c r="D78"/>
      <c r="E78"/>
      <c r="F78"/>
      <c r="G78"/>
      <c r="H78" s="26"/>
      <c r="I78" s="18" t="e">
        <f t="shared" si="2"/>
        <v>#DIV/0!</v>
      </c>
      <c r="J78" s="14" t="e">
        <f>INDEX('Table of compositions'!G:G,MATCH(E78,'Table of compositions'!H:H,0))</f>
        <v>#N/A</v>
      </c>
    </row>
    <row r="79" spans="3:10" x14ac:dyDescent="0.25">
      <c r="D79"/>
      <c r="E79"/>
      <c r="F79"/>
      <c r="G79"/>
      <c r="H79" s="26"/>
      <c r="I79" s="18" t="e">
        <f t="shared" si="2"/>
        <v>#DIV/0!</v>
      </c>
      <c r="J79" s="14" t="e">
        <f>INDEX('Table of compositions'!G:G,MATCH(E79,'Table of compositions'!H:H,0))</f>
        <v>#N/A</v>
      </c>
    </row>
    <row r="80" spans="3:10" x14ac:dyDescent="0.25">
      <c r="C80" s="27"/>
      <c r="D80"/>
      <c r="E80"/>
      <c r="F80"/>
      <c r="G80"/>
      <c r="H80" s="26"/>
      <c r="I80" s="18" t="e">
        <f t="shared" si="2"/>
        <v>#DIV/0!</v>
      </c>
      <c r="J80" s="14" t="e">
        <f>INDEX('Table of compositions'!G:G,MATCH(E80,'Table of compositions'!H:H,0))</f>
        <v>#N/A</v>
      </c>
    </row>
    <row r="81" spans="3:10" x14ac:dyDescent="0.25">
      <c r="D81"/>
      <c r="E81"/>
      <c r="F81"/>
      <c r="G81"/>
      <c r="H81" s="26"/>
      <c r="I81" s="18" t="e">
        <f t="shared" si="2"/>
        <v>#DIV/0!</v>
      </c>
      <c r="J81" s="14" t="e">
        <f>INDEX('Table of compositions'!G:G,MATCH(E81,'Table of compositions'!H:H,0))</f>
        <v>#N/A</v>
      </c>
    </row>
    <row r="82" spans="3:10" x14ac:dyDescent="0.25">
      <c r="C82" s="27"/>
      <c r="D82"/>
      <c r="E82"/>
      <c r="F82"/>
      <c r="G82"/>
      <c r="H82" s="26"/>
      <c r="I82" s="18" t="e">
        <f t="shared" si="2"/>
        <v>#DIV/0!</v>
      </c>
      <c r="J82" s="14" t="e">
        <f>INDEX('Table of compositions'!G:G,MATCH(E82,'Table of compositions'!H:H,0))</f>
        <v>#N/A</v>
      </c>
    </row>
    <row r="83" spans="3:10" x14ac:dyDescent="0.25">
      <c r="D83"/>
      <c r="E83"/>
      <c r="F83"/>
      <c r="G83"/>
      <c r="H83" s="26"/>
      <c r="I83" s="18" t="e">
        <f t="shared" si="2"/>
        <v>#DIV/0!</v>
      </c>
      <c r="J83" s="14" t="e">
        <f>INDEX('Table of compositions'!G:G,MATCH(E83,'Table of compositions'!H:H,0))</f>
        <v>#N/A</v>
      </c>
    </row>
    <row r="84" spans="3:10" x14ac:dyDescent="0.25">
      <c r="C84" s="27"/>
      <c r="D84"/>
      <c r="E84"/>
      <c r="F84"/>
      <c r="G84"/>
      <c r="H84" s="26"/>
      <c r="I84" s="18" t="e">
        <f t="shared" si="2"/>
        <v>#DIV/0!</v>
      </c>
      <c r="J84" s="14" t="e">
        <f>INDEX('Table of compositions'!G:G,MATCH(E84,'Table of compositions'!H:H,0))</f>
        <v>#N/A</v>
      </c>
    </row>
    <row r="85" spans="3:10" x14ac:dyDescent="0.25">
      <c r="D85"/>
      <c r="E85"/>
      <c r="F85"/>
      <c r="G85"/>
      <c r="H85" s="26"/>
      <c r="I85" s="18" t="e">
        <f t="shared" si="2"/>
        <v>#DIV/0!</v>
      </c>
      <c r="J85" s="14" t="e">
        <f>INDEX('Table of compositions'!G:G,MATCH(E85,'Table of compositions'!H:H,0))</f>
        <v>#N/A</v>
      </c>
    </row>
    <row r="86" spans="3:10" x14ac:dyDescent="0.25">
      <c r="C86" s="27"/>
      <c r="D86"/>
      <c r="E86"/>
      <c r="F86"/>
      <c r="G86"/>
      <c r="H86" s="26"/>
      <c r="I86" s="18" t="e">
        <f t="shared" si="2"/>
        <v>#DIV/0!</v>
      </c>
      <c r="J86" s="14" t="e">
        <f>INDEX('Table of compositions'!G:G,MATCH(E86,'Table of compositions'!H:H,0))</f>
        <v>#N/A</v>
      </c>
    </row>
    <row r="87" spans="3:10" x14ac:dyDescent="0.25">
      <c r="D87"/>
      <c r="E87"/>
      <c r="F87"/>
      <c r="G87"/>
      <c r="H87" s="26"/>
      <c r="I87" s="18" t="e">
        <f t="shared" si="2"/>
        <v>#DIV/0!</v>
      </c>
      <c r="J87" s="14" t="e">
        <f>INDEX('Table of compositions'!G:G,MATCH(E87,'Table of compositions'!H:H,0))</f>
        <v>#N/A</v>
      </c>
    </row>
    <row r="88" spans="3:10" x14ac:dyDescent="0.25">
      <c r="D88"/>
      <c r="E88"/>
      <c r="F88"/>
      <c r="G88"/>
      <c r="H88" s="26"/>
      <c r="I88" s="18" t="e">
        <f t="shared" si="2"/>
        <v>#DIV/0!</v>
      </c>
      <c r="J88" s="14" t="e">
        <f>INDEX('Table of compositions'!G:G,MATCH(E88,'Table of compositions'!H:H,0))</f>
        <v>#N/A</v>
      </c>
    </row>
    <row r="89" spans="3:10" x14ac:dyDescent="0.25">
      <c r="C89" s="27"/>
      <c r="D89"/>
      <c r="E89"/>
      <c r="F89"/>
      <c r="G89"/>
      <c r="H89" s="26"/>
      <c r="I89" s="18" t="e">
        <f t="shared" si="2"/>
        <v>#DIV/0!</v>
      </c>
      <c r="J89" s="14" t="e">
        <f>INDEX('Table of compositions'!G:G,MATCH(E89,'Table of compositions'!H:H,0))</f>
        <v>#N/A</v>
      </c>
    </row>
    <row r="90" spans="3:10" x14ac:dyDescent="0.25">
      <c r="D90"/>
      <c r="E90"/>
      <c r="F90"/>
      <c r="G90"/>
      <c r="H90" s="26"/>
      <c r="I90" s="18" t="e">
        <f t="shared" si="2"/>
        <v>#DIV/0!</v>
      </c>
      <c r="J90" s="14" t="e">
        <f>INDEX('Table of compositions'!G:G,MATCH(E90,'Table of compositions'!H:H,0))</f>
        <v>#N/A</v>
      </c>
    </row>
    <row r="91" spans="3:10" x14ac:dyDescent="0.25">
      <c r="C91" s="27"/>
      <c r="D91"/>
      <c r="E91"/>
      <c r="F91"/>
      <c r="G91"/>
      <c r="H91" s="26"/>
      <c r="I91" s="18" t="e">
        <f t="shared" si="2"/>
        <v>#DIV/0!</v>
      </c>
      <c r="J91" s="14" t="e">
        <f>INDEX('Table of compositions'!G:G,MATCH(E91,'Table of compositions'!H:H,0))</f>
        <v>#N/A</v>
      </c>
    </row>
    <row r="92" spans="3:10" x14ac:dyDescent="0.25">
      <c r="C92" s="27"/>
      <c r="D92"/>
      <c r="E92"/>
      <c r="F92"/>
      <c r="G92"/>
      <c r="H92" s="26"/>
      <c r="I92" s="18" t="e">
        <f t="shared" si="2"/>
        <v>#DIV/0!</v>
      </c>
      <c r="J92" s="14" t="e">
        <f>INDEX('Table of compositions'!G:G,MATCH(E92,'Table of compositions'!H:H,0))</f>
        <v>#N/A</v>
      </c>
    </row>
    <row r="93" spans="3:10" x14ac:dyDescent="0.25">
      <c r="D93"/>
      <c r="E93"/>
      <c r="F93"/>
      <c r="G93"/>
      <c r="H93" s="26"/>
      <c r="I93" s="18" t="e">
        <f t="shared" si="2"/>
        <v>#DIV/0!</v>
      </c>
      <c r="J93" s="14" t="e">
        <f>INDEX('Table of compositions'!G:G,MATCH(E93,'Table of compositions'!H:H,0))</f>
        <v>#N/A</v>
      </c>
    </row>
    <row r="94" spans="3:10" x14ac:dyDescent="0.25">
      <c r="C94" s="27"/>
      <c r="D94"/>
      <c r="E94"/>
      <c r="F94"/>
      <c r="G94"/>
      <c r="H94" s="26"/>
      <c r="I94" s="18" t="e">
        <f t="shared" si="2"/>
        <v>#DIV/0!</v>
      </c>
      <c r="J94" s="14" t="e">
        <f>INDEX('Table of compositions'!G:G,MATCH(E94,'Table of compositions'!H:H,0))</f>
        <v>#N/A</v>
      </c>
    </row>
    <row r="95" spans="3:10" x14ac:dyDescent="0.25">
      <c r="D95"/>
      <c r="E95"/>
      <c r="F95"/>
      <c r="G95"/>
      <c r="H95" s="26"/>
      <c r="I95" s="18" t="e">
        <f t="shared" si="2"/>
        <v>#DIV/0!</v>
      </c>
      <c r="J95" s="14" t="e">
        <f>INDEX('Table of compositions'!G:G,MATCH(E95,'Table of compositions'!H:H,0))</f>
        <v>#N/A</v>
      </c>
    </row>
    <row r="96" spans="3:10" x14ac:dyDescent="0.25">
      <c r="C96" s="27"/>
      <c r="D96"/>
      <c r="E96"/>
      <c r="F96"/>
      <c r="G96"/>
      <c r="H96" s="26"/>
      <c r="I96" s="18" t="e">
        <f t="shared" si="2"/>
        <v>#DIV/0!</v>
      </c>
      <c r="J96" s="14" t="e">
        <f>INDEX('Table of compositions'!G:G,MATCH(E96,'Table of compositions'!H:H,0))</f>
        <v>#N/A</v>
      </c>
    </row>
    <row r="97" spans="3:10" x14ac:dyDescent="0.25">
      <c r="D97"/>
      <c r="E97"/>
      <c r="F97"/>
      <c r="G97"/>
      <c r="H97" s="26"/>
      <c r="I97" s="18" t="e">
        <f t="shared" si="2"/>
        <v>#DIV/0!</v>
      </c>
      <c r="J97" s="14" t="e">
        <f>INDEX('Table of compositions'!G:G,MATCH(E97,'Table of compositions'!H:H,0))</f>
        <v>#N/A</v>
      </c>
    </row>
    <row r="98" spans="3:10" x14ac:dyDescent="0.25">
      <c r="C98" s="27"/>
      <c r="D98"/>
      <c r="E98"/>
      <c r="F98"/>
      <c r="G98"/>
      <c r="H98" s="26"/>
      <c r="I98" s="18" t="e">
        <f t="shared" si="2"/>
        <v>#DIV/0!</v>
      </c>
      <c r="J98" s="14" t="e">
        <f>INDEX('Table of compositions'!G:G,MATCH(E98,'Table of compositions'!H:H,0))</f>
        <v>#N/A</v>
      </c>
    </row>
    <row r="99" spans="3:10" x14ac:dyDescent="0.25">
      <c r="D99"/>
      <c r="E99"/>
      <c r="F99"/>
      <c r="G99"/>
      <c r="H99" s="26"/>
      <c r="I99" s="18" t="e">
        <f t="shared" si="2"/>
        <v>#DIV/0!</v>
      </c>
      <c r="J99" s="14" t="e">
        <f>INDEX('Table of compositions'!G:G,MATCH(E99,'Table of compositions'!H:H,0))</f>
        <v>#N/A</v>
      </c>
    </row>
    <row r="100" spans="3:10" x14ac:dyDescent="0.25">
      <c r="C100" s="27"/>
      <c r="D100"/>
      <c r="E100"/>
      <c r="F100"/>
      <c r="G100"/>
      <c r="H100" s="26"/>
      <c r="I100" s="18" t="e">
        <f t="shared" si="2"/>
        <v>#DIV/0!</v>
      </c>
      <c r="J100" s="14" t="e">
        <f>INDEX('Table of compositions'!G:G,MATCH(E100,'Table of compositions'!H:H,0))</f>
        <v>#N/A</v>
      </c>
    </row>
    <row r="101" spans="3:10" x14ac:dyDescent="0.25">
      <c r="D101"/>
      <c r="E101"/>
      <c r="F101"/>
      <c r="G101"/>
      <c r="H101" s="26"/>
      <c r="I101" s="18" t="e">
        <f t="shared" si="2"/>
        <v>#DIV/0!</v>
      </c>
      <c r="J101" s="14" t="e">
        <f>INDEX('Table of compositions'!G:G,MATCH(E101,'Table of compositions'!H:H,0))</f>
        <v>#N/A</v>
      </c>
    </row>
    <row r="102" spans="3:10" x14ac:dyDescent="0.25">
      <c r="C102" s="27"/>
      <c r="D102"/>
      <c r="E102"/>
      <c r="F102"/>
      <c r="G102"/>
      <c r="H102" s="26"/>
      <c r="I102" s="18" t="e">
        <f t="shared" si="2"/>
        <v>#DIV/0!</v>
      </c>
      <c r="J102" s="14" t="e">
        <f>INDEX('Table of compositions'!G:G,MATCH(E102,'Table of compositions'!H:H,0))</f>
        <v>#N/A</v>
      </c>
    </row>
    <row r="103" spans="3:10" x14ac:dyDescent="0.25">
      <c r="D103"/>
      <c r="E103"/>
      <c r="F103"/>
      <c r="G103"/>
      <c r="H103" s="26"/>
      <c r="I103" s="18" t="e">
        <f t="shared" si="2"/>
        <v>#DIV/0!</v>
      </c>
      <c r="J103" s="14" t="e">
        <f>INDEX('Table of compositions'!G:G,MATCH(E103,'Table of compositions'!H:H,0))</f>
        <v>#N/A</v>
      </c>
    </row>
    <row r="104" spans="3:10" x14ac:dyDescent="0.25">
      <c r="C104" s="27"/>
      <c r="D104"/>
      <c r="E104"/>
      <c r="F104"/>
      <c r="G104"/>
      <c r="H104" s="26"/>
      <c r="I104" s="18" t="e">
        <f t="shared" si="2"/>
        <v>#DIV/0!</v>
      </c>
      <c r="J104" s="14" t="e">
        <f>INDEX('Table of compositions'!G:G,MATCH(E104,'Table of compositions'!H:H,0))</f>
        <v>#N/A</v>
      </c>
    </row>
    <row r="105" spans="3:10" x14ac:dyDescent="0.25">
      <c r="D105"/>
      <c r="E105"/>
      <c r="F105"/>
      <c r="G105"/>
      <c r="H105" s="26"/>
      <c r="I105" s="18" t="e">
        <f t="shared" si="2"/>
        <v>#DIV/0!</v>
      </c>
      <c r="J105" s="14" t="e">
        <f>INDEX('Table of compositions'!G:G,MATCH(E105,'Table of compositions'!H:H,0))</f>
        <v>#N/A</v>
      </c>
    </row>
    <row r="106" spans="3:10" x14ac:dyDescent="0.25">
      <c r="D106"/>
      <c r="E106"/>
      <c r="F106"/>
      <c r="G106"/>
      <c r="H106" s="26"/>
      <c r="I106" s="18" t="e">
        <f t="shared" si="2"/>
        <v>#DIV/0!</v>
      </c>
      <c r="J106" s="14" t="e">
        <f>INDEX('Table of compositions'!G:G,MATCH(E106,'Table of compositions'!H:H,0))</f>
        <v>#N/A</v>
      </c>
    </row>
    <row r="107" spans="3:10" x14ac:dyDescent="0.25">
      <c r="C107" s="27"/>
      <c r="D107"/>
      <c r="E107"/>
      <c r="F107"/>
      <c r="G107"/>
      <c r="H107" s="26"/>
      <c r="I107" s="18" t="e">
        <f t="shared" si="2"/>
        <v>#DIV/0!</v>
      </c>
      <c r="J107" s="14" t="e">
        <f>INDEX('Table of compositions'!G:G,MATCH(E107,'Table of compositions'!H:H,0))</f>
        <v>#N/A</v>
      </c>
    </row>
    <row r="108" spans="3:10" x14ac:dyDescent="0.25">
      <c r="D108"/>
      <c r="E108"/>
      <c r="F108"/>
      <c r="G108"/>
      <c r="H108" s="26"/>
      <c r="I108" s="18" t="e">
        <f t="shared" si="2"/>
        <v>#DIV/0!</v>
      </c>
      <c r="J108" s="14" t="e">
        <f>INDEX('Table of compositions'!G:G,MATCH(E108,'Table of compositions'!H:H,0))</f>
        <v>#N/A</v>
      </c>
    </row>
    <row r="109" spans="3:10" x14ac:dyDescent="0.25">
      <c r="C109" s="27"/>
      <c r="D109"/>
      <c r="E109"/>
      <c r="F109"/>
      <c r="G109"/>
      <c r="H109" s="26"/>
      <c r="I109" s="18" t="e">
        <f t="shared" si="2"/>
        <v>#DIV/0!</v>
      </c>
      <c r="J109" s="14" t="e">
        <f>INDEX('Table of compositions'!G:G,MATCH(E109,'Table of compositions'!H:H,0))</f>
        <v>#N/A</v>
      </c>
    </row>
    <row r="110" spans="3:10" x14ac:dyDescent="0.25">
      <c r="C110" s="27"/>
      <c r="D110"/>
      <c r="E110"/>
      <c r="F110"/>
      <c r="G110"/>
      <c r="H110" s="26"/>
      <c r="I110" s="18" t="e">
        <f t="shared" si="2"/>
        <v>#DIV/0!</v>
      </c>
      <c r="J110" s="14" t="e">
        <f>INDEX('Table of compositions'!G:G,MATCH(E110,'Table of compositions'!H:H,0))</f>
        <v>#N/A</v>
      </c>
    </row>
    <row r="111" spans="3:10" x14ac:dyDescent="0.25">
      <c r="D111"/>
      <c r="E111"/>
      <c r="F111"/>
      <c r="G111"/>
      <c r="H111" s="26"/>
      <c r="I111" s="18" t="e">
        <f t="shared" si="2"/>
        <v>#DIV/0!</v>
      </c>
      <c r="J111" s="14" t="e">
        <f>INDEX('Table of compositions'!G:G,MATCH(E111,'Table of compositions'!H:H,0))</f>
        <v>#N/A</v>
      </c>
    </row>
    <row r="112" spans="3:10" x14ac:dyDescent="0.25">
      <c r="D112"/>
      <c r="E112"/>
      <c r="F112"/>
      <c r="G112"/>
      <c r="H112" s="26"/>
      <c r="I112" s="18" t="e">
        <f t="shared" si="2"/>
        <v>#DIV/0!</v>
      </c>
      <c r="J112" s="14" t="e">
        <f>INDEX('Table of compositions'!G:G,MATCH(E112,'Table of compositions'!H:H,0))</f>
        <v>#N/A</v>
      </c>
    </row>
    <row r="113" spans="3:10" x14ac:dyDescent="0.25">
      <c r="D113"/>
      <c r="E113"/>
      <c r="F113"/>
      <c r="G113"/>
      <c r="H113" s="26"/>
      <c r="I113" s="18" t="e">
        <f t="shared" si="2"/>
        <v>#DIV/0!</v>
      </c>
      <c r="J113" s="14" t="e">
        <f>INDEX('Table of compositions'!G:G,MATCH(E113,'Table of compositions'!H:H,0))</f>
        <v>#N/A</v>
      </c>
    </row>
    <row r="114" spans="3:10" x14ac:dyDescent="0.25">
      <c r="C114" s="27"/>
      <c r="D114"/>
      <c r="E114"/>
      <c r="F114"/>
      <c r="G114"/>
      <c r="H114" s="26"/>
      <c r="I114" s="18" t="e">
        <f t="shared" si="2"/>
        <v>#DIV/0!</v>
      </c>
      <c r="J114" s="14" t="e">
        <f>INDEX('Table of compositions'!G:G,MATCH(E114,'Table of compositions'!H:H,0))</f>
        <v>#N/A</v>
      </c>
    </row>
    <row r="115" spans="3:10" x14ac:dyDescent="0.25">
      <c r="D115"/>
      <c r="E115"/>
      <c r="F115"/>
      <c r="G115"/>
      <c r="H115" s="26"/>
      <c r="I115" s="18" t="e">
        <f t="shared" si="2"/>
        <v>#DIV/0!</v>
      </c>
      <c r="J115" s="14" t="e">
        <f>INDEX('Table of compositions'!G:G,MATCH(E115,'Table of compositions'!H:H,0))</f>
        <v>#N/A</v>
      </c>
    </row>
    <row r="116" spans="3:10" x14ac:dyDescent="0.25">
      <c r="C116" s="27"/>
      <c r="D116"/>
      <c r="E116"/>
      <c r="F116"/>
      <c r="G116"/>
      <c r="H116" s="26"/>
      <c r="I116" s="18" t="e">
        <f t="shared" si="2"/>
        <v>#DIV/0!</v>
      </c>
      <c r="J116" s="14" t="e">
        <f>INDEX('Table of compositions'!G:G,MATCH(E116,'Table of compositions'!H:H,0))</f>
        <v>#N/A</v>
      </c>
    </row>
    <row r="117" spans="3:10" x14ac:dyDescent="0.25">
      <c r="C117" s="27"/>
      <c r="D117"/>
      <c r="E117"/>
      <c r="F117"/>
      <c r="G117"/>
      <c r="H117" s="26"/>
      <c r="I117" s="18" t="e">
        <f t="shared" si="2"/>
        <v>#DIV/0!</v>
      </c>
      <c r="J117" s="14" t="e">
        <f>INDEX('Table of compositions'!G:G,MATCH(E117,'Table of compositions'!H:H,0))</f>
        <v>#N/A</v>
      </c>
    </row>
    <row r="118" spans="3:10" x14ac:dyDescent="0.25">
      <c r="D118"/>
      <c r="E118"/>
      <c r="F118"/>
      <c r="G118"/>
      <c r="H118" s="26"/>
      <c r="I118" s="18" t="e">
        <f t="shared" si="2"/>
        <v>#DIV/0!</v>
      </c>
      <c r="J118" s="14" t="e">
        <f>INDEX('Table of compositions'!G:G,MATCH(E118,'Table of compositions'!H:H,0))</f>
        <v>#N/A</v>
      </c>
    </row>
    <row r="119" spans="3:10" x14ac:dyDescent="0.25">
      <c r="D119"/>
      <c r="E119"/>
      <c r="F119"/>
      <c r="G119"/>
      <c r="H119" s="26"/>
      <c r="I119" s="18" t="e">
        <f t="shared" si="2"/>
        <v>#DIV/0!</v>
      </c>
      <c r="J119" s="14" t="e">
        <f>INDEX('Table of compositions'!G:G,MATCH(E119,'Table of compositions'!H:H,0))</f>
        <v>#N/A</v>
      </c>
    </row>
    <row r="120" spans="3:10" x14ac:dyDescent="0.25">
      <c r="C120" s="27"/>
      <c r="D120"/>
      <c r="E120"/>
      <c r="F120"/>
      <c r="G120"/>
      <c r="H120" s="26"/>
      <c r="I120" s="18" t="e">
        <f t="shared" si="2"/>
        <v>#DIV/0!</v>
      </c>
      <c r="J120" s="14" t="e">
        <f>INDEX('Table of compositions'!G:G,MATCH(E120,'Table of compositions'!H:H,0))</f>
        <v>#N/A</v>
      </c>
    </row>
    <row r="121" spans="3:10" x14ac:dyDescent="0.25">
      <c r="C121" s="27"/>
      <c r="D121"/>
      <c r="E121"/>
      <c r="F121"/>
      <c r="G121"/>
      <c r="H121" s="26"/>
      <c r="I121" s="18" t="e">
        <f t="shared" si="2"/>
        <v>#DIV/0!</v>
      </c>
      <c r="J121" s="14" t="e">
        <f>INDEX('Table of compositions'!G:G,MATCH(E121,'Table of compositions'!H:H,0))</f>
        <v>#N/A</v>
      </c>
    </row>
    <row r="122" spans="3:10" x14ac:dyDescent="0.25">
      <c r="C122" s="27"/>
      <c r="D122"/>
      <c r="E122"/>
      <c r="F122"/>
      <c r="G122"/>
      <c r="H122" s="26"/>
      <c r="I122" s="18" t="e">
        <f t="shared" si="2"/>
        <v>#DIV/0!</v>
      </c>
      <c r="J122" s="14" t="e">
        <f>INDEX('Table of compositions'!G:G,MATCH(E122,'Table of compositions'!H:H,0))</f>
        <v>#N/A</v>
      </c>
    </row>
    <row r="123" spans="3:10" x14ac:dyDescent="0.25">
      <c r="D123"/>
      <c r="E123"/>
      <c r="F123"/>
      <c r="G123"/>
      <c r="H123" s="26"/>
      <c r="I123" s="18" t="e">
        <f t="shared" si="2"/>
        <v>#DIV/0!</v>
      </c>
      <c r="J123" s="14" t="e">
        <f>INDEX('Table of compositions'!G:G,MATCH(E123,'Table of compositions'!H:H,0))</f>
        <v>#N/A</v>
      </c>
    </row>
    <row r="124" spans="3:10" x14ac:dyDescent="0.25">
      <c r="C124" s="27"/>
      <c r="D124"/>
      <c r="E124"/>
      <c r="F124"/>
      <c r="G124"/>
      <c r="H124" s="26"/>
      <c r="I124" s="18" t="e">
        <f t="shared" si="2"/>
        <v>#DIV/0!</v>
      </c>
      <c r="J124" s="14" t="e">
        <f>INDEX('Table of compositions'!G:G,MATCH(E124,'Table of compositions'!H:H,0))</f>
        <v>#N/A</v>
      </c>
    </row>
    <row r="125" spans="3:10" x14ac:dyDescent="0.25">
      <c r="D125"/>
      <c r="E125"/>
      <c r="F125"/>
      <c r="G125"/>
      <c r="H125" s="26"/>
      <c r="I125" s="18" t="e">
        <f t="shared" si="2"/>
        <v>#DIV/0!</v>
      </c>
      <c r="J125" s="14" t="e">
        <f>INDEX('Table of compositions'!G:G,MATCH(E125,'Table of compositions'!H:H,0))</f>
        <v>#N/A</v>
      </c>
    </row>
    <row r="126" spans="3:10" x14ac:dyDescent="0.25">
      <c r="D126"/>
      <c r="E126"/>
      <c r="F126"/>
      <c r="G126"/>
      <c r="H126" s="26"/>
      <c r="I126" s="18" t="e">
        <f t="shared" si="2"/>
        <v>#DIV/0!</v>
      </c>
      <c r="J126" s="14" t="e">
        <f>INDEX('Table of compositions'!G:G,MATCH(E126,'Table of compositions'!H:H,0))</f>
        <v>#N/A</v>
      </c>
    </row>
    <row r="127" spans="3:10" x14ac:dyDescent="0.25">
      <c r="C127" s="27"/>
      <c r="D127"/>
      <c r="E127"/>
      <c r="F127"/>
      <c r="G127"/>
      <c r="H127" s="26"/>
      <c r="I127" s="18" t="e">
        <f t="shared" si="2"/>
        <v>#DIV/0!</v>
      </c>
      <c r="J127" s="14" t="e">
        <f>INDEX('Table of compositions'!G:G,MATCH(E127,'Table of compositions'!H:H,0))</f>
        <v>#N/A</v>
      </c>
    </row>
    <row r="128" spans="3:10" x14ac:dyDescent="0.25">
      <c r="D128"/>
      <c r="E128"/>
      <c r="F128"/>
      <c r="G128"/>
      <c r="H128" s="26"/>
      <c r="I128" s="18" t="e">
        <f t="shared" si="2"/>
        <v>#DIV/0!</v>
      </c>
      <c r="J128" s="14" t="e">
        <f>INDEX('Table of compositions'!G:G,MATCH(E128,'Table of compositions'!H:H,0))</f>
        <v>#N/A</v>
      </c>
    </row>
    <row r="129" spans="9:10" x14ac:dyDescent="0.25">
      <c r="I129" s="18" t="e">
        <f t="shared" si="2"/>
        <v>#DIV/0!</v>
      </c>
      <c r="J129" s="14" t="e">
        <f>INDEX('Table of compositions'!G:G,MATCH(E129,'Table of compositions'!H:H,0))</f>
        <v>#N/A</v>
      </c>
    </row>
    <row r="130" spans="9:10" x14ac:dyDescent="0.25">
      <c r="I130" s="18" t="e">
        <f t="shared" si="2"/>
        <v>#DIV/0!</v>
      </c>
      <c r="J130" s="14" t="e">
        <f>INDEX('Table of compositions'!G:G,MATCH(E130,'Table of compositions'!H:H,0))</f>
        <v>#N/A</v>
      </c>
    </row>
    <row r="131" spans="9:10" x14ac:dyDescent="0.25">
      <c r="I131" s="18" t="e">
        <f t="shared" ref="I131:I194" si="3">H131/SUM(H:H)</f>
        <v>#DIV/0!</v>
      </c>
      <c r="J131" s="14" t="e">
        <f>INDEX('Table of compositions'!G:G,MATCH(E131,'Table of compositions'!H:H,0))</f>
        <v>#N/A</v>
      </c>
    </row>
    <row r="132" spans="9:10" x14ac:dyDescent="0.25">
      <c r="I132" s="18" t="e">
        <f t="shared" si="3"/>
        <v>#DIV/0!</v>
      </c>
      <c r="J132" s="14" t="e">
        <f>INDEX('Table of compositions'!G:G,MATCH(E132,'Table of compositions'!H:H,0))</f>
        <v>#N/A</v>
      </c>
    </row>
    <row r="133" spans="9:10" x14ac:dyDescent="0.25">
      <c r="I133" s="18" t="e">
        <f t="shared" si="3"/>
        <v>#DIV/0!</v>
      </c>
      <c r="J133" s="14" t="e">
        <f>INDEX('Table of compositions'!G:G,MATCH(E133,'Table of compositions'!H:H,0))</f>
        <v>#N/A</v>
      </c>
    </row>
    <row r="134" spans="9:10" x14ac:dyDescent="0.25">
      <c r="I134" s="18" t="e">
        <f t="shared" si="3"/>
        <v>#DIV/0!</v>
      </c>
      <c r="J134" s="14" t="e">
        <f>INDEX('Table of compositions'!G:G,MATCH(E134,'Table of compositions'!H:H,0))</f>
        <v>#N/A</v>
      </c>
    </row>
    <row r="135" spans="9:10" x14ac:dyDescent="0.25">
      <c r="I135" s="18" t="e">
        <f t="shared" si="3"/>
        <v>#DIV/0!</v>
      </c>
      <c r="J135" s="14" t="e">
        <f>INDEX('Table of compositions'!G:G,MATCH(E135,'Table of compositions'!H:H,0))</f>
        <v>#N/A</v>
      </c>
    </row>
    <row r="136" spans="9:10" x14ac:dyDescent="0.25">
      <c r="I136" s="18" t="e">
        <f t="shared" si="3"/>
        <v>#DIV/0!</v>
      </c>
      <c r="J136" s="14" t="e">
        <f>INDEX('Table of compositions'!G:G,MATCH(E136,'Table of compositions'!H:H,0))</f>
        <v>#N/A</v>
      </c>
    </row>
    <row r="137" spans="9:10" x14ac:dyDescent="0.25">
      <c r="I137" s="18" t="e">
        <f t="shared" si="3"/>
        <v>#DIV/0!</v>
      </c>
      <c r="J137" s="14" t="e">
        <f>INDEX('Table of compositions'!G:G,MATCH(E137,'Table of compositions'!H:H,0))</f>
        <v>#N/A</v>
      </c>
    </row>
    <row r="138" spans="9:10" x14ac:dyDescent="0.25">
      <c r="I138" s="18" t="e">
        <f t="shared" si="3"/>
        <v>#DIV/0!</v>
      </c>
      <c r="J138" s="14" t="e">
        <f>INDEX('Table of compositions'!G:G,MATCH(E138,'Table of compositions'!H:H,0))</f>
        <v>#N/A</v>
      </c>
    </row>
    <row r="139" spans="9:10" x14ac:dyDescent="0.25">
      <c r="I139" s="18" t="e">
        <f t="shared" si="3"/>
        <v>#DIV/0!</v>
      </c>
      <c r="J139" s="14" t="e">
        <f>INDEX('Table of compositions'!G:G,MATCH(E139,'Table of compositions'!H:H,0))</f>
        <v>#N/A</v>
      </c>
    </row>
    <row r="140" spans="9:10" x14ac:dyDescent="0.25">
      <c r="I140" s="18" t="e">
        <f t="shared" si="3"/>
        <v>#DIV/0!</v>
      </c>
      <c r="J140" s="14" t="e">
        <f>INDEX('Table of compositions'!G:G,MATCH(E140,'Table of compositions'!H:H,0))</f>
        <v>#N/A</v>
      </c>
    </row>
    <row r="141" spans="9:10" x14ac:dyDescent="0.25">
      <c r="I141" s="18" t="e">
        <f t="shared" si="3"/>
        <v>#DIV/0!</v>
      </c>
      <c r="J141" s="14" t="e">
        <f>INDEX('Table of compositions'!G:G,MATCH(E141,'Table of compositions'!H:H,0))</f>
        <v>#N/A</v>
      </c>
    </row>
    <row r="142" spans="9:10" x14ac:dyDescent="0.25">
      <c r="I142" s="18" t="e">
        <f t="shared" si="3"/>
        <v>#DIV/0!</v>
      </c>
      <c r="J142" s="14" t="e">
        <f>INDEX('Table of compositions'!G:G,MATCH(E142,'Table of compositions'!H:H,0))</f>
        <v>#N/A</v>
      </c>
    </row>
    <row r="143" spans="9:10" x14ac:dyDescent="0.25">
      <c r="I143" s="18" t="e">
        <f t="shared" si="3"/>
        <v>#DIV/0!</v>
      </c>
      <c r="J143" s="14" t="e">
        <f>INDEX('Table of compositions'!G:G,MATCH(E143,'Table of compositions'!H:H,0))</f>
        <v>#N/A</v>
      </c>
    </row>
    <row r="144" spans="9:10" x14ac:dyDescent="0.25">
      <c r="I144" s="18" t="e">
        <f t="shared" si="3"/>
        <v>#DIV/0!</v>
      </c>
      <c r="J144" s="14" t="e">
        <f>INDEX('Table of compositions'!G:G,MATCH(E144,'Table of compositions'!H:H,0))</f>
        <v>#N/A</v>
      </c>
    </row>
    <row r="145" spans="9:10" x14ac:dyDescent="0.25">
      <c r="I145" s="18" t="e">
        <f t="shared" si="3"/>
        <v>#DIV/0!</v>
      </c>
      <c r="J145" s="14" t="e">
        <f>INDEX('Table of compositions'!G:G,MATCH(E145,'Table of compositions'!H:H,0))</f>
        <v>#N/A</v>
      </c>
    </row>
    <row r="146" spans="9:10" x14ac:dyDescent="0.25">
      <c r="I146" s="18" t="e">
        <f t="shared" si="3"/>
        <v>#DIV/0!</v>
      </c>
      <c r="J146" s="14" t="e">
        <f>INDEX('Table of compositions'!G:G,MATCH(E146,'Table of compositions'!H:H,0))</f>
        <v>#N/A</v>
      </c>
    </row>
    <row r="147" spans="9:10" x14ac:dyDescent="0.25">
      <c r="I147" s="18" t="e">
        <f t="shared" si="3"/>
        <v>#DIV/0!</v>
      </c>
      <c r="J147" s="14" t="e">
        <f>INDEX('Table of compositions'!G:G,MATCH(E147,'Table of compositions'!H:H,0))</f>
        <v>#N/A</v>
      </c>
    </row>
    <row r="148" spans="9:10" x14ac:dyDescent="0.25">
      <c r="I148" s="18" t="e">
        <f t="shared" si="3"/>
        <v>#DIV/0!</v>
      </c>
      <c r="J148" s="14" t="e">
        <f>INDEX('Table of compositions'!G:G,MATCH(E148,'Table of compositions'!H:H,0))</f>
        <v>#N/A</v>
      </c>
    </row>
    <row r="149" spans="9:10" x14ac:dyDescent="0.25">
      <c r="I149" s="18" t="e">
        <f t="shared" si="3"/>
        <v>#DIV/0!</v>
      </c>
      <c r="J149" s="14" t="e">
        <f>INDEX('Table of compositions'!G:G,MATCH(E149,'Table of compositions'!H:H,0))</f>
        <v>#N/A</v>
      </c>
    </row>
    <row r="150" spans="9:10" x14ac:dyDescent="0.25">
      <c r="I150" s="18" t="e">
        <f t="shared" si="3"/>
        <v>#DIV/0!</v>
      </c>
      <c r="J150" s="14" t="e">
        <f>INDEX('Table of compositions'!G:G,MATCH(E150,'Table of compositions'!H:H,0))</f>
        <v>#N/A</v>
      </c>
    </row>
    <row r="151" spans="9:10" x14ac:dyDescent="0.25">
      <c r="I151" s="18" t="e">
        <f t="shared" si="3"/>
        <v>#DIV/0!</v>
      </c>
      <c r="J151" s="14" t="e">
        <f>INDEX('Table of compositions'!G:G,MATCH(E151,'Table of compositions'!H:H,0))</f>
        <v>#N/A</v>
      </c>
    </row>
    <row r="152" spans="9:10" x14ac:dyDescent="0.25">
      <c r="I152" s="18" t="e">
        <f t="shared" si="3"/>
        <v>#DIV/0!</v>
      </c>
      <c r="J152" s="14" t="e">
        <f>INDEX('Table of compositions'!G:G,MATCH(E152,'Table of compositions'!H:H,0))</f>
        <v>#N/A</v>
      </c>
    </row>
    <row r="153" spans="9:10" x14ac:dyDescent="0.25">
      <c r="I153" s="18" t="e">
        <f t="shared" si="3"/>
        <v>#DIV/0!</v>
      </c>
      <c r="J153" s="14" t="e">
        <f>INDEX('Table of compositions'!G:G,MATCH(E153,'Table of compositions'!H:H,0))</f>
        <v>#N/A</v>
      </c>
    </row>
    <row r="154" spans="9:10" x14ac:dyDescent="0.25">
      <c r="I154" s="18" t="e">
        <f t="shared" si="3"/>
        <v>#DIV/0!</v>
      </c>
      <c r="J154" s="14" t="e">
        <f>INDEX('Table of compositions'!G:G,MATCH(E154,'Table of compositions'!H:H,0))</f>
        <v>#N/A</v>
      </c>
    </row>
    <row r="155" spans="9:10" x14ac:dyDescent="0.25">
      <c r="I155" s="18" t="e">
        <f t="shared" si="3"/>
        <v>#DIV/0!</v>
      </c>
      <c r="J155" s="14" t="e">
        <f>INDEX('Table of compositions'!G:G,MATCH(E155,'Table of compositions'!H:H,0))</f>
        <v>#N/A</v>
      </c>
    </row>
    <row r="156" spans="9:10" x14ac:dyDescent="0.25">
      <c r="I156" s="18" t="e">
        <f t="shared" si="3"/>
        <v>#DIV/0!</v>
      </c>
      <c r="J156" s="14" t="e">
        <f>INDEX('Table of compositions'!G:G,MATCH(E156,'Table of compositions'!H:H,0))</f>
        <v>#N/A</v>
      </c>
    </row>
    <row r="157" spans="9:10" x14ac:dyDescent="0.25">
      <c r="I157" s="18" t="e">
        <f t="shared" si="3"/>
        <v>#DIV/0!</v>
      </c>
      <c r="J157" s="14" t="e">
        <f>INDEX('Table of compositions'!G:G,MATCH(E157,'Table of compositions'!H:H,0))</f>
        <v>#N/A</v>
      </c>
    </row>
    <row r="158" spans="9:10" x14ac:dyDescent="0.25">
      <c r="I158" s="18" t="e">
        <f t="shared" si="3"/>
        <v>#DIV/0!</v>
      </c>
      <c r="J158" s="14" t="e">
        <f>INDEX('Table of compositions'!G:G,MATCH(E158,'Table of compositions'!H:H,0))</f>
        <v>#N/A</v>
      </c>
    </row>
    <row r="159" spans="9:10" x14ac:dyDescent="0.25">
      <c r="I159" s="18" t="e">
        <f t="shared" si="3"/>
        <v>#DIV/0!</v>
      </c>
      <c r="J159" s="14" t="e">
        <f>INDEX('Table of compositions'!G:G,MATCH(E159,'Table of compositions'!H:H,0))</f>
        <v>#N/A</v>
      </c>
    </row>
    <row r="160" spans="9:10" x14ac:dyDescent="0.25">
      <c r="I160" s="18" t="e">
        <f t="shared" si="3"/>
        <v>#DIV/0!</v>
      </c>
      <c r="J160" s="14" t="e">
        <f>INDEX('Table of compositions'!G:G,MATCH(E160,'Table of compositions'!H:H,0))</f>
        <v>#N/A</v>
      </c>
    </row>
    <row r="161" spans="9:10" x14ac:dyDescent="0.25">
      <c r="I161" s="18" t="e">
        <f t="shared" si="3"/>
        <v>#DIV/0!</v>
      </c>
      <c r="J161" s="14" t="e">
        <f>INDEX('Table of compositions'!G:G,MATCH(E161,'Table of compositions'!H:H,0))</f>
        <v>#N/A</v>
      </c>
    </row>
    <row r="162" spans="9:10" x14ac:dyDescent="0.25">
      <c r="I162" s="18" t="e">
        <f t="shared" si="3"/>
        <v>#DIV/0!</v>
      </c>
      <c r="J162" s="14" t="e">
        <f>INDEX('Table of compositions'!G:G,MATCH(E162,'Table of compositions'!H:H,0))</f>
        <v>#N/A</v>
      </c>
    </row>
    <row r="163" spans="9:10" x14ac:dyDescent="0.25">
      <c r="I163" s="18" t="e">
        <f t="shared" si="3"/>
        <v>#DIV/0!</v>
      </c>
      <c r="J163" s="14" t="e">
        <f>INDEX('Table of compositions'!G:G,MATCH(E163,'Table of compositions'!H:H,0))</f>
        <v>#N/A</v>
      </c>
    </row>
    <row r="164" spans="9:10" x14ac:dyDescent="0.25">
      <c r="I164" s="18" t="e">
        <f t="shared" si="3"/>
        <v>#DIV/0!</v>
      </c>
      <c r="J164" s="14" t="e">
        <f>INDEX('Table of compositions'!G:G,MATCH(E164,'Table of compositions'!H:H,0))</f>
        <v>#N/A</v>
      </c>
    </row>
    <row r="165" spans="9:10" x14ac:dyDescent="0.25">
      <c r="I165" s="18" t="e">
        <f t="shared" si="3"/>
        <v>#DIV/0!</v>
      </c>
      <c r="J165" s="14" t="e">
        <f>INDEX('Table of compositions'!G:G,MATCH(E165,'Table of compositions'!H:H,0))</f>
        <v>#N/A</v>
      </c>
    </row>
    <row r="166" spans="9:10" x14ac:dyDescent="0.25">
      <c r="I166" s="18" t="e">
        <f t="shared" si="3"/>
        <v>#DIV/0!</v>
      </c>
      <c r="J166" s="14" t="e">
        <f>INDEX('Table of compositions'!G:G,MATCH(E166,'Table of compositions'!H:H,0))</f>
        <v>#N/A</v>
      </c>
    </row>
    <row r="167" spans="9:10" x14ac:dyDescent="0.25">
      <c r="I167" s="18" t="e">
        <f t="shared" si="3"/>
        <v>#DIV/0!</v>
      </c>
      <c r="J167" s="14" t="e">
        <f>INDEX('Table of compositions'!G:G,MATCH(E167,'Table of compositions'!H:H,0))</f>
        <v>#N/A</v>
      </c>
    </row>
    <row r="168" spans="9:10" x14ac:dyDescent="0.25">
      <c r="I168" s="18" t="e">
        <f t="shared" si="3"/>
        <v>#DIV/0!</v>
      </c>
      <c r="J168" s="14" t="e">
        <f>INDEX('Table of compositions'!G:G,MATCH(E168,'Table of compositions'!H:H,0))</f>
        <v>#N/A</v>
      </c>
    </row>
    <row r="169" spans="9:10" x14ac:dyDescent="0.25">
      <c r="I169" s="18" t="e">
        <f t="shared" si="3"/>
        <v>#DIV/0!</v>
      </c>
      <c r="J169" s="14" t="e">
        <f>INDEX('Table of compositions'!G:G,MATCH(E169,'Table of compositions'!H:H,0))</f>
        <v>#N/A</v>
      </c>
    </row>
    <row r="170" spans="9:10" x14ac:dyDescent="0.25">
      <c r="I170" s="18" t="e">
        <f t="shared" si="3"/>
        <v>#DIV/0!</v>
      </c>
      <c r="J170" s="14" t="e">
        <f>INDEX('Table of compositions'!G:G,MATCH(E170,'Table of compositions'!H:H,0))</f>
        <v>#N/A</v>
      </c>
    </row>
    <row r="171" spans="9:10" x14ac:dyDescent="0.25">
      <c r="I171" s="18" t="e">
        <f t="shared" si="3"/>
        <v>#DIV/0!</v>
      </c>
      <c r="J171" s="14" t="e">
        <f>INDEX('Table of compositions'!G:G,MATCH(E171,'Table of compositions'!H:H,0))</f>
        <v>#N/A</v>
      </c>
    </row>
    <row r="172" spans="9:10" x14ac:dyDescent="0.25">
      <c r="I172" s="18" t="e">
        <f t="shared" si="3"/>
        <v>#DIV/0!</v>
      </c>
      <c r="J172" s="14" t="e">
        <f>INDEX('Table of compositions'!G:G,MATCH(E172,'Table of compositions'!H:H,0))</f>
        <v>#N/A</v>
      </c>
    </row>
    <row r="173" spans="9:10" x14ac:dyDescent="0.25">
      <c r="I173" s="18" t="e">
        <f t="shared" si="3"/>
        <v>#DIV/0!</v>
      </c>
      <c r="J173" s="14" t="e">
        <f>INDEX('Table of compositions'!G:G,MATCH(E173,'Table of compositions'!H:H,0))</f>
        <v>#N/A</v>
      </c>
    </row>
    <row r="174" spans="9:10" x14ac:dyDescent="0.25">
      <c r="I174" s="18" t="e">
        <f t="shared" si="3"/>
        <v>#DIV/0!</v>
      </c>
      <c r="J174" s="14" t="e">
        <f>INDEX('Table of compositions'!G:G,MATCH(E174,'Table of compositions'!H:H,0))</f>
        <v>#N/A</v>
      </c>
    </row>
    <row r="175" spans="9:10" x14ac:dyDescent="0.25">
      <c r="I175" s="18" t="e">
        <f t="shared" si="3"/>
        <v>#DIV/0!</v>
      </c>
      <c r="J175" s="14" t="e">
        <f>INDEX('Table of compositions'!G:G,MATCH(E175,'Table of compositions'!H:H,0))</f>
        <v>#N/A</v>
      </c>
    </row>
    <row r="176" spans="9:10" x14ac:dyDescent="0.25">
      <c r="I176" s="18" t="e">
        <f t="shared" si="3"/>
        <v>#DIV/0!</v>
      </c>
      <c r="J176" s="14" t="e">
        <f>INDEX('Table of compositions'!G:G,MATCH(E176,'Table of compositions'!H:H,0))</f>
        <v>#N/A</v>
      </c>
    </row>
    <row r="177" spans="9:10" x14ac:dyDescent="0.25">
      <c r="I177" s="18" t="e">
        <f t="shared" si="3"/>
        <v>#DIV/0!</v>
      </c>
      <c r="J177" s="14" t="e">
        <f>INDEX('Table of compositions'!G:G,MATCH(E177,'Table of compositions'!H:H,0))</f>
        <v>#N/A</v>
      </c>
    </row>
    <row r="178" spans="9:10" x14ac:dyDescent="0.25">
      <c r="I178" s="18" t="e">
        <f t="shared" si="3"/>
        <v>#DIV/0!</v>
      </c>
      <c r="J178" s="14" t="e">
        <f>INDEX('Table of compositions'!G:G,MATCH(E178,'Table of compositions'!H:H,0))</f>
        <v>#N/A</v>
      </c>
    </row>
    <row r="179" spans="9:10" x14ac:dyDescent="0.25">
      <c r="I179" s="18" t="e">
        <f t="shared" si="3"/>
        <v>#DIV/0!</v>
      </c>
      <c r="J179" s="14" t="e">
        <f>INDEX('Table of compositions'!G:G,MATCH(E179,'Table of compositions'!H:H,0))</f>
        <v>#N/A</v>
      </c>
    </row>
    <row r="180" spans="9:10" x14ac:dyDescent="0.25">
      <c r="I180" s="18" t="e">
        <f t="shared" si="3"/>
        <v>#DIV/0!</v>
      </c>
      <c r="J180" s="14" t="e">
        <f>INDEX('Table of compositions'!G:G,MATCH(E180,'Table of compositions'!H:H,0))</f>
        <v>#N/A</v>
      </c>
    </row>
    <row r="181" spans="9:10" x14ac:dyDescent="0.25">
      <c r="I181" s="18" t="e">
        <f t="shared" si="3"/>
        <v>#DIV/0!</v>
      </c>
      <c r="J181" s="14" t="e">
        <f>INDEX('Table of compositions'!G:G,MATCH(E181,'Table of compositions'!H:H,0))</f>
        <v>#N/A</v>
      </c>
    </row>
    <row r="182" spans="9:10" x14ac:dyDescent="0.25">
      <c r="I182" s="18" t="e">
        <f t="shared" si="3"/>
        <v>#DIV/0!</v>
      </c>
      <c r="J182" s="14" t="e">
        <f>INDEX('Table of compositions'!G:G,MATCH(E182,'Table of compositions'!H:H,0))</f>
        <v>#N/A</v>
      </c>
    </row>
    <row r="183" spans="9:10" x14ac:dyDescent="0.25">
      <c r="I183" s="18" t="e">
        <f t="shared" si="3"/>
        <v>#DIV/0!</v>
      </c>
      <c r="J183" s="14" t="e">
        <f>INDEX('Table of compositions'!G:G,MATCH(E183,'Table of compositions'!H:H,0))</f>
        <v>#N/A</v>
      </c>
    </row>
    <row r="184" spans="9:10" x14ac:dyDescent="0.25">
      <c r="I184" s="18" t="e">
        <f t="shared" si="3"/>
        <v>#DIV/0!</v>
      </c>
      <c r="J184" s="14" t="e">
        <f>INDEX('Table of compositions'!G:G,MATCH(E184,'Table of compositions'!H:H,0))</f>
        <v>#N/A</v>
      </c>
    </row>
    <row r="185" spans="9:10" x14ac:dyDescent="0.25">
      <c r="I185" s="18" t="e">
        <f t="shared" si="3"/>
        <v>#DIV/0!</v>
      </c>
      <c r="J185" s="14" t="e">
        <f>INDEX('Table of compositions'!G:G,MATCH(E185,'Table of compositions'!H:H,0))</f>
        <v>#N/A</v>
      </c>
    </row>
    <row r="186" spans="9:10" x14ac:dyDescent="0.25">
      <c r="I186" s="18" t="e">
        <f t="shared" si="3"/>
        <v>#DIV/0!</v>
      </c>
      <c r="J186" s="14" t="e">
        <f>INDEX('Table of compositions'!G:G,MATCH(E186,'Table of compositions'!H:H,0))</f>
        <v>#N/A</v>
      </c>
    </row>
    <row r="187" spans="9:10" x14ac:dyDescent="0.25">
      <c r="I187" s="18" t="e">
        <f t="shared" si="3"/>
        <v>#DIV/0!</v>
      </c>
      <c r="J187" s="14" t="e">
        <f>INDEX('Table of compositions'!G:G,MATCH(E187,'Table of compositions'!H:H,0))</f>
        <v>#N/A</v>
      </c>
    </row>
    <row r="188" spans="9:10" x14ac:dyDescent="0.25">
      <c r="I188" s="18" t="e">
        <f t="shared" si="3"/>
        <v>#DIV/0!</v>
      </c>
      <c r="J188" s="14" t="e">
        <f>INDEX('Table of compositions'!G:G,MATCH(E188,'Table of compositions'!H:H,0))</f>
        <v>#N/A</v>
      </c>
    </row>
    <row r="189" spans="9:10" x14ac:dyDescent="0.25">
      <c r="I189" s="18" t="e">
        <f t="shared" si="3"/>
        <v>#DIV/0!</v>
      </c>
      <c r="J189" s="14" t="e">
        <f>INDEX('Table of compositions'!G:G,MATCH(E189,'Table of compositions'!H:H,0))</f>
        <v>#N/A</v>
      </c>
    </row>
    <row r="190" spans="9:10" x14ac:dyDescent="0.25">
      <c r="I190" s="18" t="e">
        <f t="shared" si="3"/>
        <v>#DIV/0!</v>
      </c>
      <c r="J190" s="14" t="e">
        <f>INDEX('Table of compositions'!G:G,MATCH(E190,'Table of compositions'!H:H,0))</f>
        <v>#N/A</v>
      </c>
    </row>
    <row r="191" spans="9:10" x14ac:dyDescent="0.25">
      <c r="I191" s="18" t="e">
        <f t="shared" si="3"/>
        <v>#DIV/0!</v>
      </c>
      <c r="J191" s="14" t="e">
        <f>INDEX('Table of compositions'!G:G,MATCH(E191,'Table of compositions'!H:H,0))</f>
        <v>#N/A</v>
      </c>
    </row>
    <row r="192" spans="9:10" x14ac:dyDescent="0.25">
      <c r="I192" s="18" t="e">
        <f t="shared" si="3"/>
        <v>#DIV/0!</v>
      </c>
      <c r="J192" s="14" t="e">
        <f>INDEX('Table of compositions'!G:G,MATCH(E192,'Table of compositions'!H:H,0))</f>
        <v>#N/A</v>
      </c>
    </row>
    <row r="193" spans="9:10" x14ac:dyDescent="0.25">
      <c r="I193" s="18" t="e">
        <f t="shared" si="3"/>
        <v>#DIV/0!</v>
      </c>
      <c r="J193" s="14" t="e">
        <f>INDEX('Table of compositions'!G:G,MATCH(E193,'Table of compositions'!H:H,0))</f>
        <v>#N/A</v>
      </c>
    </row>
    <row r="194" spans="9:10" x14ac:dyDescent="0.25">
      <c r="I194" s="18" t="e">
        <f t="shared" si="3"/>
        <v>#DIV/0!</v>
      </c>
      <c r="J194" s="14" t="e">
        <f>INDEX('Table of compositions'!G:G,MATCH(E194,'Table of compositions'!H:H,0))</f>
        <v>#N/A</v>
      </c>
    </row>
    <row r="195" spans="9:10" x14ac:dyDescent="0.25">
      <c r="I195" s="18" t="e">
        <f t="shared" ref="I195:I258" si="4">H195/SUM(H:H)</f>
        <v>#DIV/0!</v>
      </c>
      <c r="J195" s="14" t="e">
        <f>INDEX('Table of compositions'!G:G,MATCH(E195,'Table of compositions'!H:H,0))</f>
        <v>#N/A</v>
      </c>
    </row>
    <row r="196" spans="9:10" x14ac:dyDescent="0.25">
      <c r="I196" s="18" t="e">
        <f t="shared" si="4"/>
        <v>#DIV/0!</v>
      </c>
      <c r="J196" s="14" t="e">
        <f>INDEX('Table of compositions'!G:G,MATCH(E196,'Table of compositions'!H:H,0))</f>
        <v>#N/A</v>
      </c>
    </row>
    <row r="197" spans="9:10" x14ac:dyDescent="0.25">
      <c r="I197" s="18" t="e">
        <f t="shared" si="4"/>
        <v>#DIV/0!</v>
      </c>
      <c r="J197" s="14" t="e">
        <f>INDEX('Table of compositions'!G:G,MATCH(E197,'Table of compositions'!H:H,0))</f>
        <v>#N/A</v>
      </c>
    </row>
    <row r="198" spans="9:10" x14ac:dyDescent="0.25">
      <c r="I198" s="18" t="e">
        <f t="shared" si="4"/>
        <v>#DIV/0!</v>
      </c>
      <c r="J198" s="14" t="e">
        <f>INDEX('Table of compositions'!G:G,MATCH(E198,'Table of compositions'!H:H,0))</f>
        <v>#N/A</v>
      </c>
    </row>
    <row r="199" spans="9:10" x14ac:dyDescent="0.25">
      <c r="I199" s="18" t="e">
        <f t="shared" si="4"/>
        <v>#DIV/0!</v>
      </c>
      <c r="J199" s="14" t="e">
        <f>INDEX('Table of compositions'!G:G,MATCH(E199,'Table of compositions'!H:H,0))</f>
        <v>#N/A</v>
      </c>
    </row>
    <row r="200" spans="9:10" x14ac:dyDescent="0.25">
      <c r="I200" s="18" t="e">
        <f t="shared" si="4"/>
        <v>#DIV/0!</v>
      </c>
      <c r="J200" s="14" t="e">
        <f>INDEX('Table of compositions'!G:G,MATCH(E200,'Table of compositions'!H:H,0))</f>
        <v>#N/A</v>
      </c>
    </row>
    <row r="201" spans="9:10" x14ac:dyDescent="0.25">
      <c r="I201" s="18" t="e">
        <f t="shared" si="4"/>
        <v>#DIV/0!</v>
      </c>
      <c r="J201" s="14" t="e">
        <f>INDEX('Table of compositions'!G:G,MATCH(E201,'Table of compositions'!H:H,0))</f>
        <v>#N/A</v>
      </c>
    </row>
    <row r="202" spans="9:10" x14ac:dyDescent="0.25">
      <c r="I202" s="18" t="e">
        <f t="shared" si="4"/>
        <v>#DIV/0!</v>
      </c>
      <c r="J202" s="14" t="e">
        <f>INDEX('Table of compositions'!G:G,MATCH(E202,'Table of compositions'!H:H,0))</f>
        <v>#N/A</v>
      </c>
    </row>
    <row r="203" spans="9:10" x14ac:dyDescent="0.25">
      <c r="I203" s="18" t="e">
        <f t="shared" si="4"/>
        <v>#DIV/0!</v>
      </c>
      <c r="J203" s="14" t="e">
        <f>INDEX('Table of compositions'!G:G,MATCH(E203,'Table of compositions'!H:H,0))</f>
        <v>#N/A</v>
      </c>
    </row>
    <row r="204" spans="9:10" x14ac:dyDescent="0.25">
      <c r="I204" s="18" t="e">
        <f t="shared" si="4"/>
        <v>#DIV/0!</v>
      </c>
      <c r="J204" s="14" t="e">
        <f>INDEX('Table of compositions'!G:G,MATCH(E204,'Table of compositions'!H:H,0))</f>
        <v>#N/A</v>
      </c>
    </row>
    <row r="205" spans="9:10" x14ac:dyDescent="0.25">
      <c r="I205" s="18" t="e">
        <f t="shared" si="4"/>
        <v>#DIV/0!</v>
      </c>
      <c r="J205" s="14" t="e">
        <f>INDEX('Table of compositions'!G:G,MATCH(E205,'Table of compositions'!H:H,0))</f>
        <v>#N/A</v>
      </c>
    </row>
    <row r="206" spans="9:10" x14ac:dyDescent="0.25">
      <c r="I206" s="18" t="e">
        <f t="shared" si="4"/>
        <v>#DIV/0!</v>
      </c>
      <c r="J206" s="14" t="e">
        <f>INDEX('Table of compositions'!G:G,MATCH(E206,'Table of compositions'!H:H,0))</f>
        <v>#N/A</v>
      </c>
    </row>
    <row r="207" spans="9:10" x14ac:dyDescent="0.25">
      <c r="I207" s="18" t="e">
        <f t="shared" si="4"/>
        <v>#DIV/0!</v>
      </c>
      <c r="J207" s="14" t="e">
        <f>INDEX('Table of compositions'!G:G,MATCH(E207,'Table of compositions'!H:H,0))</f>
        <v>#N/A</v>
      </c>
    </row>
    <row r="208" spans="9:10" x14ac:dyDescent="0.25">
      <c r="I208" s="18" t="e">
        <f t="shared" si="4"/>
        <v>#DIV/0!</v>
      </c>
      <c r="J208" s="14" t="e">
        <f>INDEX('Table of compositions'!G:G,MATCH(E208,'Table of compositions'!H:H,0))</f>
        <v>#N/A</v>
      </c>
    </row>
    <row r="209" spans="9:10" x14ac:dyDescent="0.25">
      <c r="I209" s="18" t="e">
        <f t="shared" si="4"/>
        <v>#DIV/0!</v>
      </c>
      <c r="J209" s="14" t="e">
        <f>INDEX('Table of compositions'!G:G,MATCH(E209,'Table of compositions'!H:H,0))</f>
        <v>#N/A</v>
      </c>
    </row>
    <row r="210" spans="9:10" x14ac:dyDescent="0.25">
      <c r="I210" s="18" t="e">
        <f t="shared" si="4"/>
        <v>#DIV/0!</v>
      </c>
      <c r="J210" s="14" t="e">
        <f>INDEX('Table of compositions'!G:G,MATCH(E210,'Table of compositions'!H:H,0))</f>
        <v>#N/A</v>
      </c>
    </row>
    <row r="211" spans="9:10" x14ac:dyDescent="0.25">
      <c r="I211" s="18" t="e">
        <f t="shared" si="4"/>
        <v>#DIV/0!</v>
      </c>
      <c r="J211" s="14" t="e">
        <f>INDEX('Table of compositions'!G:G,MATCH(E211,'Table of compositions'!H:H,0))</f>
        <v>#N/A</v>
      </c>
    </row>
    <row r="212" spans="9:10" x14ac:dyDescent="0.25">
      <c r="I212" s="18" t="e">
        <f t="shared" si="4"/>
        <v>#DIV/0!</v>
      </c>
      <c r="J212" s="14" t="e">
        <f>INDEX('Table of compositions'!G:G,MATCH(E212,'Table of compositions'!H:H,0))</f>
        <v>#N/A</v>
      </c>
    </row>
    <row r="213" spans="9:10" x14ac:dyDescent="0.25">
      <c r="I213" s="18" t="e">
        <f t="shared" si="4"/>
        <v>#DIV/0!</v>
      </c>
      <c r="J213" s="14" t="e">
        <f>INDEX('Table of compositions'!G:G,MATCH(E213,'Table of compositions'!H:H,0))</f>
        <v>#N/A</v>
      </c>
    </row>
    <row r="214" spans="9:10" x14ac:dyDescent="0.25">
      <c r="I214" s="18" t="e">
        <f t="shared" si="4"/>
        <v>#DIV/0!</v>
      </c>
      <c r="J214" s="14" t="e">
        <f>INDEX('Table of compositions'!G:G,MATCH(E214,'Table of compositions'!H:H,0))</f>
        <v>#N/A</v>
      </c>
    </row>
    <row r="215" spans="9:10" x14ac:dyDescent="0.25">
      <c r="I215" s="18" t="e">
        <f t="shared" si="4"/>
        <v>#DIV/0!</v>
      </c>
      <c r="J215" s="14" t="e">
        <f>INDEX('Table of compositions'!G:G,MATCH(E215,'Table of compositions'!H:H,0))</f>
        <v>#N/A</v>
      </c>
    </row>
    <row r="216" spans="9:10" x14ac:dyDescent="0.25">
      <c r="I216" s="18" t="e">
        <f t="shared" si="4"/>
        <v>#DIV/0!</v>
      </c>
      <c r="J216" s="14" t="e">
        <f>INDEX('Table of compositions'!G:G,MATCH(E216,'Table of compositions'!H:H,0))</f>
        <v>#N/A</v>
      </c>
    </row>
    <row r="217" spans="9:10" x14ac:dyDescent="0.25">
      <c r="I217" s="18" t="e">
        <f t="shared" si="4"/>
        <v>#DIV/0!</v>
      </c>
      <c r="J217" s="14" t="e">
        <f>INDEX('Table of compositions'!G:G,MATCH(E217,'Table of compositions'!H:H,0))</f>
        <v>#N/A</v>
      </c>
    </row>
    <row r="218" spans="9:10" x14ac:dyDescent="0.25">
      <c r="I218" s="18" t="e">
        <f t="shared" si="4"/>
        <v>#DIV/0!</v>
      </c>
      <c r="J218" s="14" t="e">
        <f>INDEX('Table of compositions'!G:G,MATCH(E218,'Table of compositions'!H:H,0))</f>
        <v>#N/A</v>
      </c>
    </row>
    <row r="219" spans="9:10" x14ac:dyDescent="0.25">
      <c r="I219" s="18" t="e">
        <f t="shared" si="4"/>
        <v>#DIV/0!</v>
      </c>
      <c r="J219" s="14" t="e">
        <f>INDEX('Table of compositions'!G:G,MATCH(E219,'Table of compositions'!H:H,0))</f>
        <v>#N/A</v>
      </c>
    </row>
    <row r="220" spans="9:10" x14ac:dyDescent="0.25">
      <c r="I220" s="18" t="e">
        <f t="shared" si="4"/>
        <v>#DIV/0!</v>
      </c>
      <c r="J220" s="14" t="e">
        <f>INDEX('Table of compositions'!G:G,MATCH(E220,'Table of compositions'!H:H,0))</f>
        <v>#N/A</v>
      </c>
    </row>
    <row r="221" spans="9:10" x14ac:dyDescent="0.25">
      <c r="I221" s="18" t="e">
        <f t="shared" si="4"/>
        <v>#DIV/0!</v>
      </c>
      <c r="J221" s="14" t="e">
        <f>INDEX('Table of compositions'!G:G,MATCH(E221,'Table of compositions'!H:H,0))</f>
        <v>#N/A</v>
      </c>
    </row>
    <row r="222" spans="9:10" x14ac:dyDescent="0.25">
      <c r="I222" s="18" t="e">
        <f t="shared" si="4"/>
        <v>#DIV/0!</v>
      </c>
      <c r="J222" s="14" t="e">
        <f>INDEX('Table of compositions'!G:G,MATCH(E222,'Table of compositions'!H:H,0))</f>
        <v>#N/A</v>
      </c>
    </row>
    <row r="223" spans="9:10" x14ac:dyDescent="0.25">
      <c r="I223" s="18" t="e">
        <f t="shared" si="4"/>
        <v>#DIV/0!</v>
      </c>
      <c r="J223" s="14" t="e">
        <f>INDEX('Table of compositions'!G:G,MATCH(E223,'Table of compositions'!H:H,0))</f>
        <v>#N/A</v>
      </c>
    </row>
    <row r="224" spans="9:10" x14ac:dyDescent="0.25">
      <c r="I224" s="18" t="e">
        <f t="shared" si="4"/>
        <v>#DIV/0!</v>
      </c>
      <c r="J224" s="14" t="e">
        <f>INDEX('Table of compositions'!G:G,MATCH(E224,'Table of compositions'!H:H,0))</f>
        <v>#N/A</v>
      </c>
    </row>
    <row r="225" spans="9:10" x14ac:dyDescent="0.25">
      <c r="I225" s="18" t="e">
        <f t="shared" si="4"/>
        <v>#DIV/0!</v>
      </c>
      <c r="J225" s="14" t="e">
        <f>INDEX('Table of compositions'!G:G,MATCH(E225,'Table of compositions'!H:H,0))</f>
        <v>#N/A</v>
      </c>
    </row>
    <row r="226" spans="9:10" x14ac:dyDescent="0.25">
      <c r="I226" s="18" t="e">
        <f t="shared" si="4"/>
        <v>#DIV/0!</v>
      </c>
      <c r="J226" s="14" t="e">
        <f>INDEX('Table of compositions'!G:G,MATCH(E226,'Table of compositions'!H:H,0))</f>
        <v>#N/A</v>
      </c>
    </row>
    <row r="227" spans="9:10" x14ac:dyDescent="0.25">
      <c r="I227" s="18" t="e">
        <f t="shared" si="4"/>
        <v>#DIV/0!</v>
      </c>
      <c r="J227" s="14" t="e">
        <f>INDEX('Table of compositions'!G:G,MATCH(E227,'Table of compositions'!H:H,0))</f>
        <v>#N/A</v>
      </c>
    </row>
    <row r="228" spans="9:10" x14ac:dyDescent="0.25">
      <c r="I228" s="18" t="e">
        <f t="shared" si="4"/>
        <v>#DIV/0!</v>
      </c>
      <c r="J228" s="14" t="e">
        <f>INDEX('Table of compositions'!G:G,MATCH(E228,'Table of compositions'!H:H,0))</f>
        <v>#N/A</v>
      </c>
    </row>
    <row r="229" spans="9:10" x14ac:dyDescent="0.25">
      <c r="I229" s="18" t="e">
        <f t="shared" si="4"/>
        <v>#DIV/0!</v>
      </c>
      <c r="J229" s="14" t="e">
        <f>INDEX('Table of compositions'!G:G,MATCH(E229,'Table of compositions'!H:H,0))</f>
        <v>#N/A</v>
      </c>
    </row>
    <row r="230" spans="9:10" x14ac:dyDescent="0.25">
      <c r="I230" s="18" t="e">
        <f t="shared" si="4"/>
        <v>#DIV/0!</v>
      </c>
      <c r="J230" s="14" t="e">
        <f>INDEX('Table of compositions'!G:G,MATCH(E230,'Table of compositions'!H:H,0))</f>
        <v>#N/A</v>
      </c>
    </row>
    <row r="231" spans="9:10" x14ac:dyDescent="0.25">
      <c r="I231" s="18" t="e">
        <f t="shared" si="4"/>
        <v>#DIV/0!</v>
      </c>
      <c r="J231" s="14" t="e">
        <f>INDEX('Table of compositions'!G:G,MATCH(E231,'Table of compositions'!H:H,0))</f>
        <v>#N/A</v>
      </c>
    </row>
    <row r="232" spans="9:10" x14ac:dyDescent="0.25">
      <c r="I232" s="18" t="e">
        <f t="shared" si="4"/>
        <v>#DIV/0!</v>
      </c>
      <c r="J232" s="14" t="e">
        <f>INDEX('Table of compositions'!G:G,MATCH(E232,'Table of compositions'!H:H,0))</f>
        <v>#N/A</v>
      </c>
    </row>
    <row r="233" spans="9:10" x14ac:dyDescent="0.25">
      <c r="I233" s="18" t="e">
        <f t="shared" si="4"/>
        <v>#DIV/0!</v>
      </c>
      <c r="J233" s="14" t="e">
        <f>INDEX('Table of compositions'!G:G,MATCH(E233,'Table of compositions'!H:H,0))</f>
        <v>#N/A</v>
      </c>
    </row>
    <row r="234" spans="9:10" x14ac:dyDescent="0.25">
      <c r="I234" s="18" t="e">
        <f t="shared" si="4"/>
        <v>#DIV/0!</v>
      </c>
      <c r="J234" s="14" t="e">
        <f>INDEX('Table of compositions'!G:G,MATCH(E234,'Table of compositions'!H:H,0))</f>
        <v>#N/A</v>
      </c>
    </row>
    <row r="235" spans="9:10" x14ac:dyDescent="0.25">
      <c r="I235" s="18" t="e">
        <f t="shared" si="4"/>
        <v>#DIV/0!</v>
      </c>
      <c r="J235" s="14" t="e">
        <f>INDEX('Table of compositions'!G:G,MATCH(E235,'Table of compositions'!H:H,0))</f>
        <v>#N/A</v>
      </c>
    </row>
    <row r="236" spans="9:10" x14ac:dyDescent="0.25">
      <c r="I236" s="18" t="e">
        <f t="shared" si="4"/>
        <v>#DIV/0!</v>
      </c>
      <c r="J236" s="14" t="e">
        <f>INDEX('Table of compositions'!G:G,MATCH(E236,'Table of compositions'!H:H,0))</f>
        <v>#N/A</v>
      </c>
    </row>
    <row r="237" spans="9:10" x14ac:dyDescent="0.25">
      <c r="I237" s="18" t="e">
        <f t="shared" si="4"/>
        <v>#DIV/0!</v>
      </c>
      <c r="J237" s="14" t="e">
        <f>INDEX('Table of compositions'!G:G,MATCH(E237,'Table of compositions'!H:H,0))</f>
        <v>#N/A</v>
      </c>
    </row>
    <row r="238" spans="9:10" x14ac:dyDescent="0.25">
      <c r="I238" s="18" t="e">
        <f t="shared" si="4"/>
        <v>#DIV/0!</v>
      </c>
      <c r="J238" s="14" t="e">
        <f>INDEX('Table of compositions'!G:G,MATCH(E238,'Table of compositions'!H:H,0))</f>
        <v>#N/A</v>
      </c>
    </row>
    <row r="239" spans="9:10" x14ac:dyDescent="0.25">
      <c r="I239" s="18" t="e">
        <f t="shared" si="4"/>
        <v>#DIV/0!</v>
      </c>
      <c r="J239" s="14" t="e">
        <f>INDEX('Table of compositions'!G:G,MATCH(E239,'Table of compositions'!H:H,0))</f>
        <v>#N/A</v>
      </c>
    </row>
    <row r="240" spans="9:10" x14ac:dyDescent="0.25">
      <c r="I240" s="18" t="e">
        <f t="shared" si="4"/>
        <v>#DIV/0!</v>
      </c>
      <c r="J240" s="14" t="e">
        <f>INDEX('Table of compositions'!G:G,MATCH(E240,'Table of compositions'!H:H,0))</f>
        <v>#N/A</v>
      </c>
    </row>
    <row r="241" spans="9:10" x14ac:dyDescent="0.25">
      <c r="I241" s="18" t="e">
        <f t="shared" si="4"/>
        <v>#DIV/0!</v>
      </c>
      <c r="J241" s="14" t="e">
        <f>INDEX('Table of compositions'!G:G,MATCH(E241,'Table of compositions'!H:H,0))</f>
        <v>#N/A</v>
      </c>
    </row>
    <row r="242" spans="9:10" x14ac:dyDescent="0.25">
      <c r="I242" s="18" t="e">
        <f t="shared" si="4"/>
        <v>#DIV/0!</v>
      </c>
      <c r="J242" s="14" t="e">
        <f>INDEX('Table of compositions'!G:G,MATCH(E242,'Table of compositions'!H:H,0))</f>
        <v>#N/A</v>
      </c>
    </row>
    <row r="243" spans="9:10" x14ac:dyDescent="0.25">
      <c r="I243" s="18" t="e">
        <f t="shared" si="4"/>
        <v>#DIV/0!</v>
      </c>
      <c r="J243" s="14" t="e">
        <f>INDEX('Table of compositions'!G:G,MATCH(E243,'Table of compositions'!H:H,0))</f>
        <v>#N/A</v>
      </c>
    </row>
    <row r="244" spans="9:10" x14ac:dyDescent="0.25">
      <c r="I244" s="18" t="e">
        <f t="shared" si="4"/>
        <v>#DIV/0!</v>
      </c>
      <c r="J244" s="14" t="e">
        <f>INDEX('Table of compositions'!G:G,MATCH(E244,'Table of compositions'!H:H,0))</f>
        <v>#N/A</v>
      </c>
    </row>
    <row r="245" spans="9:10" x14ac:dyDescent="0.25">
      <c r="I245" s="18" t="e">
        <f t="shared" si="4"/>
        <v>#DIV/0!</v>
      </c>
      <c r="J245" s="14" t="e">
        <f>INDEX('Table of compositions'!G:G,MATCH(E245,'Table of compositions'!H:H,0))</f>
        <v>#N/A</v>
      </c>
    </row>
    <row r="246" spans="9:10" x14ac:dyDescent="0.25">
      <c r="I246" s="18" t="e">
        <f t="shared" si="4"/>
        <v>#DIV/0!</v>
      </c>
      <c r="J246" s="14" t="e">
        <f>INDEX('Table of compositions'!G:G,MATCH(E246,'Table of compositions'!H:H,0))</f>
        <v>#N/A</v>
      </c>
    </row>
    <row r="247" spans="9:10" x14ac:dyDescent="0.25">
      <c r="I247" s="18" t="e">
        <f t="shared" si="4"/>
        <v>#DIV/0!</v>
      </c>
      <c r="J247" s="14" t="e">
        <f>INDEX('Table of compositions'!G:G,MATCH(E247,'Table of compositions'!H:H,0))</f>
        <v>#N/A</v>
      </c>
    </row>
    <row r="248" spans="9:10" x14ac:dyDescent="0.25">
      <c r="I248" s="18" t="e">
        <f t="shared" si="4"/>
        <v>#DIV/0!</v>
      </c>
      <c r="J248" s="14" t="e">
        <f>INDEX('Table of compositions'!G:G,MATCH(E248,'Table of compositions'!H:H,0))</f>
        <v>#N/A</v>
      </c>
    </row>
    <row r="249" spans="9:10" x14ac:dyDescent="0.25">
      <c r="I249" s="18" t="e">
        <f t="shared" si="4"/>
        <v>#DIV/0!</v>
      </c>
      <c r="J249" s="14" t="e">
        <f>INDEX('Table of compositions'!G:G,MATCH(E249,'Table of compositions'!H:H,0))</f>
        <v>#N/A</v>
      </c>
    </row>
    <row r="250" spans="9:10" x14ac:dyDescent="0.25">
      <c r="I250" s="18" t="e">
        <f t="shared" si="4"/>
        <v>#DIV/0!</v>
      </c>
      <c r="J250" s="14" t="e">
        <f>INDEX('Table of compositions'!G:G,MATCH(E250,'Table of compositions'!H:H,0))</f>
        <v>#N/A</v>
      </c>
    </row>
    <row r="251" spans="9:10" x14ac:dyDescent="0.25">
      <c r="I251" s="18" t="e">
        <f t="shared" si="4"/>
        <v>#DIV/0!</v>
      </c>
      <c r="J251" s="14" t="e">
        <f>INDEX('Table of compositions'!G:G,MATCH(E251,'Table of compositions'!H:H,0))</f>
        <v>#N/A</v>
      </c>
    </row>
    <row r="252" spans="9:10" x14ac:dyDescent="0.25">
      <c r="I252" s="18" t="e">
        <f t="shared" si="4"/>
        <v>#DIV/0!</v>
      </c>
      <c r="J252" s="14" t="e">
        <f>INDEX('Table of compositions'!G:G,MATCH(E252,'Table of compositions'!H:H,0))</f>
        <v>#N/A</v>
      </c>
    </row>
    <row r="253" spans="9:10" x14ac:dyDescent="0.25">
      <c r="I253" s="18" t="e">
        <f t="shared" si="4"/>
        <v>#DIV/0!</v>
      </c>
      <c r="J253" s="14" t="e">
        <f>INDEX('Table of compositions'!G:G,MATCH(E253,'Table of compositions'!H:H,0))</f>
        <v>#N/A</v>
      </c>
    </row>
    <row r="254" spans="9:10" x14ac:dyDescent="0.25">
      <c r="I254" s="18" t="e">
        <f t="shared" si="4"/>
        <v>#DIV/0!</v>
      </c>
      <c r="J254" s="14" t="e">
        <f>INDEX('Table of compositions'!G:G,MATCH(E254,'Table of compositions'!H:H,0))</f>
        <v>#N/A</v>
      </c>
    </row>
    <row r="255" spans="9:10" x14ac:dyDescent="0.25">
      <c r="I255" s="18" t="e">
        <f t="shared" si="4"/>
        <v>#DIV/0!</v>
      </c>
      <c r="J255" s="14" t="e">
        <f>INDEX('Table of compositions'!G:G,MATCH(E255,'Table of compositions'!H:H,0))</f>
        <v>#N/A</v>
      </c>
    </row>
    <row r="256" spans="9:10" x14ac:dyDescent="0.25">
      <c r="I256" s="18" t="e">
        <f t="shared" si="4"/>
        <v>#DIV/0!</v>
      </c>
      <c r="J256" s="14" t="e">
        <f>INDEX('Table of compositions'!G:G,MATCH(E256,'Table of compositions'!H:H,0))</f>
        <v>#N/A</v>
      </c>
    </row>
    <row r="257" spans="9:10" x14ac:dyDescent="0.25">
      <c r="I257" s="18" t="e">
        <f t="shared" si="4"/>
        <v>#DIV/0!</v>
      </c>
      <c r="J257" s="14" t="e">
        <f>INDEX('Table of compositions'!G:G,MATCH(E257,'Table of compositions'!H:H,0))</f>
        <v>#N/A</v>
      </c>
    </row>
    <row r="258" spans="9:10" x14ac:dyDescent="0.25">
      <c r="I258" s="18" t="e">
        <f t="shared" si="4"/>
        <v>#DIV/0!</v>
      </c>
      <c r="J258" s="14" t="e">
        <f>INDEX('Table of compositions'!G:G,MATCH(E258,'Table of compositions'!H:H,0))</f>
        <v>#N/A</v>
      </c>
    </row>
    <row r="259" spans="9:10" x14ac:dyDescent="0.25">
      <c r="I259" s="18" t="e">
        <f t="shared" ref="I259:I322" si="5">H259/SUM(H:H)</f>
        <v>#DIV/0!</v>
      </c>
      <c r="J259" s="14" t="e">
        <f>INDEX('Table of compositions'!G:G,MATCH(E259,'Table of compositions'!H:H,0))</f>
        <v>#N/A</v>
      </c>
    </row>
    <row r="260" spans="9:10" x14ac:dyDescent="0.25">
      <c r="I260" s="18" t="e">
        <f t="shared" si="5"/>
        <v>#DIV/0!</v>
      </c>
      <c r="J260" s="14" t="e">
        <f>INDEX('Table of compositions'!G:G,MATCH(E260,'Table of compositions'!H:H,0))</f>
        <v>#N/A</v>
      </c>
    </row>
    <row r="261" spans="9:10" x14ac:dyDescent="0.25">
      <c r="I261" s="18" t="e">
        <f t="shared" si="5"/>
        <v>#DIV/0!</v>
      </c>
      <c r="J261" s="14" t="e">
        <f>INDEX('Table of compositions'!G:G,MATCH(E261,'Table of compositions'!H:H,0))</f>
        <v>#N/A</v>
      </c>
    </row>
    <row r="262" spans="9:10" x14ac:dyDescent="0.25">
      <c r="I262" s="18" t="e">
        <f t="shared" si="5"/>
        <v>#DIV/0!</v>
      </c>
      <c r="J262" s="14" t="e">
        <f>INDEX('Table of compositions'!G:G,MATCH(E262,'Table of compositions'!H:H,0))</f>
        <v>#N/A</v>
      </c>
    </row>
    <row r="263" spans="9:10" x14ac:dyDescent="0.25">
      <c r="I263" s="18" t="e">
        <f t="shared" si="5"/>
        <v>#DIV/0!</v>
      </c>
      <c r="J263" s="14" t="e">
        <f>INDEX('Table of compositions'!G:G,MATCH(E263,'Table of compositions'!H:H,0))</f>
        <v>#N/A</v>
      </c>
    </row>
    <row r="264" spans="9:10" x14ac:dyDescent="0.25">
      <c r="I264" s="18" t="e">
        <f t="shared" si="5"/>
        <v>#DIV/0!</v>
      </c>
      <c r="J264" s="14" t="e">
        <f>INDEX('Table of compositions'!G:G,MATCH(E264,'Table of compositions'!H:H,0))</f>
        <v>#N/A</v>
      </c>
    </row>
    <row r="265" spans="9:10" x14ac:dyDescent="0.25">
      <c r="I265" s="18" t="e">
        <f t="shared" si="5"/>
        <v>#DIV/0!</v>
      </c>
      <c r="J265" s="14" t="e">
        <f>INDEX('Table of compositions'!G:G,MATCH(E265,'Table of compositions'!H:H,0))</f>
        <v>#N/A</v>
      </c>
    </row>
    <row r="266" spans="9:10" x14ac:dyDescent="0.25">
      <c r="I266" s="18" t="e">
        <f t="shared" si="5"/>
        <v>#DIV/0!</v>
      </c>
      <c r="J266" s="14" t="e">
        <f>INDEX('Table of compositions'!G:G,MATCH(E266,'Table of compositions'!H:H,0))</f>
        <v>#N/A</v>
      </c>
    </row>
    <row r="267" spans="9:10" x14ac:dyDescent="0.25">
      <c r="I267" s="18" t="e">
        <f t="shared" si="5"/>
        <v>#DIV/0!</v>
      </c>
      <c r="J267" s="14" t="e">
        <f>INDEX('Table of compositions'!G:G,MATCH(E267,'Table of compositions'!H:H,0))</f>
        <v>#N/A</v>
      </c>
    </row>
    <row r="268" spans="9:10" x14ac:dyDescent="0.25">
      <c r="I268" s="18" t="e">
        <f t="shared" si="5"/>
        <v>#DIV/0!</v>
      </c>
      <c r="J268" s="14" t="e">
        <f>INDEX('Table of compositions'!G:G,MATCH(E268,'Table of compositions'!H:H,0))</f>
        <v>#N/A</v>
      </c>
    </row>
    <row r="269" spans="9:10" x14ac:dyDescent="0.25">
      <c r="I269" s="18" t="e">
        <f t="shared" si="5"/>
        <v>#DIV/0!</v>
      </c>
      <c r="J269" s="14" t="e">
        <f>INDEX('Table of compositions'!G:G,MATCH(E269,'Table of compositions'!H:H,0))</f>
        <v>#N/A</v>
      </c>
    </row>
    <row r="270" spans="9:10" x14ac:dyDescent="0.25">
      <c r="I270" s="18" t="e">
        <f t="shared" si="5"/>
        <v>#DIV/0!</v>
      </c>
      <c r="J270" s="14" t="e">
        <f>INDEX('Table of compositions'!G:G,MATCH(E270,'Table of compositions'!H:H,0))</f>
        <v>#N/A</v>
      </c>
    </row>
    <row r="271" spans="9:10" x14ac:dyDescent="0.25">
      <c r="I271" s="18" t="e">
        <f t="shared" si="5"/>
        <v>#DIV/0!</v>
      </c>
      <c r="J271" s="14" t="e">
        <f>INDEX('Table of compositions'!G:G,MATCH(E271,'Table of compositions'!H:H,0))</f>
        <v>#N/A</v>
      </c>
    </row>
    <row r="272" spans="9:10" x14ac:dyDescent="0.25">
      <c r="I272" s="18" t="e">
        <f t="shared" si="5"/>
        <v>#DIV/0!</v>
      </c>
      <c r="J272" s="14" t="e">
        <f>INDEX('Table of compositions'!G:G,MATCH(E272,'Table of compositions'!H:H,0))</f>
        <v>#N/A</v>
      </c>
    </row>
    <row r="273" spans="9:10" x14ac:dyDescent="0.25">
      <c r="I273" s="18" t="e">
        <f t="shared" si="5"/>
        <v>#DIV/0!</v>
      </c>
      <c r="J273" s="14" t="e">
        <f>INDEX('Table of compositions'!G:G,MATCH(E273,'Table of compositions'!H:H,0))</f>
        <v>#N/A</v>
      </c>
    </row>
    <row r="274" spans="9:10" x14ac:dyDescent="0.25">
      <c r="I274" s="18" t="e">
        <f t="shared" si="5"/>
        <v>#DIV/0!</v>
      </c>
      <c r="J274" s="14" t="e">
        <f>INDEX('Table of compositions'!G:G,MATCH(E274,'Table of compositions'!H:H,0))</f>
        <v>#N/A</v>
      </c>
    </row>
    <row r="275" spans="9:10" x14ac:dyDescent="0.25">
      <c r="I275" s="18" t="e">
        <f t="shared" si="5"/>
        <v>#DIV/0!</v>
      </c>
      <c r="J275" s="14" t="e">
        <f>INDEX('Table of compositions'!G:G,MATCH(E275,'Table of compositions'!H:H,0))</f>
        <v>#N/A</v>
      </c>
    </row>
    <row r="276" spans="9:10" x14ac:dyDescent="0.25">
      <c r="I276" s="18" t="e">
        <f t="shared" si="5"/>
        <v>#DIV/0!</v>
      </c>
      <c r="J276" s="14" t="e">
        <f>INDEX('Table of compositions'!G:G,MATCH(E276,'Table of compositions'!H:H,0))</f>
        <v>#N/A</v>
      </c>
    </row>
    <row r="277" spans="9:10" x14ac:dyDescent="0.25">
      <c r="I277" s="18" t="e">
        <f t="shared" si="5"/>
        <v>#DIV/0!</v>
      </c>
      <c r="J277" s="14" t="e">
        <f>INDEX('Table of compositions'!G:G,MATCH(E277,'Table of compositions'!H:H,0))</f>
        <v>#N/A</v>
      </c>
    </row>
    <row r="278" spans="9:10" x14ac:dyDescent="0.25">
      <c r="I278" s="18" t="e">
        <f t="shared" si="5"/>
        <v>#DIV/0!</v>
      </c>
      <c r="J278" s="14" t="e">
        <f>INDEX('Table of compositions'!G:G,MATCH(E278,'Table of compositions'!H:H,0))</f>
        <v>#N/A</v>
      </c>
    </row>
    <row r="279" spans="9:10" x14ac:dyDescent="0.25">
      <c r="I279" s="18" t="e">
        <f t="shared" si="5"/>
        <v>#DIV/0!</v>
      </c>
      <c r="J279" s="14" t="e">
        <f>INDEX('Table of compositions'!G:G,MATCH(E279,'Table of compositions'!H:H,0))</f>
        <v>#N/A</v>
      </c>
    </row>
    <row r="280" spans="9:10" x14ac:dyDescent="0.25">
      <c r="I280" s="18" t="e">
        <f t="shared" si="5"/>
        <v>#DIV/0!</v>
      </c>
      <c r="J280" s="14" t="e">
        <f>INDEX('Table of compositions'!G:G,MATCH(E280,'Table of compositions'!H:H,0))</f>
        <v>#N/A</v>
      </c>
    </row>
    <row r="281" spans="9:10" x14ac:dyDescent="0.25">
      <c r="I281" s="18" t="e">
        <f t="shared" si="5"/>
        <v>#DIV/0!</v>
      </c>
      <c r="J281" s="14" t="e">
        <f>INDEX('Table of compositions'!G:G,MATCH(E281,'Table of compositions'!H:H,0))</f>
        <v>#N/A</v>
      </c>
    </row>
    <row r="282" spans="9:10" x14ac:dyDescent="0.25">
      <c r="I282" s="18" t="e">
        <f t="shared" si="5"/>
        <v>#DIV/0!</v>
      </c>
      <c r="J282" s="14" t="e">
        <f>INDEX('Table of compositions'!G:G,MATCH(E282,'Table of compositions'!H:H,0))</f>
        <v>#N/A</v>
      </c>
    </row>
    <row r="283" spans="9:10" x14ac:dyDescent="0.25">
      <c r="I283" s="18" t="e">
        <f t="shared" si="5"/>
        <v>#DIV/0!</v>
      </c>
      <c r="J283" s="14" t="e">
        <f>INDEX('Table of compositions'!G:G,MATCH(E283,'Table of compositions'!H:H,0))</f>
        <v>#N/A</v>
      </c>
    </row>
    <row r="284" spans="9:10" x14ac:dyDescent="0.25">
      <c r="I284" s="18" t="e">
        <f t="shared" si="5"/>
        <v>#DIV/0!</v>
      </c>
      <c r="J284" s="14" t="e">
        <f>INDEX('Table of compositions'!G:G,MATCH(E284,'Table of compositions'!H:H,0))</f>
        <v>#N/A</v>
      </c>
    </row>
    <row r="285" spans="9:10" x14ac:dyDescent="0.25">
      <c r="I285" s="18" t="e">
        <f t="shared" si="5"/>
        <v>#DIV/0!</v>
      </c>
      <c r="J285" s="14" t="e">
        <f>INDEX('Table of compositions'!G:G,MATCH(E285,'Table of compositions'!H:H,0))</f>
        <v>#N/A</v>
      </c>
    </row>
    <row r="286" spans="9:10" x14ac:dyDescent="0.25">
      <c r="I286" s="18" t="e">
        <f t="shared" si="5"/>
        <v>#DIV/0!</v>
      </c>
      <c r="J286" s="14" t="e">
        <f>INDEX('Table of compositions'!G:G,MATCH(E286,'Table of compositions'!H:H,0))</f>
        <v>#N/A</v>
      </c>
    </row>
    <row r="287" spans="9:10" x14ac:dyDescent="0.25">
      <c r="I287" s="18" t="e">
        <f t="shared" si="5"/>
        <v>#DIV/0!</v>
      </c>
      <c r="J287" s="14" t="e">
        <f>INDEX('Table of compositions'!G:G,MATCH(E287,'Table of compositions'!H:H,0))</f>
        <v>#N/A</v>
      </c>
    </row>
    <row r="288" spans="9:10" x14ac:dyDescent="0.25">
      <c r="I288" s="18" t="e">
        <f t="shared" si="5"/>
        <v>#DIV/0!</v>
      </c>
      <c r="J288" s="14" t="e">
        <f>INDEX('Table of compositions'!G:G,MATCH(E288,'Table of compositions'!H:H,0))</f>
        <v>#N/A</v>
      </c>
    </row>
    <row r="289" spans="9:10" x14ac:dyDescent="0.25">
      <c r="I289" s="18" t="e">
        <f t="shared" si="5"/>
        <v>#DIV/0!</v>
      </c>
      <c r="J289" s="14" t="e">
        <f>INDEX('Table of compositions'!G:G,MATCH(E289,'Table of compositions'!H:H,0))</f>
        <v>#N/A</v>
      </c>
    </row>
    <row r="290" spans="9:10" x14ac:dyDescent="0.25">
      <c r="I290" s="18" t="e">
        <f t="shared" si="5"/>
        <v>#DIV/0!</v>
      </c>
      <c r="J290" s="14" t="e">
        <f>INDEX('Table of compositions'!G:G,MATCH(E290,'Table of compositions'!H:H,0))</f>
        <v>#N/A</v>
      </c>
    </row>
    <row r="291" spans="9:10" x14ac:dyDescent="0.25">
      <c r="I291" s="18" t="e">
        <f t="shared" si="5"/>
        <v>#DIV/0!</v>
      </c>
      <c r="J291" s="14" t="e">
        <f>INDEX('Table of compositions'!G:G,MATCH(E291,'Table of compositions'!H:H,0))</f>
        <v>#N/A</v>
      </c>
    </row>
    <row r="292" spans="9:10" x14ac:dyDescent="0.25">
      <c r="I292" s="18" t="e">
        <f t="shared" si="5"/>
        <v>#DIV/0!</v>
      </c>
      <c r="J292" s="14" t="e">
        <f>INDEX('Table of compositions'!G:G,MATCH(E292,'Table of compositions'!H:H,0))</f>
        <v>#N/A</v>
      </c>
    </row>
    <row r="293" spans="9:10" x14ac:dyDescent="0.25">
      <c r="I293" s="18" t="e">
        <f t="shared" si="5"/>
        <v>#DIV/0!</v>
      </c>
      <c r="J293" s="14" t="e">
        <f>INDEX('Table of compositions'!G:G,MATCH(E293,'Table of compositions'!H:H,0))</f>
        <v>#N/A</v>
      </c>
    </row>
    <row r="294" spans="9:10" x14ac:dyDescent="0.25">
      <c r="I294" s="18" t="e">
        <f t="shared" si="5"/>
        <v>#DIV/0!</v>
      </c>
      <c r="J294" s="14" t="e">
        <f>INDEX('Table of compositions'!G:G,MATCH(E294,'Table of compositions'!H:H,0))</f>
        <v>#N/A</v>
      </c>
    </row>
    <row r="295" spans="9:10" x14ac:dyDescent="0.25">
      <c r="I295" s="18" t="e">
        <f t="shared" si="5"/>
        <v>#DIV/0!</v>
      </c>
      <c r="J295" s="14" t="e">
        <f>INDEX('Table of compositions'!G:G,MATCH(E295,'Table of compositions'!H:H,0))</f>
        <v>#N/A</v>
      </c>
    </row>
    <row r="296" spans="9:10" x14ac:dyDescent="0.25">
      <c r="I296" s="18" t="e">
        <f t="shared" si="5"/>
        <v>#DIV/0!</v>
      </c>
      <c r="J296" s="14" t="e">
        <f>INDEX('Table of compositions'!G:G,MATCH(E296,'Table of compositions'!H:H,0))</f>
        <v>#N/A</v>
      </c>
    </row>
    <row r="297" spans="9:10" x14ac:dyDescent="0.25">
      <c r="I297" s="18" t="e">
        <f t="shared" si="5"/>
        <v>#DIV/0!</v>
      </c>
      <c r="J297" s="14" t="e">
        <f>INDEX('Table of compositions'!G:G,MATCH(E297,'Table of compositions'!H:H,0))</f>
        <v>#N/A</v>
      </c>
    </row>
    <row r="298" spans="9:10" x14ac:dyDescent="0.25">
      <c r="I298" s="18" t="e">
        <f t="shared" si="5"/>
        <v>#DIV/0!</v>
      </c>
      <c r="J298" s="14" t="e">
        <f>INDEX('Table of compositions'!G:G,MATCH(E298,'Table of compositions'!H:H,0))</f>
        <v>#N/A</v>
      </c>
    </row>
    <row r="299" spans="9:10" x14ac:dyDescent="0.25">
      <c r="I299" s="18" t="e">
        <f t="shared" si="5"/>
        <v>#DIV/0!</v>
      </c>
      <c r="J299" s="14" t="e">
        <f>INDEX('Table of compositions'!G:G,MATCH(E299,'Table of compositions'!H:H,0))</f>
        <v>#N/A</v>
      </c>
    </row>
    <row r="300" spans="9:10" x14ac:dyDescent="0.25">
      <c r="I300" s="18" t="e">
        <f t="shared" si="5"/>
        <v>#DIV/0!</v>
      </c>
      <c r="J300" s="14" t="e">
        <f>INDEX('Table of compositions'!G:G,MATCH(E300,'Table of compositions'!H:H,0))</f>
        <v>#N/A</v>
      </c>
    </row>
    <row r="301" spans="9:10" x14ac:dyDescent="0.25">
      <c r="I301" s="18" t="e">
        <f t="shared" si="5"/>
        <v>#DIV/0!</v>
      </c>
      <c r="J301" s="14" t="e">
        <f>INDEX('Table of compositions'!G:G,MATCH(E301,'Table of compositions'!H:H,0))</f>
        <v>#N/A</v>
      </c>
    </row>
    <row r="302" spans="9:10" x14ac:dyDescent="0.25">
      <c r="I302" s="18" t="e">
        <f t="shared" si="5"/>
        <v>#DIV/0!</v>
      </c>
      <c r="J302" s="14" t="e">
        <f>INDEX('Table of compositions'!G:G,MATCH(E302,'Table of compositions'!H:H,0))</f>
        <v>#N/A</v>
      </c>
    </row>
    <row r="303" spans="9:10" x14ac:dyDescent="0.25">
      <c r="I303" s="18" t="e">
        <f t="shared" si="5"/>
        <v>#DIV/0!</v>
      </c>
      <c r="J303" s="14" t="e">
        <f>INDEX('Table of compositions'!G:G,MATCH(E303,'Table of compositions'!H:H,0))</f>
        <v>#N/A</v>
      </c>
    </row>
    <row r="304" spans="9:10" x14ac:dyDescent="0.25">
      <c r="I304" s="18" t="e">
        <f t="shared" si="5"/>
        <v>#DIV/0!</v>
      </c>
      <c r="J304" s="14" t="e">
        <f>INDEX('Table of compositions'!G:G,MATCH(E304,'Table of compositions'!H:H,0))</f>
        <v>#N/A</v>
      </c>
    </row>
    <row r="305" spans="9:10" x14ac:dyDescent="0.25">
      <c r="I305" s="18" t="e">
        <f t="shared" si="5"/>
        <v>#DIV/0!</v>
      </c>
      <c r="J305" s="14" t="e">
        <f>INDEX('Table of compositions'!G:G,MATCH(E305,'Table of compositions'!H:H,0))</f>
        <v>#N/A</v>
      </c>
    </row>
    <row r="306" spans="9:10" x14ac:dyDescent="0.25">
      <c r="I306" s="18" t="e">
        <f t="shared" si="5"/>
        <v>#DIV/0!</v>
      </c>
      <c r="J306" s="14" t="e">
        <f>INDEX('Table of compositions'!G:G,MATCH(E306,'Table of compositions'!H:H,0))</f>
        <v>#N/A</v>
      </c>
    </row>
    <row r="307" spans="9:10" x14ac:dyDescent="0.25">
      <c r="I307" s="18" t="e">
        <f t="shared" si="5"/>
        <v>#DIV/0!</v>
      </c>
      <c r="J307" s="14" t="e">
        <f>INDEX('Table of compositions'!G:G,MATCH(E307,'Table of compositions'!H:H,0))</f>
        <v>#N/A</v>
      </c>
    </row>
    <row r="308" spans="9:10" x14ac:dyDescent="0.25">
      <c r="I308" s="18" t="e">
        <f t="shared" si="5"/>
        <v>#DIV/0!</v>
      </c>
      <c r="J308" s="14" t="e">
        <f>INDEX('Table of compositions'!G:G,MATCH(E308,'Table of compositions'!H:H,0))</f>
        <v>#N/A</v>
      </c>
    </row>
    <row r="309" spans="9:10" x14ac:dyDescent="0.25">
      <c r="I309" s="18" t="e">
        <f t="shared" si="5"/>
        <v>#DIV/0!</v>
      </c>
      <c r="J309" s="14" t="e">
        <f>INDEX('Table of compositions'!G:G,MATCH(E309,'Table of compositions'!H:H,0))</f>
        <v>#N/A</v>
      </c>
    </row>
    <row r="310" spans="9:10" x14ac:dyDescent="0.25">
      <c r="I310" s="18" t="e">
        <f t="shared" si="5"/>
        <v>#DIV/0!</v>
      </c>
      <c r="J310" s="14" t="e">
        <f>INDEX('Table of compositions'!G:G,MATCH(E310,'Table of compositions'!H:H,0))</f>
        <v>#N/A</v>
      </c>
    </row>
    <row r="311" spans="9:10" x14ac:dyDescent="0.25">
      <c r="I311" s="18" t="e">
        <f t="shared" si="5"/>
        <v>#DIV/0!</v>
      </c>
      <c r="J311" s="14" t="e">
        <f>INDEX('Table of compositions'!G:G,MATCH(E311,'Table of compositions'!H:H,0))</f>
        <v>#N/A</v>
      </c>
    </row>
    <row r="312" spans="9:10" x14ac:dyDescent="0.25">
      <c r="I312" s="18" t="e">
        <f t="shared" si="5"/>
        <v>#DIV/0!</v>
      </c>
      <c r="J312" s="14" t="e">
        <f>INDEX('Table of compositions'!G:G,MATCH(E312,'Table of compositions'!H:H,0))</f>
        <v>#N/A</v>
      </c>
    </row>
    <row r="313" spans="9:10" x14ac:dyDescent="0.25">
      <c r="I313" s="18" t="e">
        <f t="shared" si="5"/>
        <v>#DIV/0!</v>
      </c>
      <c r="J313" s="14" t="e">
        <f>INDEX('Table of compositions'!G:G,MATCH(E313,'Table of compositions'!H:H,0))</f>
        <v>#N/A</v>
      </c>
    </row>
    <row r="314" spans="9:10" x14ac:dyDescent="0.25">
      <c r="I314" s="18" t="e">
        <f t="shared" si="5"/>
        <v>#DIV/0!</v>
      </c>
      <c r="J314" s="14" t="e">
        <f>INDEX('Table of compositions'!G:G,MATCH(E314,'Table of compositions'!H:H,0))</f>
        <v>#N/A</v>
      </c>
    </row>
    <row r="315" spans="9:10" x14ac:dyDescent="0.25">
      <c r="I315" s="18" t="e">
        <f t="shared" si="5"/>
        <v>#DIV/0!</v>
      </c>
      <c r="J315" s="14" t="e">
        <f>INDEX('Table of compositions'!G:G,MATCH(E315,'Table of compositions'!H:H,0))</f>
        <v>#N/A</v>
      </c>
    </row>
    <row r="316" spans="9:10" x14ac:dyDescent="0.25">
      <c r="I316" s="18" t="e">
        <f t="shared" si="5"/>
        <v>#DIV/0!</v>
      </c>
      <c r="J316" s="14" t="e">
        <f>INDEX('Table of compositions'!G:G,MATCH(E316,'Table of compositions'!H:H,0))</f>
        <v>#N/A</v>
      </c>
    </row>
    <row r="317" spans="9:10" x14ac:dyDescent="0.25">
      <c r="I317" s="18" t="e">
        <f t="shared" si="5"/>
        <v>#DIV/0!</v>
      </c>
      <c r="J317" s="14" t="e">
        <f>INDEX('Table of compositions'!G:G,MATCH(E317,'Table of compositions'!H:H,0))</f>
        <v>#N/A</v>
      </c>
    </row>
    <row r="318" spans="9:10" x14ac:dyDescent="0.25">
      <c r="I318" s="18" t="e">
        <f t="shared" si="5"/>
        <v>#DIV/0!</v>
      </c>
      <c r="J318" s="14" t="e">
        <f>INDEX('Table of compositions'!G:G,MATCH(E318,'Table of compositions'!H:H,0))</f>
        <v>#N/A</v>
      </c>
    </row>
    <row r="319" spans="9:10" x14ac:dyDescent="0.25">
      <c r="I319" s="18" t="e">
        <f t="shared" si="5"/>
        <v>#DIV/0!</v>
      </c>
      <c r="J319" s="14" t="e">
        <f>INDEX('Table of compositions'!G:G,MATCH(E319,'Table of compositions'!H:H,0))</f>
        <v>#N/A</v>
      </c>
    </row>
    <row r="320" spans="9:10" x14ac:dyDescent="0.25">
      <c r="I320" s="18" t="e">
        <f t="shared" si="5"/>
        <v>#DIV/0!</v>
      </c>
      <c r="J320" s="14" t="e">
        <f>INDEX('Table of compositions'!G:G,MATCH(E320,'Table of compositions'!H:H,0))</f>
        <v>#N/A</v>
      </c>
    </row>
    <row r="321" spans="9:10" x14ac:dyDescent="0.25">
      <c r="I321" s="18" t="e">
        <f t="shared" si="5"/>
        <v>#DIV/0!</v>
      </c>
      <c r="J321" s="14" t="e">
        <f>INDEX('Table of compositions'!G:G,MATCH(E321,'Table of compositions'!H:H,0))</f>
        <v>#N/A</v>
      </c>
    </row>
    <row r="322" spans="9:10" x14ac:dyDescent="0.25">
      <c r="I322" s="18" t="e">
        <f t="shared" si="5"/>
        <v>#DIV/0!</v>
      </c>
      <c r="J322" s="14" t="e">
        <f>INDEX('Table of compositions'!G:G,MATCH(E322,'Table of compositions'!H:H,0))</f>
        <v>#N/A</v>
      </c>
    </row>
    <row r="323" spans="9:10" x14ac:dyDescent="0.25">
      <c r="I323" s="18" t="e">
        <f t="shared" ref="I323:I386" si="6">H323/SUM(H:H)</f>
        <v>#DIV/0!</v>
      </c>
      <c r="J323" s="14" t="e">
        <f>INDEX('Table of compositions'!G:G,MATCH(E323,'Table of compositions'!H:H,0))</f>
        <v>#N/A</v>
      </c>
    </row>
    <row r="324" spans="9:10" x14ac:dyDescent="0.25">
      <c r="I324" s="18" t="e">
        <f t="shared" si="6"/>
        <v>#DIV/0!</v>
      </c>
      <c r="J324" s="14" t="e">
        <f>INDEX('Table of compositions'!G:G,MATCH(E324,'Table of compositions'!H:H,0))</f>
        <v>#N/A</v>
      </c>
    </row>
    <row r="325" spans="9:10" x14ac:dyDescent="0.25">
      <c r="I325" s="18" t="e">
        <f t="shared" si="6"/>
        <v>#DIV/0!</v>
      </c>
      <c r="J325" s="14" t="e">
        <f>INDEX('Table of compositions'!G:G,MATCH(E325,'Table of compositions'!H:H,0))</f>
        <v>#N/A</v>
      </c>
    </row>
    <row r="326" spans="9:10" x14ac:dyDescent="0.25">
      <c r="I326" s="18" t="e">
        <f t="shared" si="6"/>
        <v>#DIV/0!</v>
      </c>
      <c r="J326" s="14" t="e">
        <f>INDEX('Table of compositions'!G:G,MATCH(E326,'Table of compositions'!H:H,0))</f>
        <v>#N/A</v>
      </c>
    </row>
    <row r="327" spans="9:10" x14ac:dyDescent="0.25">
      <c r="I327" s="18" t="e">
        <f t="shared" si="6"/>
        <v>#DIV/0!</v>
      </c>
      <c r="J327" s="14" t="e">
        <f>INDEX('Table of compositions'!G:G,MATCH(E327,'Table of compositions'!H:H,0))</f>
        <v>#N/A</v>
      </c>
    </row>
    <row r="328" spans="9:10" x14ac:dyDescent="0.25">
      <c r="I328" s="18" t="e">
        <f t="shared" si="6"/>
        <v>#DIV/0!</v>
      </c>
      <c r="J328" s="14" t="e">
        <f>INDEX('Table of compositions'!G:G,MATCH(E328,'Table of compositions'!H:H,0))</f>
        <v>#N/A</v>
      </c>
    </row>
    <row r="329" spans="9:10" x14ac:dyDescent="0.25">
      <c r="I329" s="18" t="e">
        <f t="shared" si="6"/>
        <v>#DIV/0!</v>
      </c>
      <c r="J329" s="14" t="e">
        <f>INDEX('Table of compositions'!G:G,MATCH(E329,'Table of compositions'!H:H,0))</f>
        <v>#N/A</v>
      </c>
    </row>
    <row r="330" spans="9:10" x14ac:dyDescent="0.25">
      <c r="I330" s="18" t="e">
        <f t="shared" si="6"/>
        <v>#DIV/0!</v>
      </c>
      <c r="J330" s="14" t="e">
        <f>INDEX('Table of compositions'!G:G,MATCH(E330,'Table of compositions'!H:H,0))</f>
        <v>#N/A</v>
      </c>
    </row>
    <row r="331" spans="9:10" x14ac:dyDescent="0.25">
      <c r="I331" s="18" t="e">
        <f t="shared" si="6"/>
        <v>#DIV/0!</v>
      </c>
      <c r="J331" s="14" t="e">
        <f>INDEX('Table of compositions'!G:G,MATCH(E331,'Table of compositions'!H:H,0))</f>
        <v>#N/A</v>
      </c>
    </row>
    <row r="332" spans="9:10" x14ac:dyDescent="0.25">
      <c r="I332" s="18" t="e">
        <f t="shared" si="6"/>
        <v>#DIV/0!</v>
      </c>
      <c r="J332" s="14" t="e">
        <f>INDEX('Table of compositions'!G:G,MATCH(E332,'Table of compositions'!H:H,0))</f>
        <v>#N/A</v>
      </c>
    </row>
    <row r="333" spans="9:10" x14ac:dyDescent="0.25">
      <c r="I333" s="18" t="e">
        <f t="shared" si="6"/>
        <v>#DIV/0!</v>
      </c>
      <c r="J333" s="14" t="e">
        <f>INDEX('Table of compositions'!G:G,MATCH(E333,'Table of compositions'!H:H,0))</f>
        <v>#N/A</v>
      </c>
    </row>
    <row r="334" spans="9:10" x14ac:dyDescent="0.25">
      <c r="I334" s="18" t="e">
        <f t="shared" si="6"/>
        <v>#DIV/0!</v>
      </c>
      <c r="J334" s="14" t="e">
        <f>INDEX('Table of compositions'!G:G,MATCH(E334,'Table of compositions'!H:H,0))</f>
        <v>#N/A</v>
      </c>
    </row>
    <row r="335" spans="9:10" x14ac:dyDescent="0.25">
      <c r="I335" s="18" t="e">
        <f t="shared" si="6"/>
        <v>#DIV/0!</v>
      </c>
      <c r="J335" s="14" t="e">
        <f>INDEX('Table of compositions'!G:G,MATCH(E335,'Table of compositions'!H:H,0))</f>
        <v>#N/A</v>
      </c>
    </row>
    <row r="336" spans="9:10" x14ac:dyDescent="0.25">
      <c r="I336" s="18" t="e">
        <f t="shared" si="6"/>
        <v>#DIV/0!</v>
      </c>
      <c r="J336" s="14" t="e">
        <f>INDEX('Table of compositions'!G:G,MATCH(E336,'Table of compositions'!H:H,0))</f>
        <v>#N/A</v>
      </c>
    </row>
    <row r="337" spans="9:10" x14ac:dyDescent="0.25">
      <c r="I337" s="18" t="e">
        <f t="shared" si="6"/>
        <v>#DIV/0!</v>
      </c>
      <c r="J337" s="14" t="e">
        <f>INDEX('Table of compositions'!G:G,MATCH(E337,'Table of compositions'!H:H,0))</f>
        <v>#N/A</v>
      </c>
    </row>
    <row r="338" spans="9:10" x14ac:dyDescent="0.25">
      <c r="I338" s="18" t="e">
        <f t="shared" si="6"/>
        <v>#DIV/0!</v>
      </c>
      <c r="J338" s="14" t="e">
        <f>INDEX('Table of compositions'!G:G,MATCH(E338,'Table of compositions'!H:H,0))</f>
        <v>#N/A</v>
      </c>
    </row>
    <row r="339" spans="9:10" x14ac:dyDescent="0.25">
      <c r="I339" s="18" t="e">
        <f t="shared" si="6"/>
        <v>#DIV/0!</v>
      </c>
      <c r="J339" s="14" t="e">
        <f>INDEX('Table of compositions'!G:G,MATCH(E339,'Table of compositions'!H:H,0))</f>
        <v>#N/A</v>
      </c>
    </row>
    <row r="340" spans="9:10" x14ac:dyDescent="0.25">
      <c r="I340" s="18" t="e">
        <f t="shared" si="6"/>
        <v>#DIV/0!</v>
      </c>
      <c r="J340" s="14" t="e">
        <f>INDEX('Table of compositions'!G:G,MATCH(E340,'Table of compositions'!H:H,0))</f>
        <v>#N/A</v>
      </c>
    </row>
    <row r="341" spans="9:10" x14ac:dyDescent="0.25">
      <c r="I341" s="18" t="e">
        <f t="shared" si="6"/>
        <v>#DIV/0!</v>
      </c>
      <c r="J341" s="14" t="e">
        <f>INDEX('Table of compositions'!G:G,MATCH(E341,'Table of compositions'!H:H,0))</f>
        <v>#N/A</v>
      </c>
    </row>
    <row r="342" spans="9:10" x14ac:dyDescent="0.25">
      <c r="I342" s="18" t="e">
        <f t="shared" si="6"/>
        <v>#DIV/0!</v>
      </c>
      <c r="J342" s="14" t="e">
        <f>INDEX('Table of compositions'!G:G,MATCH(E342,'Table of compositions'!H:H,0))</f>
        <v>#N/A</v>
      </c>
    </row>
    <row r="343" spans="9:10" x14ac:dyDescent="0.25">
      <c r="I343" s="18" t="e">
        <f t="shared" si="6"/>
        <v>#DIV/0!</v>
      </c>
      <c r="J343" s="14" t="e">
        <f>INDEX('Table of compositions'!G:G,MATCH(E343,'Table of compositions'!H:H,0))</f>
        <v>#N/A</v>
      </c>
    </row>
    <row r="344" spans="9:10" x14ac:dyDescent="0.25">
      <c r="I344" s="18" t="e">
        <f t="shared" si="6"/>
        <v>#DIV/0!</v>
      </c>
      <c r="J344" s="14" t="e">
        <f>INDEX('Table of compositions'!G:G,MATCH(E344,'Table of compositions'!H:H,0))</f>
        <v>#N/A</v>
      </c>
    </row>
    <row r="345" spans="9:10" x14ac:dyDescent="0.25">
      <c r="I345" s="18" t="e">
        <f t="shared" si="6"/>
        <v>#DIV/0!</v>
      </c>
      <c r="J345" s="14" t="e">
        <f>INDEX('Table of compositions'!G:G,MATCH(E345,'Table of compositions'!H:H,0))</f>
        <v>#N/A</v>
      </c>
    </row>
    <row r="346" spans="9:10" x14ac:dyDescent="0.25">
      <c r="I346" s="18" t="e">
        <f t="shared" si="6"/>
        <v>#DIV/0!</v>
      </c>
      <c r="J346" s="14" t="e">
        <f>INDEX('Table of compositions'!G:G,MATCH(E346,'Table of compositions'!H:H,0))</f>
        <v>#N/A</v>
      </c>
    </row>
    <row r="347" spans="9:10" x14ac:dyDescent="0.25">
      <c r="I347" s="18" t="e">
        <f t="shared" si="6"/>
        <v>#DIV/0!</v>
      </c>
      <c r="J347" s="14" t="e">
        <f>INDEX('Table of compositions'!G:G,MATCH(E347,'Table of compositions'!H:H,0))</f>
        <v>#N/A</v>
      </c>
    </row>
    <row r="348" spans="9:10" x14ac:dyDescent="0.25">
      <c r="I348" s="18" t="e">
        <f t="shared" si="6"/>
        <v>#DIV/0!</v>
      </c>
      <c r="J348" s="14" t="e">
        <f>INDEX('Table of compositions'!G:G,MATCH(E348,'Table of compositions'!H:H,0))</f>
        <v>#N/A</v>
      </c>
    </row>
    <row r="349" spans="9:10" x14ac:dyDescent="0.25">
      <c r="I349" s="18" t="e">
        <f t="shared" si="6"/>
        <v>#DIV/0!</v>
      </c>
      <c r="J349" s="14" t="e">
        <f>INDEX('Table of compositions'!G:G,MATCH(E349,'Table of compositions'!H:H,0))</f>
        <v>#N/A</v>
      </c>
    </row>
    <row r="350" spans="9:10" x14ac:dyDescent="0.25">
      <c r="I350" s="18" t="e">
        <f t="shared" si="6"/>
        <v>#DIV/0!</v>
      </c>
      <c r="J350" s="14" t="e">
        <f>INDEX('Table of compositions'!G:G,MATCH(E350,'Table of compositions'!H:H,0))</f>
        <v>#N/A</v>
      </c>
    </row>
    <row r="351" spans="9:10" x14ac:dyDescent="0.25">
      <c r="I351" s="18" t="e">
        <f t="shared" si="6"/>
        <v>#DIV/0!</v>
      </c>
      <c r="J351" s="14" t="e">
        <f>INDEX('Table of compositions'!G:G,MATCH(E351,'Table of compositions'!H:H,0))</f>
        <v>#N/A</v>
      </c>
    </row>
    <row r="352" spans="9:10" x14ac:dyDescent="0.25">
      <c r="I352" s="18" t="e">
        <f t="shared" si="6"/>
        <v>#DIV/0!</v>
      </c>
      <c r="J352" s="14" t="e">
        <f>INDEX('Table of compositions'!G:G,MATCH(E352,'Table of compositions'!H:H,0))</f>
        <v>#N/A</v>
      </c>
    </row>
    <row r="353" spans="9:10" x14ac:dyDescent="0.25">
      <c r="I353" s="18" t="e">
        <f t="shared" si="6"/>
        <v>#DIV/0!</v>
      </c>
      <c r="J353" s="14" t="e">
        <f>INDEX('Table of compositions'!G:G,MATCH(E353,'Table of compositions'!H:H,0))</f>
        <v>#N/A</v>
      </c>
    </row>
    <row r="354" spans="9:10" x14ac:dyDescent="0.25">
      <c r="I354" s="18" t="e">
        <f t="shared" si="6"/>
        <v>#DIV/0!</v>
      </c>
      <c r="J354" s="14" t="e">
        <f>INDEX('Table of compositions'!G:G,MATCH(E354,'Table of compositions'!H:H,0))</f>
        <v>#N/A</v>
      </c>
    </row>
    <row r="355" spans="9:10" x14ac:dyDescent="0.25">
      <c r="I355" s="18" t="e">
        <f t="shared" si="6"/>
        <v>#DIV/0!</v>
      </c>
      <c r="J355" s="14" t="e">
        <f>INDEX('Table of compositions'!G:G,MATCH(E355,'Table of compositions'!H:H,0))</f>
        <v>#N/A</v>
      </c>
    </row>
    <row r="356" spans="9:10" x14ac:dyDescent="0.25">
      <c r="I356" s="18" t="e">
        <f t="shared" si="6"/>
        <v>#DIV/0!</v>
      </c>
      <c r="J356" s="14" t="e">
        <f>INDEX('Table of compositions'!G:G,MATCH(E356,'Table of compositions'!H:H,0))</f>
        <v>#N/A</v>
      </c>
    </row>
    <row r="357" spans="9:10" x14ac:dyDescent="0.25">
      <c r="I357" s="18" t="e">
        <f t="shared" si="6"/>
        <v>#DIV/0!</v>
      </c>
      <c r="J357" s="14" t="e">
        <f>INDEX('Table of compositions'!G:G,MATCH(E357,'Table of compositions'!H:H,0))</f>
        <v>#N/A</v>
      </c>
    </row>
    <row r="358" spans="9:10" x14ac:dyDescent="0.25">
      <c r="I358" s="18" t="e">
        <f t="shared" si="6"/>
        <v>#DIV/0!</v>
      </c>
      <c r="J358" s="14" t="e">
        <f>INDEX('Table of compositions'!G:G,MATCH(E358,'Table of compositions'!H:H,0))</f>
        <v>#N/A</v>
      </c>
    </row>
    <row r="359" spans="9:10" x14ac:dyDescent="0.25">
      <c r="I359" s="18" t="e">
        <f t="shared" si="6"/>
        <v>#DIV/0!</v>
      </c>
      <c r="J359" s="14" t="e">
        <f>INDEX('Table of compositions'!G:G,MATCH(E359,'Table of compositions'!H:H,0))</f>
        <v>#N/A</v>
      </c>
    </row>
    <row r="360" spans="9:10" x14ac:dyDescent="0.25">
      <c r="I360" s="18" t="e">
        <f t="shared" si="6"/>
        <v>#DIV/0!</v>
      </c>
      <c r="J360" s="14" t="e">
        <f>INDEX('Table of compositions'!G:G,MATCH(E360,'Table of compositions'!H:H,0))</f>
        <v>#N/A</v>
      </c>
    </row>
    <row r="361" spans="9:10" x14ac:dyDescent="0.25">
      <c r="I361" s="18" t="e">
        <f t="shared" si="6"/>
        <v>#DIV/0!</v>
      </c>
      <c r="J361" s="14" t="e">
        <f>INDEX('Table of compositions'!G:G,MATCH(E361,'Table of compositions'!H:H,0))</f>
        <v>#N/A</v>
      </c>
    </row>
    <row r="362" spans="9:10" x14ac:dyDescent="0.25">
      <c r="I362" s="18" t="e">
        <f t="shared" si="6"/>
        <v>#DIV/0!</v>
      </c>
      <c r="J362" s="14" t="e">
        <f>INDEX('Table of compositions'!G:G,MATCH(E362,'Table of compositions'!H:H,0))</f>
        <v>#N/A</v>
      </c>
    </row>
    <row r="363" spans="9:10" x14ac:dyDescent="0.25">
      <c r="I363" s="18" t="e">
        <f t="shared" si="6"/>
        <v>#DIV/0!</v>
      </c>
      <c r="J363" s="14" t="e">
        <f>INDEX('Table of compositions'!G:G,MATCH(E363,'Table of compositions'!H:H,0))</f>
        <v>#N/A</v>
      </c>
    </row>
    <row r="364" spans="9:10" x14ac:dyDescent="0.25">
      <c r="I364" s="18" t="e">
        <f t="shared" si="6"/>
        <v>#DIV/0!</v>
      </c>
      <c r="J364" s="14" t="e">
        <f>INDEX('Table of compositions'!G:G,MATCH(E364,'Table of compositions'!H:H,0))</f>
        <v>#N/A</v>
      </c>
    </row>
    <row r="365" spans="9:10" x14ac:dyDescent="0.25">
      <c r="I365" s="18" t="e">
        <f t="shared" si="6"/>
        <v>#DIV/0!</v>
      </c>
      <c r="J365" s="14" t="e">
        <f>INDEX('Table of compositions'!G:G,MATCH(E365,'Table of compositions'!H:H,0))</f>
        <v>#N/A</v>
      </c>
    </row>
    <row r="366" spans="9:10" x14ac:dyDescent="0.25">
      <c r="I366" s="18" t="e">
        <f t="shared" si="6"/>
        <v>#DIV/0!</v>
      </c>
      <c r="J366" s="14" t="e">
        <f>INDEX('Table of compositions'!G:G,MATCH(E366,'Table of compositions'!H:H,0))</f>
        <v>#N/A</v>
      </c>
    </row>
    <row r="367" spans="9:10" x14ac:dyDescent="0.25">
      <c r="I367" s="18" t="e">
        <f t="shared" si="6"/>
        <v>#DIV/0!</v>
      </c>
      <c r="J367" s="14" t="e">
        <f>INDEX('Table of compositions'!G:G,MATCH(E367,'Table of compositions'!H:H,0))</f>
        <v>#N/A</v>
      </c>
    </row>
    <row r="368" spans="9:10" x14ac:dyDescent="0.25">
      <c r="I368" s="18" t="e">
        <f t="shared" si="6"/>
        <v>#DIV/0!</v>
      </c>
      <c r="J368" s="14" t="e">
        <f>INDEX('Table of compositions'!G:G,MATCH(E368,'Table of compositions'!H:H,0))</f>
        <v>#N/A</v>
      </c>
    </row>
    <row r="369" spans="9:10" x14ac:dyDescent="0.25">
      <c r="I369" s="18" t="e">
        <f t="shared" si="6"/>
        <v>#DIV/0!</v>
      </c>
      <c r="J369" s="14" t="e">
        <f>INDEX('Table of compositions'!G:G,MATCH(E369,'Table of compositions'!H:H,0))</f>
        <v>#N/A</v>
      </c>
    </row>
    <row r="370" spans="9:10" x14ac:dyDescent="0.25">
      <c r="I370" s="18" t="e">
        <f t="shared" si="6"/>
        <v>#DIV/0!</v>
      </c>
      <c r="J370" s="14" t="e">
        <f>INDEX('Table of compositions'!G:G,MATCH(E370,'Table of compositions'!H:H,0))</f>
        <v>#N/A</v>
      </c>
    </row>
    <row r="371" spans="9:10" x14ac:dyDescent="0.25">
      <c r="I371" s="18" t="e">
        <f t="shared" si="6"/>
        <v>#DIV/0!</v>
      </c>
      <c r="J371" s="14" t="e">
        <f>INDEX('Table of compositions'!G:G,MATCH(E371,'Table of compositions'!H:H,0))</f>
        <v>#N/A</v>
      </c>
    </row>
    <row r="372" spans="9:10" x14ac:dyDescent="0.25">
      <c r="I372" s="18" t="e">
        <f t="shared" si="6"/>
        <v>#DIV/0!</v>
      </c>
      <c r="J372" s="14" t="e">
        <f>INDEX('Table of compositions'!G:G,MATCH(E372,'Table of compositions'!H:H,0))</f>
        <v>#N/A</v>
      </c>
    </row>
    <row r="373" spans="9:10" x14ac:dyDescent="0.25">
      <c r="I373" s="18" t="e">
        <f t="shared" si="6"/>
        <v>#DIV/0!</v>
      </c>
      <c r="J373" s="14" t="e">
        <f>INDEX('Table of compositions'!G:G,MATCH(E373,'Table of compositions'!H:H,0))</f>
        <v>#N/A</v>
      </c>
    </row>
    <row r="374" spans="9:10" x14ac:dyDescent="0.25">
      <c r="I374" s="18" t="e">
        <f t="shared" si="6"/>
        <v>#DIV/0!</v>
      </c>
      <c r="J374" s="14" t="e">
        <f>INDEX('Table of compositions'!G:G,MATCH(E374,'Table of compositions'!H:H,0))</f>
        <v>#N/A</v>
      </c>
    </row>
    <row r="375" spans="9:10" x14ac:dyDescent="0.25">
      <c r="I375" s="18" t="e">
        <f t="shared" si="6"/>
        <v>#DIV/0!</v>
      </c>
      <c r="J375" s="14" t="e">
        <f>INDEX('Table of compositions'!G:G,MATCH(E375,'Table of compositions'!H:H,0))</f>
        <v>#N/A</v>
      </c>
    </row>
    <row r="376" spans="9:10" x14ac:dyDescent="0.25">
      <c r="I376" s="18" t="e">
        <f t="shared" si="6"/>
        <v>#DIV/0!</v>
      </c>
      <c r="J376" s="14" t="e">
        <f>INDEX('Table of compositions'!G:G,MATCH(E376,'Table of compositions'!H:H,0))</f>
        <v>#N/A</v>
      </c>
    </row>
    <row r="377" spans="9:10" x14ac:dyDescent="0.25">
      <c r="I377" s="18" t="e">
        <f t="shared" si="6"/>
        <v>#DIV/0!</v>
      </c>
      <c r="J377" s="14" t="e">
        <f>INDEX('Table of compositions'!G:G,MATCH(E377,'Table of compositions'!H:H,0))</f>
        <v>#N/A</v>
      </c>
    </row>
    <row r="378" spans="9:10" x14ac:dyDescent="0.25">
      <c r="I378" s="18" t="e">
        <f t="shared" si="6"/>
        <v>#DIV/0!</v>
      </c>
      <c r="J378" s="14" t="e">
        <f>INDEX('Table of compositions'!G:G,MATCH(E378,'Table of compositions'!H:H,0))</f>
        <v>#N/A</v>
      </c>
    </row>
    <row r="379" spans="9:10" x14ac:dyDescent="0.25">
      <c r="I379" s="18" t="e">
        <f t="shared" si="6"/>
        <v>#DIV/0!</v>
      </c>
      <c r="J379" s="14" t="e">
        <f>INDEX('Table of compositions'!G:G,MATCH(E379,'Table of compositions'!H:H,0))</f>
        <v>#N/A</v>
      </c>
    </row>
    <row r="380" spans="9:10" x14ac:dyDescent="0.25">
      <c r="I380" s="18" t="e">
        <f t="shared" si="6"/>
        <v>#DIV/0!</v>
      </c>
      <c r="J380" s="14" t="e">
        <f>INDEX('Table of compositions'!G:G,MATCH(E380,'Table of compositions'!H:H,0))</f>
        <v>#N/A</v>
      </c>
    </row>
    <row r="381" spans="9:10" x14ac:dyDescent="0.25">
      <c r="I381" s="18" t="e">
        <f t="shared" si="6"/>
        <v>#DIV/0!</v>
      </c>
      <c r="J381" s="14" t="e">
        <f>INDEX('Table of compositions'!G:G,MATCH(E381,'Table of compositions'!H:H,0))</f>
        <v>#N/A</v>
      </c>
    </row>
    <row r="382" spans="9:10" x14ac:dyDescent="0.25">
      <c r="I382" s="18" t="e">
        <f t="shared" si="6"/>
        <v>#DIV/0!</v>
      </c>
      <c r="J382" s="14" t="e">
        <f>INDEX('Table of compositions'!G:G,MATCH(E382,'Table of compositions'!H:H,0))</f>
        <v>#N/A</v>
      </c>
    </row>
    <row r="383" spans="9:10" x14ac:dyDescent="0.25">
      <c r="I383" s="18" t="e">
        <f t="shared" si="6"/>
        <v>#DIV/0!</v>
      </c>
      <c r="J383" s="14" t="e">
        <f>INDEX('Table of compositions'!G:G,MATCH(E383,'Table of compositions'!H:H,0))</f>
        <v>#N/A</v>
      </c>
    </row>
    <row r="384" spans="9:10" x14ac:dyDescent="0.25">
      <c r="I384" s="18" t="e">
        <f t="shared" si="6"/>
        <v>#DIV/0!</v>
      </c>
      <c r="J384" s="14" t="e">
        <f>INDEX('Table of compositions'!G:G,MATCH(E384,'Table of compositions'!H:H,0))</f>
        <v>#N/A</v>
      </c>
    </row>
    <row r="385" spans="9:10" x14ac:dyDescent="0.25">
      <c r="I385" s="18" t="e">
        <f t="shared" si="6"/>
        <v>#DIV/0!</v>
      </c>
      <c r="J385" s="14" t="e">
        <f>INDEX('Table of compositions'!G:G,MATCH(E385,'Table of compositions'!H:H,0))</f>
        <v>#N/A</v>
      </c>
    </row>
    <row r="386" spans="9:10" x14ac:dyDescent="0.25">
      <c r="I386" s="18" t="e">
        <f t="shared" si="6"/>
        <v>#DIV/0!</v>
      </c>
      <c r="J386" s="14" t="e">
        <f>INDEX('Table of compositions'!G:G,MATCH(E386,'Table of compositions'!H:H,0))</f>
        <v>#N/A</v>
      </c>
    </row>
    <row r="387" spans="9:10" x14ac:dyDescent="0.25">
      <c r="I387" s="18" t="e">
        <f t="shared" ref="I387:I390" si="7">H387/SUM(H:H)</f>
        <v>#DIV/0!</v>
      </c>
      <c r="J387" s="14" t="e">
        <f>INDEX('Table of compositions'!G:G,MATCH(E387,'Table of compositions'!H:H,0))</f>
        <v>#N/A</v>
      </c>
    </row>
    <row r="388" spans="9:10" x14ac:dyDescent="0.25">
      <c r="I388" s="18" t="e">
        <f t="shared" si="7"/>
        <v>#DIV/0!</v>
      </c>
      <c r="J388" s="14" t="e">
        <f>INDEX('Table of compositions'!G:G,MATCH(E388,'Table of compositions'!H:H,0))</f>
        <v>#N/A</v>
      </c>
    </row>
    <row r="389" spans="9:10" x14ac:dyDescent="0.25">
      <c r="I389" s="18" t="e">
        <f t="shared" si="7"/>
        <v>#DIV/0!</v>
      </c>
      <c r="J389" s="14" t="e">
        <f>INDEX('Table of compositions'!G:G,MATCH(E389,'Table of compositions'!H:H,0))</f>
        <v>#N/A</v>
      </c>
    </row>
    <row r="390" spans="9:10" x14ac:dyDescent="0.25">
      <c r="I390" s="18" t="e">
        <f t="shared" si="7"/>
        <v>#DIV/0!</v>
      </c>
      <c r="J390" s="14" t="e">
        <f>INDEX('Table of compositions'!G:G,MATCH(E390,'Table of compositions'!H:H,0))</f>
        <v>#N/A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4" name="Button 1">
              <controlPr defaultSize="0" print="0" autoFill="0" autoPict="0" macro="[0]!processData">
                <anchor moveWithCells="1">
                  <from>
                    <xdr:col>10</xdr:col>
                    <xdr:colOff>276225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Q435"/>
  <sheetViews>
    <sheetView zoomScaleNormal="100" workbookViewId="0">
      <pane ySplit="1" topLeftCell="A47" activePane="bottomLeft" state="frozen"/>
      <selection pane="bottomLeft" activeCell="F65" sqref="F65"/>
    </sheetView>
  </sheetViews>
  <sheetFormatPr defaultRowHeight="15" x14ac:dyDescent="0.25"/>
  <cols>
    <col min="4" max="4" width="10.140625" bestFit="1" customWidth="1"/>
    <col min="6" max="6" width="24.140625" bestFit="1" customWidth="1"/>
    <col min="7" max="7" width="16.42578125" bestFit="1" customWidth="1"/>
    <col min="8" max="8" width="36.7109375" style="7" bestFit="1" customWidth="1"/>
    <col min="9" max="9" width="9.140625" style="7"/>
    <col min="11" max="11" width="22.140625" bestFit="1" customWidth="1"/>
  </cols>
  <sheetData>
    <row r="1" spans="1:12" x14ac:dyDescent="0.25">
      <c r="A1" s="11" t="s">
        <v>14</v>
      </c>
      <c r="B1" s="11" t="s">
        <v>15</v>
      </c>
      <c r="C1" s="11" t="s">
        <v>16</v>
      </c>
      <c r="D1" s="11" t="s">
        <v>507</v>
      </c>
      <c r="E1" s="11" t="s">
        <v>506</v>
      </c>
      <c r="F1" s="11" t="s">
        <v>17</v>
      </c>
      <c r="G1" s="11" t="s">
        <v>18</v>
      </c>
      <c r="H1" t="s">
        <v>222</v>
      </c>
    </row>
    <row r="2" spans="1:12" x14ac:dyDescent="0.25">
      <c r="A2" s="30" t="str">
        <f>'Formula for adding in new comp'!A8</f>
        <v>1</v>
      </c>
      <c r="B2" s="30">
        <f>'Formula for adding in new comp'!B8</f>
        <v>0</v>
      </c>
      <c r="C2" s="30">
        <f>'Formula for adding in new comp'!C8</f>
        <v>0</v>
      </c>
      <c r="D2" s="30">
        <f>'Formula for adding in new comp'!F8</f>
        <v>0</v>
      </c>
      <c r="E2" s="30">
        <f>'Formula for adding in new comp'!I8</f>
        <v>0</v>
      </c>
      <c r="F2" t="str">
        <f t="shared" ref="F2:F65" si="0">A2&amp;B2&amp;C2&amp;D2&amp;E2</f>
        <v>10000</v>
      </c>
      <c r="G2" t="s">
        <v>70</v>
      </c>
      <c r="H2" t="s">
        <v>223</v>
      </c>
    </row>
    <row r="3" spans="1:12" x14ac:dyDescent="0.25">
      <c r="A3" s="30" t="str">
        <f>'Formula for adding in new comp'!A12</f>
        <v>1</v>
      </c>
      <c r="B3" s="30">
        <f>'Formula for adding in new comp'!B12</f>
        <v>0</v>
      </c>
      <c r="C3" s="30" t="str">
        <f>'Formula for adding in new comp'!C12</f>
        <v>1</v>
      </c>
      <c r="D3" s="30">
        <f>'Formula for adding in new comp'!F12</f>
        <v>0</v>
      </c>
      <c r="E3" s="30">
        <f>'Formula for adding in new comp'!I12</f>
        <v>0</v>
      </c>
      <c r="F3" t="str">
        <f t="shared" si="0"/>
        <v>10100</v>
      </c>
      <c r="G3" t="s">
        <v>70</v>
      </c>
      <c r="H3" t="s">
        <v>74</v>
      </c>
    </row>
    <row r="4" spans="1:12" x14ac:dyDescent="0.25">
      <c r="A4" s="30" t="str">
        <f>'Formula for adding in new comp'!A9</f>
        <v>2</v>
      </c>
      <c r="B4" s="30">
        <f>'Formula for adding in new comp'!B9</f>
        <v>0</v>
      </c>
      <c r="C4" s="30">
        <f>'Formula for adding in new comp'!C9</f>
        <v>0</v>
      </c>
      <c r="D4" s="30">
        <f>'Formula for adding in new comp'!F9</f>
        <v>0</v>
      </c>
      <c r="E4" s="30">
        <f>'Formula for adding in new comp'!I9</f>
        <v>0</v>
      </c>
      <c r="F4" t="str">
        <f t="shared" si="0"/>
        <v>20000</v>
      </c>
      <c r="G4" t="s">
        <v>70</v>
      </c>
      <c r="H4" t="s">
        <v>224</v>
      </c>
    </row>
    <row r="5" spans="1:12" x14ac:dyDescent="0.25">
      <c r="A5" s="30" t="str">
        <f>'Formula for adding in new comp'!A13</f>
        <v>2</v>
      </c>
      <c r="B5" s="30">
        <f>'Formula for adding in new comp'!B13</f>
        <v>0</v>
      </c>
      <c r="C5" s="30" t="str">
        <f>'Formula for adding in new comp'!C13</f>
        <v>1</v>
      </c>
      <c r="D5" s="30">
        <f>'Formula for adding in new comp'!F13</f>
        <v>0</v>
      </c>
      <c r="E5" s="30">
        <f>'Formula for adding in new comp'!I13</f>
        <v>0</v>
      </c>
      <c r="F5" t="str">
        <f t="shared" si="0"/>
        <v>20100</v>
      </c>
      <c r="G5" t="s">
        <v>70</v>
      </c>
      <c r="H5" t="s">
        <v>227</v>
      </c>
    </row>
    <row r="6" spans="1:12" x14ac:dyDescent="0.25">
      <c r="A6" s="30" t="str">
        <f>'Formula for adding in new comp'!A10</f>
        <v>2</v>
      </c>
      <c r="B6" s="30" t="str">
        <f>'Formula for adding in new comp'!B10</f>
        <v>1</v>
      </c>
      <c r="C6" s="30">
        <f>'Formula for adding in new comp'!C10</f>
        <v>0</v>
      </c>
      <c r="D6" s="30">
        <f>'Formula for adding in new comp'!F10</f>
        <v>0</v>
      </c>
      <c r="E6" s="30">
        <f>'Formula for adding in new comp'!I10</f>
        <v>0</v>
      </c>
      <c r="F6" t="str">
        <f t="shared" si="0"/>
        <v>21000</v>
      </c>
      <c r="G6" t="s">
        <v>70</v>
      </c>
      <c r="H6" t="s">
        <v>225</v>
      </c>
      <c r="K6" t="s">
        <v>232</v>
      </c>
      <c r="L6" t="str">
        <f t="shared" ref="L6:L11" si="1">INDEX(G:G,(MATCH(K6,H:H,0)))</f>
        <v>FM</v>
      </c>
    </row>
    <row r="7" spans="1:12" x14ac:dyDescent="0.25">
      <c r="A7" s="30" t="str">
        <f>'Formula for adding in new comp'!A14</f>
        <v>2</v>
      </c>
      <c r="B7" s="30" t="str">
        <f>'Formula for adding in new comp'!B14</f>
        <v>1</v>
      </c>
      <c r="C7" s="30" t="str">
        <f>'Formula for adding in new comp'!C14</f>
        <v>1</v>
      </c>
      <c r="D7" s="30">
        <f>'Formula for adding in new comp'!F14</f>
        <v>0</v>
      </c>
      <c r="E7" s="30">
        <f>'Formula for adding in new comp'!I14</f>
        <v>0</v>
      </c>
      <c r="F7" t="str">
        <f t="shared" si="0"/>
        <v>21100</v>
      </c>
      <c r="G7" t="s">
        <v>70</v>
      </c>
      <c r="H7" t="s">
        <v>228</v>
      </c>
      <c r="K7" t="s">
        <v>233</v>
      </c>
      <c r="L7" t="str">
        <f t="shared" si="1"/>
        <v>FM</v>
      </c>
    </row>
    <row r="8" spans="1:12" x14ac:dyDescent="0.25">
      <c r="A8" s="30" t="str">
        <f>'Formula for adding in new comp'!A114</f>
        <v>2</v>
      </c>
      <c r="B8" s="30" t="str">
        <f>'Formula for adding in new comp'!B114</f>
        <v>11</v>
      </c>
      <c r="C8" s="30">
        <f>'Formula for adding in new comp'!C114</f>
        <v>0</v>
      </c>
      <c r="D8" s="30">
        <f>'Formula for adding in new comp'!F114</f>
        <v>0</v>
      </c>
      <c r="E8" s="30">
        <f>'Formula for adding in new comp'!I114</f>
        <v>0</v>
      </c>
      <c r="F8" t="str">
        <f t="shared" si="0"/>
        <v>211000</v>
      </c>
      <c r="G8" t="s">
        <v>519</v>
      </c>
      <c r="H8" t="s">
        <v>323</v>
      </c>
      <c r="K8" t="s">
        <v>76</v>
      </c>
      <c r="L8" t="str">
        <f t="shared" si="1"/>
        <v>M5</v>
      </c>
    </row>
    <row r="9" spans="1:12" x14ac:dyDescent="0.25">
      <c r="A9" s="30" t="str">
        <f>'Formula for adding in new comp'!A148</f>
        <v>2</v>
      </c>
      <c r="B9" s="30" t="str">
        <f>'Formula for adding in new comp'!B148</f>
        <v>12</v>
      </c>
      <c r="C9" s="30">
        <f>'Formula for adding in new comp'!C148</f>
        <v>0</v>
      </c>
      <c r="D9" s="30">
        <f>'Formula for adding in new comp'!F148</f>
        <v>0</v>
      </c>
      <c r="E9" s="30">
        <f>'Formula for adding in new comp'!I148</f>
        <v>0</v>
      </c>
      <c r="F9" t="str">
        <f t="shared" si="0"/>
        <v>212000</v>
      </c>
      <c r="G9" t="s">
        <v>519</v>
      </c>
      <c r="H9" t="s">
        <v>357</v>
      </c>
      <c r="K9" t="s">
        <v>234</v>
      </c>
      <c r="L9" t="str">
        <f t="shared" si="1"/>
        <v>HexNAc(3)(F)(x)</v>
      </c>
    </row>
    <row r="10" spans="1:12" x14ac:dyDescent="0.25">
      <c r="A10" s="30" t="str">
        <f>'Formula for adding in new comp'!A11</f>
        <v>2</v>
      </c>
      <c r="B10" s="30" t="str">
        <f>'Formula for adding in new comp'!B11</f>
        <v>2</v>
      </c>
      <c r="C10" s="30">
        <f>'Formula for adding in new comp'!C11</f>
        <v>0</v>
      </c>
      <c r="D10" s="30">
        <f>'Formula for adding in new comp'!F11</f>
        <v>0</v>
      </c>
      <c r="E10" s="30">
        <f>'Formula for adding in new comp'!I11</f>
        <v>0</v>
      </c>
      <c r="F10" t="str">
        <f t="shared" si="0"/>
        <v>22000</v>
      </c>
      <c r="G10" t="s">
        <v>70</v>
      </c>
      <c r="H10" t="s">
        <v>226</v>
      </c>
      <c r="K10" t="s">
        <v>235</v>
      </c>
      <c r="L10" t="str">
        <f t="shared" si="1"/>
        <v>HexNAc(3)(x)</v>
      </c>
    </row>
    <row r="11" spans="1:12" x14ac:dyDescent="0.25">
      <c r="A11" s="30" t="str">
        <f>'Formula for adding in new comp'!A15</f>
        <v>2</v>
      </c>
      <c r="B11" s="30" t="str">
        <f>'Formula for adding in new comp'!B15</f>
        <v>2</v>
      </c>
      <c r="C11" s="30" t="str">
        <f>'Formula for adding in new comp'!C15</f>
        <v>1</v>
      </c>
      <c r="D11" s="30">
        <f>'Formula for adding in new comp'!F15</f>
        <v>0</v>
      </c>
      <c r="E11" s="30">
        <f>'Formula for adding in new comp'!I15</f>
        <v>0</v>
      </c>
      <c r="F11" t="str">
        <f t="shared" si="0"/>
        <v>22100</v>
      </c>
      <c r="G11" t="s">
        <v>70</v>
      </c>
      <c r="H11" t="s">
        <v>229</v>
      </c>
      <c r="K11" t="s">
        <v>236</v>
      </c>
      <c r="L11" t="str">
        <f t="shared" si="1"/>
        <v>HexNAc(4)(x)</v>
      </c>
    </row>
    <row r="12" spans="1:12" x14ac:dyDescent="0.25">
      <c r="A12" s="30" t="str">
        <f>'Formula for adding in new comp'!A16</f>
        <v>2</v>
      </c>
      <c r="B12" s="30" t="str">
        <f>'Formula for adding in new comp'!B16</f>
        <v>3</v>
      </c>
      <c r="C12" s="30">
        <f>'Formula for adding in new comp'!C16</f>
        <v>0</v>
      </c>
      <c r="D12" s="30">
        <f>'Formula for adding in new comp'!F16</f>
        <v>0</v>
      </c>
      <c r="E12" s="30">
        <f>'Formula for adding in new comp'!I16</f>
        <v>0</v>
      </c>
      <c r="F12" t="str">
        <f t="shared" si="0"/>
        <v>23000</v>
      </c>
      <c r="G12" t="s">
        <v>3</v>
      </c>
      <c r="H12" t="s">
        <v>230</v>
      </c>
    </row>
    <row r="13" spans="1:12" x14ac:dyDescent="0.25">
      <c r="A13" s="30" t="str">
        <f>'Formula for adding in new comp'!A297</f>
        <v>2</v>
      </c>
      <c r="B13" s="30" t="str">
        <f>'Formula for adding in new comp'!B297</f>
        <v>3</v>
      </c>
      <c r="C13" s="30" t="str">
        <f>'Formula for adding in new comp'!C297</f>
        <v>1</v>
      </c>
      <c r="D13" s="30">
        <f>'Formula for adding in new comp'!F297</f>
        <v>0</v>
      </c>
      <c r="E13" s="30">
        <f>'Formula for adding in new comp'!I297</f>
        <v>0</v>
      </c>
      <c r="F13" t="str">
        <f t="shared" si="0"/>
        <v>23100</v>
      </c>
      <c r="G13" t="s">
        <v>19</v>
      </c>
      <c r="H13" t="s">
        <v>72</v>
      </c>
    </row>
    <row r="14" spans="1:12" x14ac:dyDescent="0.25">
      <c r="A14" s="30" t="str">
        <f>'Formula for adding in new comp'!A19</f>
        <v>2</v>
      </c>
      <c r="B14" s="30" t="str">
        <f>'Formula for adding in new comp'!B19</f>
        <v>3</v>
      </c>
      <c r="C14" s="30" t="str">
        <f>'Formula for adding in new comp'!C19</f>
        <v>2</v>
      </c>
      <c r="D14" s="30">
        <f>'Formula for adding in new comp'!F19</f>
        <v>0</v>
      </c>
      <c r="E14" s="30">
        <f>'Formula for adding in new comp'!I19</f>
        <v>0</v>
      </c>
      <c r="F14" t="str">
        <f t="shared" si="0"/>
        <v>23200</v>
      </c>
      <c r="G14" t="s">
        <v>19</v>
      </c>
      <c r="H14" t="s">
        <v>232</v>
      </c>
    </row>
    <row r="15" spans="1:12" x14ac:dyDescent="0.25">
      <c r="A15" s="30" t="str">
        <f>'Formula for adding in new comp'!A17</f>
        <v>2</v>
      </c>
      <c r="B15" s="30" t="str">
        <f>'Formula for adding in new comp'!B17</f>
        <v>4</v>
      </c>
      <c r="C15" s="30">
        <f>'Formula for adding in new comp'!C17</f>
        <v>0</v>
      </c>
      <c r="D15" s="30">
        <f>'Formula for adding in new comp'!F17</f>
        <v>0</v>
      </c>
      <c r="E15" s="30">
        <f>'Formula for adding in new comp'!I17</f>
        <v>0</v>
      </c>
      <c r="F15" t="str">
        <f t="shared" si="0"/>
        <v>24000</v>
      </c>
      <c r="G15" t="s">
        <v>4</v>
      </c>
      <c r="H15" t="s">
        <v>75</v>
      </c>
    </row>
    <row r="16" spans="1:12" x14ac:dyDescent="0.25">
      <c r="A16" s="30" t="str">
        <f>'Formula for adding in new comp'!A20</f>
        <v>2</v>
      </c>
      <c r="B16" s="30" t="str">
        <f>'Formula for adding in new comp'!B20</f>
        <v>4</v>
      </c>
      <c r="C16" s="30" t="str">
        <f>'Formula for adding in new comp'!C20</f>
        <v>1</v>
      </c>
      <c r="D16" s="30">
        <f>'Formula for adding in new comp'!F20</f>
        <v>0</v>
      </c>
      <c r="E16" s="30">
        <f>'Formula for adding in new comp'!I20</f>
        <v>0</v>
      </c>
      <c r="F16" t="str">
        <f t="shared" si="0"/>
        <v>24100</v>
      </c>
      <c r="G16" t="s">
        <v>19</v>
      </c>
      <c r="H16" t="s">
        <v>233</v>
      </c>
    </row>
    <row r="17" spans="1:8" x14ac:dyDescent="0.25">
      <c r="A17" s="30" t="str">
        <f>'Formula for adding in new comp'!A21</f>
        <v>2</v>
      </c>
      <c r="B17" s="30" t="str">
        <f>'Formula for adding in new comp'!B21</f>
        <v>5</v>
      </c>
      <c r="C17" s="30">
        <f>'Formula for adding in new comp'!C21</f>
        <v>0</v>
      </c>
      <c r="D17" s="30">
        <f>'Formula for adding in new comp'!F21</f>
        <v>0</v>
      </c>
      <c r="E17" s="30">
        <f>'Formula for adding in new comp'!I21</f>
        <v>0</v>
      </c>
      <c r="F17" t="str">
        <f t="shared" si="0"/>
        <v>25000</v>
      </c>
      <c r="G17" t="s">
        <v>6</v>
      </c>
      <c r="H17" t="s">
        <v>76</v>
      </c>
    </row>
    <row r="18" spans="1:8" x14ac:dyDescent="0.25">
      <c r="A18" s="30" t="str">
        <f>'Formula for adding in new comp'!A25</f>
        <v>2</v>
      </c>
      <c r="B18" s="30" t="str">
        <f>'Formula for adding in new comp'!B25</f>
        <v>5</v>
      </c>
      <c r="C18" s="30" t="str">
        <f>'Formula for adding in new comp'!C25</f>
        <v>1</v>
      </c>
      <c r="D18" s="30">
        <f>'Formula for adding in new comp'!F25</f>
        <v>0</v>
      </c>
      <c r="E18" s="30">
        <f>'Formula for adding in new comp'!I25</f>
        <v>0</v>
      </c>
      <c r="F18" t="str">
        <f t="shared" si="0"/>
        <v>25100</v>
      </c>
      <c r="G18" t="s">
        <v>19</v>
      </c>
      <c r="H18" t="s">
        <v>73</v>
      </c>
    </row>
    <row r="19" spans="1:8" x14ac:dyDescent="0.25">
      <c r="A19" s="30" t="str">
        <f>'Formula for adding in new comp'!A429</f>
        <v>2</v>
      </c>
      <c r="B19" s="30" t="str">
        <f>'Formula for adding in new comp'!B429</f>
        <v>5</v>
      </c>
      <c r="C19" s="30" t="str">
        <f>'Formula for adding in new comp'!C429</f>
        <v>1</v>
      </c>
      <c r="D19" s="30">
        <f>'Formula for adding in new comp'!F429</f>
        <v>0</v>
      </c>
      <c r="E19" s="30">
        <f>'Formula for adding in new comp'!I429</f>
        <v>1</v>
      </c>
      <c r="F19" t="str">
        <f t="shared" si="0"/>
        <v>25101</v>
      </c>
      <c r="G19" t="s">
        <v>19</v>
      </c>
      <c r="H19" t="s">
        <v>208</v>
      </c>
    </row>
    <row r="20" spans="1:8" x14ac:dyDescent="0.25">
      <c r="A20" s="30" t="str">
        <f>'Formula for adding in new comp'!A430</f>
        <v>2</v>
      </c>
      <c r="B20" s="30" t="str">
        <f>'Formula for adding in new comp'!B430</f>
        <v>5</v>
      </c>
      <c r="C20" s="30" t="str">
        <f>'Formula for adding in new comp'!C430</f>
        <v>1</v>
      </c>
      <c r="D20" s="30">
        <f>'Formula for adding in new comp'!F430</f>
        <v>0</v>
      </c>
      <c r="E20" s="30">
        <f>'Formula for adding in new comp'!I430</f>
        <v>2</v>
      </c>
      <c r="F20" t="str">
        <f t="shared" si="0"/>
        <v>25102</v>
      </c>
      <c r="G20" t="s">
        <v>19</v>
      </c>
      <c r="H20" t="s">
        <v>209</v>
      </c>
    </row>
    <row r="21" spans="1:8" x14ac:dyDescent="0.25">
      <c r="A21" s="30" t="str">
        <f>'Formula for adding in new comp'!A431</f>
        <v>2</v>
      </c>
      <c r="B21" s="30" t="str">
        <f>'Formula for adding in new comp'!B431</f>
        <v>5</v>
      </c>
      <c r="C21" s="30" t="str">
        <f>'Formula for adding in new comp'!C431</f>
        <v>1</v>
      </c>
      <c r="D21" s="30">
        <f>'Formula for adding in new comp'!F431</f>
        <v>0</v>
      </c>
      <c r="E21" s="30">
        <f>'Formula for adding in new comp'!I431</f>
        <v>3</v>
      </c>
      <c r="F21" t="str">
        <f t="shared" si="0"/>
        <v>25103</v>
      </c>
      <c r="G21" t="s">
        <v>19</v>
      </c>
      <c r="H21" t="s">
        <v>210</v>
      </c>
    </row>
    <row r="22" spans="1:8" x14ac:dyDescent="0.25">
      <c r="A22" s="30" t="str">
        <f>'Formula for adding in new comp'!A442</f>
        <v>2</v>
      </c>
      <c r="B22" s="30" t="str">
        <f>'Formula for adding in new comp'!B442</f>
        <v>5</v>
      </c>
      <c r="C22" s="30">
        <f>'Formula for adding in new comp'!C442</f>
        <v>0</v>
      </c>
      <c r="D22" s="30">
        <f>'Formula for adding in new comp'!F442</f>
        <v>0</v>
      </c>
      <c r="E22" s="30">
        <f>'Formula for adding in new comp'!I442</f>
        <v>1</v>
      </c>
      <c r="F22" t="str">
        <f t="shared" si="0"/>
        <v>25001</v>
      </c>
      <c r="G22" t="s">
        <v>6</v>
      </c>
      <c r="H22" t="s">
        <v>221</v>
      </c>
    </row>
    <row r="23" spans="1:8" x14ac:dyDescent="0.25">
      <c r="A23" s="30" t="str">
        <f>'Formula for adding in new comp'!A26</f>
        <v>2</v>
      </c>
      <c r="B23" s="30" t="str">
        <f>'Formula for adding in new comp'!B26</f>
        <v>6</v>
      </c>
      <c r="C23" s="30">
        <f>'Formula for adding in new comp'!C26</f>
        <v>0</v>
      </c>
      <c r="D23" s="30">
        <f>'Formula for adding in new comp'!F26</f>
        <v>0</v>
      </c>
      <c r="E23" s="30">
        <f>'Formula for adding in new comp'!I26</f>
        <v>0</v>
      </c>
      <c r="F23" t="str">
        <f t="shared" si="0"/>
        <v>26000</v>
      </c>
      <c r="G23" t="s">
        <v>8</v>
      </c>
      <c r="H23" t="s">
        <v>237</v>
      </c>
    </row>
    <row r="24" spans="1:8" x14ac:dyDescent="0.25">
      <c r="A24" s="30" t="str">
        <f>'Formula for adding in new comp'!A441</f>
        <v>2</v>
      </c>
      <c r="B24" s="30" t="str">
        <f>'Formula for adding in new comp'!B441</f>
        <v>6</v>
      </c>
      <c r="C24" s="30">
        <f>'Formula for adding in new comp'!C441</f>
        <v>0</v>
      </c>
      <c r="D24" s="30">
        <f>'Formula for adding in new comp'!F441</f>
        <v>0</v>
      </c>
      <c r="E24" s="30">
        <f>'Formula for adding in new comp'!I441</f>
        <v>1</v>
      </c>
      <c r="F24" t="str">
        <f t="shared" si="0"/>
        <v>26001</v>
      </c>
      <c r="G24" t="s">
        <v>8</v>
      </c>
      <c r="H24" t="s">
        <v>220</v>
      </c>
    </row>
    <row r="25" spans="1:8" x14ac:dyDescent="0.25">
      <c r="A25" s="30" t="str">
        <f>'Formula for adding in new comp'!A33</f>
        <v>2</v>
      </c>
      <c r="B25" s="30" t="str">
        <f>'Formula for adding in new comp'!B33</f>
        <v>7</v>
      </c>
      <c r="C25" s="30">
        <f>'Formula for adding in new comp'!C33</f>
        <v>0</v>
      </c>
      <c r="D25" s="30">
        <f>'Formula for adding in new comp'!F33</f>
        <v>0</v>
      </c>
      <c r="E25" s="30">
        <f>'Formula for adding in new comp'!I33</f>
        <v>0</v>
      </c>
      <c r="F25" t="str">
        <f t="shared" si="0"/>
        <v>27000</v>
      </c>
      <c r="G25" t="s">
        <v>7</v>
      </c>
      <c r="H25" t="s">
        <v>244</v>
      </c>
    </row>
    <row r="26" spans="1:8" x14ac:dyDescent="0.25">
      <c r="A26" s="30" t="str">
        <f>'Formula for adding in new comp'!A440</f>
        <v>2</v>
      </c>
      <c r="B26" s="30" t="str">
        <f>'Formula for adding in new comp'!B440</f>
        <v>7</v>
      </c>
      <c r="C26" s="30">
        <f>'Formula for adding in new comp'!C440</f>
        <v>0</v>
      </c>
      <c r="D26" s="30">
        <f>'Formula for adding in new comp'!F440</f>
        <v>0</v>
      </c>
      <c r="E26" s="30">
        <f>'Formula for adding in new comp'!I440</f>
        <v>1</v>
      </c>
      <c r="F26" t="str">
        <f t="shared" si="0"/>
        <v>27001</v>
      </c>
      <c r="G26" t="s">
        <v>7</v>
      </c>
      <c r="H26" t="s">
        <v>219</v>
      </c>
    </row>
    <row r="27" spans="1:8" x14ac:dyDescent="0.25">
      <c r="A27" s="30" t="str">
        <f>'Formula for adding in new comp'!A47</f>
        <v>2</v>
      </c>
      <c r="B27" s="30" t="str">
        <f>'Formula for adding in new comp'!B47</f>
        <v>8</v>
      </c>
      <c r="C27" s="30">
        <f>'Formula for adding in new comp'!C47</f>
        <v>0</v>
      </c>
      <c r="D27" s="30">
        <f>'Formula for adding in new comp'!F47</f>
        <v>0</v>
      </c>
      <c r="E27" s="30">
        <f>'Formula for adding in new comp'!I47</f>
        <v>0</v>
      </c>
      <c r="F27" t="str">
        <f t="shared" si="0"/>
        <v>28000</v>
      </c>
      <c r="G27" t="s">
        <v>5</v>
      </c>
      <c r="H27" t="s">
        <v>258</v>
      </c>
    </row>
    <row r="28" spans="1:8" x14ac:dyDescent="0.25">
      <c r="A28" s="30" t="str">
        <f>'Formula for adding in new comp'!A439</f>
        <v>2</v>
      </c>
      <c r="B28" s="30" t="str">
        <f>'Formula for adding in new comp'!B439</f>
        <v>8</v>
      </c>
      <c r="C28" s="30">
        <f>'Formula for adding in new comp'!C439</f>
        <v>0</v>
      </c>
      <c r="D28" s="30">
        <f>'Formula for adding in new comp'!F439</f>
        <v>0</v>
      </c>
      <c r="E28" s="30">
        <f>'Formula for adding in new comp'!I439</f>
        <v>1</v>
      </c>
      <c r="F28" t="str">
        <f t="shared" si="0"/>
        <v>28001</v>
      </c>
      <c r="G28" t="s">
        <v>5</v>
      </c>
      <c r="H28" t="s">
        <v>218</v>
      </c>
    </row>
    <row r="29" spans="1:8" x14ac:dyDescent="0.25">
      <c r="A29" s="30" t="str">
        <f>'Formula for adding in new comp'!A63</f>
        <v>2</v>
      </c>
      <c r="B29" s="30" t="str">
        <f>'Formula for adding in new comp'!B63</f>
        <v>9</v>
      </c>
      <c r="C29" s="30">
        <f>'Formula for adding in new comp'!C63</f>
        <v>0</v>
      </c>
      <c r="D29" s="30">
        <f>'Formula for adding in new comp'!F63</f>
        <v>0</v>
      </c>
      <c r="E29" s="30">
        <f>'Formula for adding in new comp'!I63</f>
        <v>0</v>
      </c>
      <c r="F29" t="str">
        <f t="shared" si="0"/>
        <v>29000</v>
      </c>
      <c r="G29" t="s">
        <v>9</v>
      </c>
      <c r="H29" t="s">
        <v>273</v>
      </c>
    </row>
    <row r="30" spans="1:8" x14ac:dyDescent="0.25">
      <c r="A30" s="30" t="str">
        <f>'Formula for adding in new comp'!A438</f>
        <v>2</v>
      </c>
      <c r="B30" s="30" t="str">
        <f>'Formula for adding in new comp'!B438</f>
        <v>9</v>
      </c>
      <c r="C30" s="30">
        <f>'Formula for adding in new comp'!C438</f>
        <v>0</v>
      </c>
      <c r="D30" s="30">
        <f>'Formula for adding in new comp'!F438</f>
        <v>0</v>
      </c>
      <c r="E30" s="30">
        <f>'Formula for adding in new comp'!I438</f>
        <v>1</v>
      </c>
      <c r="F30" t="str">
        <f t="shared" si="0"/>
        <v>29001</v>
      </c>
      <c r="G30" t="s">
        <v>9</v>
      </c>
      <c r="H30" t="s">
        <v>217</v>
      </c>
    </row>
    <row r="31" spans="1:8" x14ac:dyDescent="0.25">
      <c r="A31" s="30" t="str">
        <f>'Formula for adding in new comp'!A86</f>
        <v>2</v>
      </c>
      <c r="B31" s="30" t="str">
        <f>'Formula for adding in new comp'!B86</f>
        <v>10</v>
      </c>
      <c r="C31" s="30">
        <f>'Formula for adding in new comp'!C86</f>
        <v>0</v>
      </c>
      <c r="D31" s="30">
        <f>'Formula for adding in new comp'!F86</f>
        <v>0</v>
      </c>
      <c r="E31" s="30">
        <f>'Formula for adding in new comp'!I86</f>
        <v>0</v>
      </c>
      <c r="F31" t="str">
        <f t="shared" si="0"/>
        <v>210000</v>
      </c>
      <c r="G31" t="s">
        <v>519</v>
      </c>
      <c r="H31" t="s">
        <v>295</v>
      </c>
    </row>
    <row r="32" spans="1:8" x14ac:dyDescent="0.25">
      <c r="A32" s="30" t="str">
        <f>'Formula for adding in new comp'!A366</f>
        <v>2</v>
      </c>
      <c r="B32" s="30" t="str">
        <f>'Formula for adding in new comp'!B366</f>
        <v>10</v>
      </c>
      <c r="C32" s="30">
        <f>'Formula for adding in new comp'!C366</f>
        <v>0</v>
      </c>
      <c r="D32" s="30">
        <f>'Formula for adding in new comp'!F366</f>
        <v>0</v>
      </c>
      <c r="E32" s="30">
        <f>'Formula for adding in new comp'!I366</f>
        <v>1</v>
      </c>
      <c r="F32" t="str">
        <f t="shared" si="0"/>
        <v>210001</v>
      </c>
      <c r="G32" t="s">
        <v>519</v>
      </c>
      <c r="H32" t="s">
        <v>145</v>
      </c>
    </row>
    <row r="33" spans="1:12" x14ac:dyDescent="0.25">
      <c r="A33" s="30" t="str">
        <f>'Formula for adding in new comp'!A367</f>
        <v>2</v>
      </c>
      <c r="B33" s="30" t="str">
        <f>'Formula for adding in new comp'!B367</f>
        <v>10</v>
      </c>
      <c r="C33" s="30">
        <f>'Formula for adding in new comp'!C367</f>
        <v>0</v>
      </c>
      <c r="D33" s="30">
        <f>'Formula for adding in new comp'!F367</f>
        <v>0</v>
      </c>
      <c r="E33" s="30">
        <f>'Formula for adding in new comp'!I367</f>
        <v>2</v>
      </c>
      <c r="F33" t="str">
        <f t="shared" si="0"/>
        <v>210002</v>
      </c>
      <c r="G33" t="s">
        <v>519</v>
      </c>
      <c r="H33" t="s">
        <v>146</v>
      </c>
    </row>
    <row r="34" spans="1:12" x14ac:dyDescent="0.25">
      <c r="A34" s="30" t="str">
        <f>'Formula for adding in new comp'!A368</f>
        <v>2</v>
      </c>
      <c r="B34" s="30" t="str">
        <f>'Formula for adding in new comp'!B368</f>
        <v>10</v>
      </c>
      <c r="C34" s="30">
        <f>'Formula for adding in new comp'!C368</f>
        <v>0</v>
      </c>
      <c r="D34" s="30">
        <f>'Formula for adding in new comp'!F368</f>
        <v>0</v>
      </c>
      <c r="E34" s="30">
        <f>'Formula for adding in new comp'!I368</f>
        <v>3</v>
      </c>
      <c r="F34" t="str">
        <f t="shared" si="0"/>
        <v>210003</v>
      </c>
      <c r="G34" t="s">
        <v>519</v>
      </c>
      <c r="H34" t="s">
        <v>147</v>
      </c>
    </row>
    <row r="35" spans="1:12" x14ac:dyDescent="0.25">
      <c r="A35" s="30" t="str">
        <f>'Formula for adding in new comp'!A18</f>
        <v>3</v>
      </c>
      <c r="B35" s="30" t="str">
        <f>'Formula for adding in new comp'!B18</f>
        <v>3</v>
      </c>
      <c r="C35" s="30">
        <f>'Formula for adding in new comp'!C18</f>
        <v>0</v>
      </c>
      <c r="D35" s="30">
        <f>'Formula for adding in new comp'!F18</f>
        <v>0</v>
      </c>
      <c r="E35" s="30">
        <f>'Formula for adding in new comp'!I18</f>
        <v>0</v>
      </c>
      <c r="F35" t="str">
        <f t="shared" si="0"/>
        <v>33000</v>
      </c>
      <c r="G35" t="s">
        <v>520</v>
      </c>
      <c r="H35" t="s">
        <v>231</v>
      </c>
    </row>
    <row r="36" spans="1:12" x14ac:dyDescent="0.25">
      <c r="A36" s="30" t="str">
        <f>'Formula for adding in new comp'!A22</f>
        <v>3</v>
      </c>
      <c r="B36" s="30" t="str">
        <f>'Formula for adding in new comp'!B22</f>
        <v>3</v>
      </c>
      <c r="C36" s="30" t="str">
        <f>'Formula for adding in new comp'!C22</f>
        <v>1</v>
      </c>
      <c r="D36" s="30">
        <f>'Formula for adding in new comp'!F22</f>
        <v>0</v>
      </c>
      <c r="E36" s="30">
        <f>'Formula for adding in new comp'!I22</f>
        <v>0</v>
      </c>
      <c r="F36" t="str">
        <f t="shared" si="0"/>
        <v>33100</v>
      </c>
      <c r="G36" t="s">
        <v>521</v>
      </c>
      <c r="H36" t="s">
        <v>234</v>
      </c>
      <c r="L36" t="s">
        <v>520</v>
      </c>
    </row>
    <row r="37" spans="1:12" x14ac:dyDescent="0.25">
      <c r="A37" s="30" t="str">
        <f>'Formula for adding in new comp'!A369</f>
        <v>3</v>
      </c>
      <c r="B37" s="30" t="str">
        <f>'Formula for adding in new comp'!B369</f>
        <v>3</v>
      </c>
      <c r="C37" s="30" t="str">
        <f>'Formula for adding in new comp'!C369</f>
        <v>1</v>
      </c>
      <c r="D37" s="30">
        <f>'Formula for adding in new comp'!F369</f>
        <v>0</v>
      </c>
      <c r="E37" s="30">
        <f>'Formula for adding in new comp'!I369</f>
        <v>1</v>
      </c>
      <c r="F37" t="str">
        <f t="shared" si="0"/>
        <v>33101</v>
      </c>
      <c r="G37" t="s">
        <v>521</v>
      </c>
      <c r="H37" t="s">
        <v>148</v>
      </c>
      <c r="L37" t="s">
        <v>521</v>
      </c>
    </row>
    <row r="38" spans="1:12" x14ac:dyDescent="0.25">
      <c r="A38" s="30" t="str">
        <f>'Formula for adding in new comp'!A370</f>
        <v>3</v>
      </c>
      <c r="B38" s="30" t="str">
        <f>'Formula for adding in new comp'!B370</f>
        <v>3</v>
      </c>
      <c r="C38" s="30" t="str">
        <f>'Formula for adding in new comp'!C370</f>
        <v>1</v>
      </c>
      <c r="D38" s="30">
        <f>'Formula for adding in new comp'!F370</f>
        <v>0</v>
      </c>
      <c r="E38" s="30">
        <f>'Formula for adding in new comp'!I370</f>
        <v>2</v>
      </c>
      <c r="F38" t="str">
        <f t="shared" si="0"/>
        <v>33102</v>
      </c>
      <c r="G38" t="s">
        <v>521</v>
      </c>
      <c r="H38" t="s">
        <v>149</v>
      </c>
      <c r="L38" t="s">
        <v>522</v>
      </c>
    </row>
    <row r="39" spans="1:12" x14ac:dyDescent="0.25">
      <c r="A39" s="30" t="str">
        <f>'Formula for adding in new comp'!A371</f>
        <v>3</v>
      </c>
      <c r="B39" s="30" t="str">
        <f>'Formula for adding in new comp'!B371</f>
        <v>3</v>
      </c>
      <c r="C39" s="30" t="str">
        <f>'Formula for adding in new comp'!C371</f>
        <v>1</v>
      </c>
      <c r="D39" s="30">
        <f>'Formula for adding in new comp'!F371</f>
        <v>0</v>
      </c>
      <c r="E39" s="30">
        <f>'Formula for adding in new comp'!I371</f>
        <v>3</v>
      </c>
      <c r="F39" t="str">
        <f t="shared" si="0"/>
        <v>33103</v>
      </c>
      <c r="G39" t="s">
        <v>521</v>
      </c>
      <c r="H39" t="s">
        <v>150</v>
      </c>
      <c r="L39" t="s">
        <v>523</v>
      </c>
    </row>
    <row r="40" spans="1:12" x14ac:dyDescent="0.25">
      <c r="A40" s="30" t="str">
        <f>'Formula for adding in new comp'!A27</f>
        <v>3</v>
      </c>
      <c r="B40" s="30" t="str">
        <f>'Formula for adding in new comp'!B27</f>
        <v>3</v>
      </c>
      <c r="C40" s="30" t="str">
        <f>'Formula for adding in new comp'!C27</f>
        <v>2</v>
      </c>
      <c r="D40" s="30">
        <f>'Formula for adding in new comp'!F27</f>
        <v>0</v>
      </c>
      <c r="E40" s="30">
        <f>'Formula for adding in new comp'!I27</f>
        <v>0</v>
      </c>
      <c r="F40" t="str">
        <f t="shared" si="0"/>
        <v>33200</v>
      </c>
      <c r="G40" t="s">
        <v>521</v>
      </c>
      <c r="H40" t="s">
        <v>238</v>
      </c>
      <c r="L40" t="s">
        <v>524</v>
      </c>
    </row>
    <row r="41" spans="1:12" x14ac:dyDescent="0.25">
      <c r="A41" s="30" t="str">
        <f>'Formula for adding in new comp'!A387</f>
        <v>3</v>
      </c>
      <c r="B41" s="30" t="str">
        <f>'Formula for adding in new comp'!B387</f>
        <v>3</v>
      </c>
      <c r="C41" s="30" t="str">
        <f>'Formula for adding in new comp'!C387</f>
        <v>2</v>
      </c>
      <c r="D41" s="30">
        <f>'Formula for adding in new comp'!F387</f>
        <v>0</v>
      </c>
      <c r="E41" s="30">
        <f>'Formula for adding in new comp'!I387</f>
        <v>1</v>
      </c>
      <c r="F41" t="str">
        <f t="shared" si="0"/>
        <v>33201</v>
      </c>
      <c r="G41" t="s">
        <v>521</v>
      </c>
      <c r="H41" t="s">
        <v>166</v>
      </c>
      <c r="L41" t="s">
        <v>525</v>
      </c>
    </row>
    <row r="42" spans="1:12" x14ac:dyDescent="0.25">
      <c r="A42" s="30" t="str">
        <f>'Formula for adding in new comp'!A388</f>
        <v>3</v>
      </c>
      <c r="B42" s="30" t="str">
        <f>'Formula for adding in new comp'!B388</f>
        <v>3</v>
      </c>
      <c r="C42" s="30" t="str">
        <f>'Formula for adding in new comp'!C388</f>
        <v>2</v>
      </c>
      <c r="D42" s="30">
        <f>'Formula for adding in new comp'!F388</f>
        <v>0</v>
      </c>
      <c r="E42" s="30">
        <f>'Formula for adding in new comp'!I388</f>
        <v>2</v>
      </c>
      <c r="F42" t="str">
        <f t="shared" si="0"/>
        <v>33202</v>
      </c>
      <c r="G42" t="s">
        <v>521</v>
      </c>
      <c r="H42" t="s">
        <v>167</v>
      </c>
      <c r="L42" t="s">
        <v>526</v>
      </c>
    </row>
    <row r="43" spans="1:12" x14ac:dyDescent="0.25">
      <c r="A43" s="30" t="str">
        <f>'Formula for adding in new comp'!A389</f>
        <v>3</v>
      </c>
      <c r="B43" s="30" t="str">
        <f>'Formula for adding in new comp'!B389</f>
        <v>3</v>
      </c>
      <c r="C43" s="30" t="str">
        <f>'Formula for adding in new comp'!C389</f>
        <v>2</v>
      </c>
      <c r="D43" s="30">
        <f>'Formula for adding in new comp'!F389</f>
        <v>0</v>
      </c>
      <c r="E43" s="30">
        <f>'Formula for adding in new comp'!I389</f>
        <v>3</v>
      </c>
      <c r="F43" t="str">
        <f t="shared" si="0"/>
        <v>33203</v>
      </c>
      <c r="G43" t="s">
        <v>521</v>
      </c>
      <c r="H43" t="s">
        <v>168</v>
      </c>
      <c r="L43" t="s">
        <v>527</v>
      </c>
    </row>
    <row r="44" spans="1:12" x14ac:dyDescent="0.25">
      <c r="A44" s="30" t="str">
        <f>'Formula for adding in new comp'!A23</f>
        <v>3</v>
      </c>
      <c r="B44" s="30" t="str">
        <f>'Formula for adding in new comp'!B23</f>
        <v>4</v>
      </c>
      <c r="C44" s="30">
        <f>'Formula for adding in new comp'!C23</f>
        <v>0</v>
      </c>
      <c r="D44" s="30">
        <f>'Formula for adding in new comp'!F23</f>
        <v>0</v>
      </c>
      <c r="E44" s="30">
        <f>'Formula for adding in new comp'!I23</f>
        <v>0</v>
      </c>
      <c r="F44" t="str">
        <f t="shared" si="0"/>
        <v>34000</v>
      </c>
      <c r="G44" t="s">
        <v>520</v>
      </c>
      <c r="H44" t="s">
        <v>235</v>
      </c>
    </row>
    <row r="45" spans="1:12" x14ac:dyDescent="0.25">
      <c r="A45" s="30" t="str">
        <f>'Formula for adding in new comp'!A28</f>
        <v>3</v>
      </c>
      <c r="B45" s="30" t="str">
        <f>'Formula for adding in new comp'!B28</f>
        <v>4</v>
      </c>
      <c r="C45" s="30" t="str">
        <f>'Formula for adding in new comp'!C28</f>
        <v>1</v>
      </c>
      <c r="D45" s="30">
        <f>'Formula for adding in new comp'!F28</f>
        <v>0</v>
      </c>
      <c r="E45" s="30">
        <f>'Formula for adding in new comp'!I28</f>
        <v>0</v>
      </c>
      <c r="F45" t="str">
        <f t="shared" si="0"/>
        <v>34100</v>
      </c>
      <c r="G45" t="s">
        <v>521</v>
      </c>
      <c r="H45" t="s">
        <v>239</v>
      </c>
    </row>
    <row r="46" spans="1:12" x14ac:dyDescent="0.25">
      <c r="A46" s="30" t="str">
        <f>'Formula for adding in new comp'!A46</f>
        <v>3</v>
      </c>
      <c r="B46" s="30" t="str">
        <f>'Formula for adding in new comp'!B46</f>
        <v>4</v>
      </c>
      <c r="C46" s="30" t="str">
        <f>'Formula for adding in new comp'!C46</f>
        <v>1</v>
      </c>
      <c r="D46" s="30">
        <f>'Formula for adding in new comp'!F46</f>
        <v>1</v>
      </c>
      <c r="E46" s="30">
        <f>'Formula for adding in new comp'!I46</f>
        <v>0</v>
      </c>
      <c r="F46" t="str">
        <f t="shared" si="0"/>
        <v>34110</v>
      </c>
      <c r="G46" t="s">
        <v>521</v>
      </c>
      <c r="H46" t="s">
        <v>257</v>
      </c>
    </row>
    <row r="47" spans="1:12" x14ac:dyDescent="0.25">
      <c r="A47" s="30" t="str">
        <f>'Formula for adding in new comp'!A390</f>
        <v>3</v>
      </c>
      <c r="B47" s="30" t="str">
        <f>'Formula for adding in new comp'!B390</f>
        <v>4</v>
      </c>
      <c r="C47" s="30" t="str">
        <f>'Formula for adding in new comp'!C390</f>
        <v>1</v>
      </c>
      <c r="D47" s="30">
        <f>'Formula for adding in new comp'!F390</f>
        <v>1</v>
      </c>
      <c r="E47" s="30">
        <f>'Formula for adding in new comp'!I390</f>
        <v>1</v>
      </c>
      <c r="F47" t="str">
        <f t="shared" si="0"/>
        <v>34111</v>
      </c>
      <c r="G47" t="s">
        <v>521</v>
      </c>
      <c r="H47" t="s">
        <v>169</v>
      </c>
    </row>
    <row r="48" spans="1:12" x14ac:dyDescent="0.25">
      <c r="A48" s="30" t="str">
        <f>'Formula for adding in new comp'!A391</f>
        <v>3</v>
      </c>
      <c r="B48" s="30" t="str">
        <f>'Formula for adding in new comp'!B391</f>
        <v>4</v>
      </c>
      <c r="C48" s="30" t="str">
        <f>'Formula for adding in new comp'!C391</f>
        <v>1</v>
      </c>
      <c r="D48" s="30">
        <f>'Formula for adding in new comp'!F391</f>
        <v>1</v>
      </c>
      <c r="E48" s="30">
        <f>'Formula for adding in new comp'!I391</f>
        <v>2</v>
      </c>
      <c r="F48" t="str">
        <f t="shared" si="0"/>
        <v>34112</v>
      </c>
      <c r="G48" t="s">
        <v>521</v>
      </c>
      <c r="H48" t="s">
        <v>170</v>
      </c>
    </row>
    <row r="49" spans="1:8" x14ac:dyDescent="0.25">
      <c r="A49" s="30" t="str">
        <f>'Formula for adding in new comp'!A392</f>
        <v>3</v>
      </c>
      <c r="B49" s="30" t="str">
        <f>'Formula for adding in new comp'!B392</f>
        <v>4</v>
      </c>
      <c r="C49" s="30" t="str">
        <f>'Formula for adding in new comp'!C392</f>
        <v>1</v>
      </c>
      <c r="D49" s="30">
        <f>'Formula for adding in new comp'!F392</f>
        <v>1</v>
      </c>
      <c r="E49" s="30">
        <f>'Formula for adding in new comp'!I392</f>
        <v>3</v>
      </c>
      <c r="F49" t="str">
        <f t="shared" si="0"/>
        <v>34113</v>
      </c>
      <c r="G49" t="s">
        <v>521</v>
      </c>
      <c r="H49" t="s">
        <v>171</v>
      </c>
    </row>
    <row r="50" spans="1:8" x14ac:dyDescent="0.25">
      <c r="A50" s="30" t="str">
        <f>'Formula for adding in new comp'!A49</f>
        <v>3</v>
      </c>
      <c r="B50" s="30" t="str">
        <f>'Formula for adding in new comp'!B49</f>
        <v>4</v>
      </c>
      <c r="C50" s="30" t="str">
        <f>'Formula for adding in new comp'!C49</f>
        <v>1</v>
      </c>
      <c r="D50" s="30">
        <f>'Formula for adding in new comp'!F49</f>
        <v>1</v>
      </c>
      <c r="E50" s="30">
        <f>'Formula for adding in new comp'!I49</f>
        <v>0</v>
      </c>
      <c r="F50" t="str">
        <f t="shared" si="0"/>
        <v>34110</v>
      </c>
      <c r="G50" t="s">
        <v>521</v>
      </c>
      <c r="H50" t="s">
        <v>260</v>
      </c>
    </row>
    <row r="51" spans="1:8" x14ac:dyDescent="0.25">
      <c r="A51" s="30" t="str">
        <f>'Formula for adding in new comp'!A307</f>
        <v>3</v>
      </c>
      <c r="B51" s="30" t="str">
        <f>'Formula for adding in new comp'!B307</f>
        <v>4</v>
      </c>
      <c r="C51" s="30" t="str">
        <f>'Formula for adding in new comp'!C307</f>
        <v>1</v>
      </c>
      <c r="D51" s="30">
        <f>'Formula for adding in new comp'!F307</f>
        <v>0</v>
      </c>
      <c r="E51" s="30">
        <f>'Formula for adding in new comp'!I307</f>
        <v>1</v>
      </c>
      <c r="F51" t="str">
        <f t="shared" si="0"/>
        <v>34101</v>
      </c>
      <c r="G51" t="s">
        <v>3</v>
      </c>
      <c r="H51" t="s">
        <v>86</v>
      </c>
    </row>
    <row r="52" spans="1:8" x14ac:dyDescent="0.25">
      <c r="A52" s="30" t="str">
        <f>'Formula for adding in new comp'!A308</f>
        <v>3</v>
      </c>
      <c r="B52" s="30" t="str">
        <f>'Formula for adding in new comp'!B308</f>
        <v>4</v>
      </c>
      <c r="C52" s="30" t="str">
        <f>'Formula for adding in new comp'!C308</f>
        <v>1</v>
      </c>
      <c r="D52" s="30">
        <f>'Formula for adding in new comp'!F308</f>
        <v>0</v>
      </c>
      <c r="E52" s="30">
        <f>'Formula for adding in new comp'!I308</f>
        <v>2</v>
      </c>
      <c r="F52" t="str">
        <f t="shared" si="0"/>
        <v>34102</v>
      </c>
      <c r="G52" t="s">
        <v>19</v>
      </c>
      <c r="H52" t="s">
        <v>87</v>
      </c>
    </row>
    <row r="53" spans="1:8" x14ac:dyDescent="0.25">
      <c r="A53" s="30" t="str">
        <f>'Formula for adding in new comp'!A309</f>
        <v>3</v>
      </c>
      <c r="B53" s="30" t="str">
        <f>'Formula for adding in new comp'!B309</f>
        <v>4</v>
      </c>
      <c r="C53" s="30" t="str">
        <f>'Formula for adding in new comp'!C309</f>
        <v>1</v>
      </c>
      <c r="D53" s="30">
        <f>'Formula for adding in new comp'!F309</f>
        <v>0</v>
      </c>
      <c r="E53" s="30">
        <f>'Formula for adding in new comp'!I309</f>
        <v>3</v>
      </c>
      <c r="F53" t="str">
        <f t="shared" si="0"/>
        <v>34103</v>
      </c>
      <c r="G53" t="s">
        <v>521</v>
      </c>
      <c r="H53" t="s">
        <v>88</v>
      </c>
    </row>
    <row r="54" spans="1:8" x14ac:dyDescent="0.25">
      <c r="A54" s="30" t="str">
        <f>'Formula for adding in new comp'!A35</f>
        <v>3</v>
      </c>
      <c r="B54" s="30" t="str">
        <f>'Formula for adding in new comp'!B35</f>
        <v>4</v>
      </c>
      <c r="C54" s="30" t="str">
        <f>'Formula for adding in new comp'!C35</f>
        <v>2</v>
      </c>
      <c r="D54" s="30">
        <f>'Formula for adding in new comp'!F35</f>
        <v>0</v>
      </c>
      <c r="E54" s="30">
        <f>'Formula for adding in new comp'!I35</f>
        <v>0</v>
      </c>
      <c r="F54" t="str">
        <f t="shared" si="0"/>
        <v>34200</v>
      </c>
      <c r="G54" t="s">
        <v>521</v>
      </c>
      <c r="H54" t="s">
        <v>246</v>
      </c>
    </row>
    <row r="55" spans="1:8" x14ac:dyDescent="0.25">
      <c r="A55" s="30" t="str">
        <f>'Formula for adding in new comp'!A350</f>
        <v>3</v>
      </c>
      <c r="B55" s="30" t="str">
        <f>'Formula for adding in new comp'!B350</f>
        <v>4</v>
      </c>
      <c r="C55" s="30" t="str">
        <f>'Formula for adding in new comp'!C350</f>
        <v>2</v>
      </c>
      <c r="D55" s="30">
        <f>'Formula for adding in new comp'!F350</f>
        <v>0</v>
      </c>
      <c r="E55" s="30">
        <f>'Formula for adding in new comp'!I350</f>
        <v>1</v>
      </c>
      <c r="F55" t="str">
        <f t="shared" si="0"/>
        <v>34201</v>
      </c>
      <c r="G55" t="s">
        <v>521</v>
      </c>
      <c r="H55" t="s">
        <v>129</v>
      </c>
    </row>
    <row r="56" spans="1:8" x14ac:dyDescent="0.25">
      <c r="A56" s="30" t="str">
        <f>'Formula for adding in new comp'!A351</f>
        <v>3</v>
      </c>
      <c r="B56" s="30" t="str">
        <f>'Formula for adding in new comp'!B351</f>
        <v>4</v>
      </c>
      <c r="C56" s="30" t="str">
        <f>'Formula for adding in new comp'!C351</f>
        <v>2</v>
      </c>
      <c r="D56" s="30">
        <f>'Formula for adding in new comp'!F351</f>
        <v>0</v>
      </c>
      <c r="E56" s="30">
        <f>'Formula for adding in new comp'!I351</f>
        <v>2</v>
      </c>
      <c r="F56" t="str">
        <f t="shared" si="0"/>
        <v>34202</v>
      </c>
      <c r="G56" t="s">
        <v>521</v>
      </c>
      <c r="H56" t="s">
        <v>130</v>
      </c>
    </row>
    <row r="57" spans="1:8" x14ac:dyDescent="0.25">
      <c r="A57" s="30" t="str">
        <f>'Formula for adding in new comp'!A352</f>
        <v>3</v>
      </c>
      <c r="B57" s="30" t="str">
        <f>'Formula for adding in new comp'!B352</f>
        <v>4</v>
      </c>
      <c r="C57" s="30" t="str">
        <f>'Formula for adding in new comp'!C352</f>
        <v>2</v>
      </c>
      <c r="D57" s="30">
        <f>'Formula for adding in new comp'!F352</f>
        <v>0</v>
      </c>
      <c r="E57" s="30">
        <f>'Formula for adding in new comp'!I352</f>
        <v>3</v>
      </c>
      <c r="F57" t="str">
        <f t="shared" si="0"/>
        <v>34203</v>
      </c>
      <c r="G57" t="s">
        <v>521</v>
      </c>
      <c r="H57" t="s">
        <v>131</v>
      </c>
    </row>
    <row r="58" spans="1:8" x14ac:dyDescent="0.25">
      <c r="A58" s="30" t="str">
        <f>'Formula for adding in new comp'!A34</f>
        <v>3</v>
      </c>
      <c r="B58" s="30" t="str">
        <f>'Formula for adding in new comp'!B34</f>
        <v>4</v>
      </c>
      <c r="C58" s="30">
        <f>'Formula for adding in new comp'!C34</f>
        <v>0</v>
      </c>
      <c r="D58" s="30">
        <f>'Formula for adding in new comp'!F34</f>
        <v>1</v>
      </c>
      <c r="E58" s="30">
        <f>'Formula for adding in new comp'!I34</f>
        <v>0</v>
      </c>
      <c r="F58" t="str">
        <f t="shared" si="0"/>
        <v>34010</v>
      </c>
      <c r="G58" t="s">
        <v>520</v>
      </c>
      <c r="H58" t="s">
        <v>245</v>
      </c>
    </row>
    <row r="59" spans="1:8" x14ac:dyDescent="0.25">
      <c r="A59" s="30" t="str">
        <f>'Formula for adding in new comp'!A36</f>
        <v>3</v>
      </c>
      <c r="B59" s="30" t="str">
        <f>'Formula for adding in new comp'!B36</f>
        <v>4</v>
      </c>
      <c r="C59" s="30">
        <f>'Formula for adding in new comp'!C36</f>
        <v>0</v>
      </c>
      <c r="D59" s="30">
        <f>'Formula for adding in new comp'!F36</f>
        <v>1</v>
      </c>
      <c r="E59" s="30">
        <f>'Formula for adding in new comp'!I36</f>
        <v>0</v>
      </c>
      <c r="F59" t="str">
        <f t="shared" si="0"/>
        <v>34010</v>
      </c>
      <c r="G59" t="s">
        <v>520</v>
      </c>
      <c r="H59" t="s">
        <v>247</v>
      </c>
    </row>
    <row r="60" spans="1:8" x14ac:dyDescent="0.25">
      <c r="A60" s="30" t="str">
        <f>'Formula for adding in new comp'!A381</f>
        <v>3</v>
      </c>
      <c r="B60" s="30" t="str">
        <f>'Formula for adding in new comp'!B381</f>
        <v>4</v>
      </c>
      <c r="C60" s="30">
        <f>'Formula for adding in new comp'!C381</f>
        <v>0</v>
      </c>
      <c r="D60" s="30">
        <f>'Formula for adding in new comp'!F381</f>
        <v>0</v>
      </c>
      <c r="E60" s="30">
        <f>'Formula for adding in new comp'!I381</f>
        <v>1</v>
      </c>
      <c r="F60" t="str">
        <f t="shared" si="0"/>
        <v>34001</v>
      </c>
      <c r="G60" t="s">
        <v>520</v>
      </c>
      <c r="H60" t="s">
        <v>160</v>
      </c>
    </row>
    <row r="61" spans="1:8" x14ac:dyDescent="0.25">
      <c r="A61" s="30" t="str">
        <f>'Formula for adding in new comp'!A382</f>
        <v>3</v>
      </c>
      <c r="B61" s="30" t="str">
        <f>'Formula for adding in new comp'!B382</f>
        <v>4</v>
      </c>
      <c r="C61" s="30">
        <f>'Formula for adding in new comp'!C382</f>
        <v>0</v>
      </c>
      <c r="D61" s="30">
        <f>'Formula for adding in new comp'!F382</f>
        <v>0</v>
      </c>
      <c r="E61" s="30">
        <f>'Formula for adding in new comp'!I382</f>
        <v>2</v>
      </c>
      <c r="F61" t="str">
        <f t="shared" si="0"/>
        <v>34002</v>
      </c>
      <c r="G61" t="s">
        <v>520</v>
      </c>
      <c r="H61" t="s">
        <v>161</v>
      </c>
    </row>
    <row r="62" spans="1:8" x14ac:dyDescent="0.25">
      <c r="A62" s="30" t="str">
        <f>'Formula for adding in new comp'!A383</f>
        <v>3</v>
      </c>
      <c r="B62" s="30" t="str">
        <f>'Formula for adding in new comp'!B383</f>
        <v>4</v>
      </c>
      <c r="C62" s="30">
        <f>'Formula for adding in new comp'!C383</f>
        <v>0</v>
      </c>
      <c r="D62" s="30">
        <f>'Formula for adding in new comp'!F383</f>
        <v>0</v>
      </c>
      <c r="E62" s="30">
        <f>'Formula for adding in new comp'!I383</f>
        <v>3</v>
      </c>
      <c r="F62" t="str">
        <f t="shared" si="0"/>
        <v>34003</v>
      </c>
      <c r="G62" t="s">
        <v>520</v>
      </c>
      <c r="H62" t="s">
        <v>162</v>
      </c>
    </row>
    <row r="63" spans="1:8" x14ac:dyDescent="0.25">
      <c r="A63" s="30" t="str">
        <f>'Formula for adding in new comp'!A29</f>
        <v>3</v>
      </c>
      <c r="B63" s="30" t="str">
        <f>'Formula for adding in new comp'!B29</f>
        <v>5</v>
      </c>
      <c r="C63" s="30">
        <f>'Formula for adding in new comp'!C29</f>
        <v>0</v>
      </c>
      <c r="D63" s="30">
        <f>'Formula for adding in new comp'!F29</f>
        <v>0</v>
      </c>
      <c r="E63" s="30">
        <f>'Formula for adding in new comp'!I29</f>
        <v>0</v>
      </c>
      <c r="F63" t="str">
        <f t="shared" si="0"/>
        <v>35000</v>
      </c>
      <c r="G63" t="s">
        <v>2</v>
      </c>
      <c r="H63" t="s">
        <v>240</v>
      </c>
    </row>
    <row r="64" spans="1:8" x14ac:dyDescent="0.25">
      <c r="A64" s="30" t="str">
        <f>'Formula for adding in new comp'!A37</f>
        <v>3</v>
      </c>
      <c r="B64" s="30" t="str">
        <f>'Formula for adding in new comp'!B37</f>
        <v>5</v>
      </c>
      <c r="C64" s="30" t="str">
        <f>'Formula for adding in new comp'!C37</f>
        <v>1</v>
      </c>
      <c r="D64" s="30">
        <f>'Formula for adding in new comp'!F37</f>
        <v>0</v>
      </c>
      <c r="E64" s="30">
        <f>'Formula for adding in new comp'!I37</f>
        <v>0</v>
      </c>
      <c r="F64" t="str">
        <f t="shared" si="0"/>
        <v>35100</v>
      </c>
      <c r="G64" t="s">
        <v>0</v>
      </c>
      <c r="H64" t="s">
        <v>248</v>
      </c>
    </row>
    <row r="65" spans="1:8" x14ac:dyDescent="0.25">
      <c r="A65" s="30" t="str">
        <f>'Formula for adding in new comp'!A38</f>
        <v>3</v>
      </c>
      <c r="B65" s="30">
        <v>5</v>
      </c>
      <c r="C65" s="30">
        <v>1</v>
      </c>
      <c r="D65" s="30">
        <v>1</v>
      </c>
      <c r="E65" s="30">
        <f>'Formula for adding in new comp'!I38</f>
        <v>0</v>
      </c>
      <c r="F65" t="str">
        <f t="shared" si="0"/>
        <v>35110</v>
      </c>
      <c r="G65" t="s">
        <v>0</v>
      </c>
      <c r="H65" t="s">
        <v>528</v>
      </c>
    </row>
    <row r="66" spans="1:8" x14ac:dyDescent="0.25">
      <c r="A66" s="30" t="str">
        <f>'Formula for adding in new comp'!A411</f>
        <v>3</v>
      </c>
      <c r="B66" s="30" t="str">
        <f>'Formula for adding in new comp'!B411</f>
        <v>5</v>
      </c>
      <c r="C66" s="30" t="str">
        <f>'Formula for adding in new comp'!C411</f>
        <v>1</v>
      </c>
      <c r="D66" s="30">
        <f>'Formula for adding in new comp'!F411</f>
        <v>0</v>
      </c>
      <c r="E66" s="30">
        <f>'Formula for adding in new comp'!I411</f>
        <v>1</v>
      </c>
      <c r="F66" t="str">
        <f t="shared" ref="F66:F129" si="2">A66&amp;B66&amp;C66&amp;D66&amp;E66</f>
        <v>35101</v>
      </c>
      <c r="G66" t="s">
        <v>0</v>
      </c>
      <c r="H66" t="s">
        <v>190</v>
      </c>
    </row>
    <row r="67" spans="1:8" x14ac:dyDescent="0.25">
      <c r="A67" s="30" t="str">
        <f>'Formula for adding in new comp'!A412</f>
        <v>3</v>
      </c>
      <c r="B67" s="30" t="str">
        <f>'Formula for adding in new comp'!B412</f>
        <v>5</v>
      </c>
      <c r="C67" s="30" t="str">
        <f>'Formula for adding in new comp'!C412</f>
        <v>1</v>
      </c>
      <c r="D67" s="30">
        <f>'Formula for adding in new comp'!F412</f>
        <v>0</v>
      </c>
      <c r="E67" s="30">
        <f>'Formula for adding in new comp'!I412</f>
        <v>2</v>
      </c>
      <c r="F67" t="str">
        <f t="shared" si="2"/>
        <v>35102</v>
      </c>
      <c r="G67" t="s">
        <v>0</v>
      </c>
      <c r="H67" t="s">
        <v>191</v>
      </c>
    </row>
    <row r="68" spans="1:8" x14ac:dyDescent="0.25">
      <c r="A68" s="30" t="str">
        <f>'Formula for adding in new comp'!A413</f>
        <v>3</v>
      </c>
      <c r="B68" s="30" t="str">
        <f>'Formula for adding in new comp'!B413</f>
        <v>5</v>
      </c>
      <c r="C68" s="30" t="str">
        <f>'Formula for adding in new comp'!C413</f>
        <v>1</v>
      </c>
      <c r="D68" s="30">
        <f>'Formula for adding in new comp'!F413</f>
        <v>0</v>
      </c>
      <c r="E68" s="30">
        <f>'Formula for adding in new comp'!I413</f>
        <v>3</v>
      </c>
      <c r="F68" t="str">
        <f t="shared" si="2"/>
        <v>35103</v>
      </c>
      <c r="G68" t="s">
        <v>0</v>
      </c>
      <c r="H68" t="s">
        <v>192</v>
      </c>
    </row>
    <row r="69" spans="1:8" x14ac:dyDescent="0.25">
      <c r="A69" s="30" t="str">
        <f>'Formula for adding in new comp'!A51</f>
        <v>3</v>
      </c>
      <c r="B69" s="30" t="str">
        <f>'Formula for adding in new comp'!B51</f>
        <v>5</v>
      </c>
      <c r="C69" s="30">
        <f>'Formula for adding in new comp'!C51</f>
        <v>0</v>
      </c>
      <c r="D69" s="30">
        <f>'Formula for adding in new comp'!F51</f>
        <v>1</v>
      </c>
      <c r="E69" s="30">
        <f>'Formula for adding in new comp'!I51</f>
        <v>0</v>
      </c>
      <c r="F69" t="str">
        <f t="shared" si="2"/>
        <v>35010</v>
      </c>
      <c r="G69" t="s">
        <v>2</v>
      </c>
      <c r="H69" t="s">
        <v>261</v>
      </c>
    </row>
    <row r="70" spans="1:8" x14ac:dyDescent="0.25">
      <c r="A70" s="30" t="str">
        <f>'Formula for adding in new comp'!A52</f>
        <v>3</v>
      </c>
      <c r="B70" s="30" t="str">
        <f>'Formula for adding in new comp'!B52</f>
        <v>5</v>
      </c>
      <c r="C70" s="30">
        <f>'Formula for adding in new comp'!C52</f>
        <v>0</v>
      </c>
      <c r="D70" s="30">
        <f>'Formula for adding in new comp'!F52</f>
        <v>1</v>
      </c>
      <c r="E70" s="30">
        <f>'Formula for adding in new comp'!I52</f>
        <v>0</v>
      </c>
      <c r="F70" t="str">
        <f t="shared" si="2"/>
        <v>35010</v>
      </c>
      <c r="G70" t="s">
        <v>2</v>
      </c>
      <c r="H70" t="s">
        <v>262</v>
      </c>
    </row>
    <row r="71" spans="1:8" x14ac:dyDescent="0.25">
      <c r="A71" s="30" t="str">
        <f>'Formula for adding in new comp'!A38</f>
        <v>3</v>
      </c>
      <c r="B71" s="30" t="str">
        <f>'Formula for adding in new comp'!B38</f>
        <v>6</v>
      </c>
      <c r="C71" s="30">
        <f>'Formula for adding in new comp'!C38</f>
        <v>0</v>
      </c>
      <c r="D71" s="30">
        <f>'Formula for adding in new comp'!F38</f>
        <v>0</v>
      </c>
      <c r="E71" s="30">
        <f>'Formula for adding in new comp'!I38</f>
        <v>0</v>
      </c>
      <c r="F71" t="str">
        <f t="shared" si="2"/>
        <v>36000</v>
      </c>
      <c r="G71" t="s">
        <v>2</v>
      </c>
      <c r="H71" t="s">
        <v>249</v>
      </c>
    </row>
    <row r="72" spans="1:8" x14ac:dyDescent="0.25">
      <c r="A72" s="30" t="str">
        <f>'Formula for adding in new comp'!A53</f>
        <v>3</v>
      </c>
      <c r="B72" s="30" t="str">
        <f>'Formula for adding in new comp'!B53</f>
        <v>6</v>
      </c>
      <c r="C72" s="30" t="str">
        <f>'Formula for adding in new comp'!C53</f>
        <v>1</v>
      </c>
      <c r="D72" s="30">
        <f>'Formula for adding in new comp'!F53</f>
        <v>0</v>
      </c>
      <c r="E72" s="30">
        <f>'Formula for adding in new comp'!I53</f>
        <v>0</v>
      </c>
      <c r="F72" t="str">
        <f t="shared" si="2"/>
        <v>36100</v>
      </c>
      <c r="G72" t="s">
        <v>0</v>
      </c>
      <c r="H72" t="s">
        <v>263</v>
      </c>
    </row>
    <row r="73" spans="1:8" x14ac:dyDescent="0.25">
      <c r="A73" s="30" t="str">
        <f>'Formula for adding in new comp'!A85</f>
        <v>3</v>
      </c>
      <c r="B73" s="30" t="str">
        <f>'Formula for adding in new comp'!B85</f>
        <v>6</v>
      </c>
      <c r="C73" s="30" t="str">
        <f>'Formula for adding in new comp'!C85</f>
        <v>1</v>
      </c>
      <c r="D73" s="30">
        <f>'Formula for adding in new comp'!F85</f>
        <v>1</v>
      </c>
      <c r="E73" s="30">
        <f>'Formula for adding in new comp'!I85</f>
        <v>0</v>
      </c>
      <c r="F73" t="str">
        <f t="shared" si="2"/>
        <v>36110</v>
      </c>
      <c r="G73" t="s">
        <v>0</v>
      </c>
      <c r="H73" t="s">
        <v>294</v>
      </c>
    </row>
    <row r="74" spans="1:8" x14ac:dyDescent="0.25">
      <c r="A74" s="30" t="str">
        <f>'Formula for adding in new comp'!A88</f>
        <v>3</v>
      </c>
      <c r="B74" s="30" t="str">
        <f>'Formula for adding in new comp'!B88</f>
        <v>6</v>
      </c>
      <c r="C74" s="30" t="str">
        <f>'Formula for adding in new comp'!C88</f>
        <v>1</v>
      </c>
      <c r="D74" s="30">
        <f>'Formula for adding in new comp'!F88</f>
        <v>1</v>
      </c>
      <c r="E74" s="30">
        <f>'Formula for adding in new comp'!I88</f>
        <v>0</v>
      </c>
      <c r="F74" t="str">
        <f t="shared" si="2"/>
        <v>36110</v>
      </c>
      <c r="G74" t="s">
        <v>0</v>
      </c>
      <c r="H74" t="s">
        <v>297</v>
      </c>
    </row>
    <row r="75" spans="1:8" x14ac:dyDescent="0.25">
      <c r="A75" s="30" t="str">
        <f>'Formula for adding in new comp'!A414</f>
        <v>3</v>
      </c>
      <c r="B75" s="30" t="str">
        <f>'Formula for adding in new comp'!B414</f>
        <v>6</v>
      </c>
      <c r="C75" s="30" t="str">
        <f>'Formula for adding in new comp'!C414</f>
        <v>1</v>
      </c>
      <c r="D75" s="30">
        <f>'Formula for adding in new comp'!F414</f>
        <v>0</v>
      </c>
      <c r="E75" s="30">
        <f>'Formula for adding in new comp'!I414</f>
        <v>1</v>
      </c>
      <c r="F75" t="str">
        <f t="shared" si="2"/>
        <v>36101</v>
      </c>
      <c r="G75" t="s">
        <v>0</v>
      </c>
      <c r="H75" t="s">
        <v>193</v>
      </c>
    </row>
    <row r="76" spans="1:8" x14ac:dyDescent="0.25">
      <c r="A76" s="30" t="str">
        <f>'Formula for adding in new comp'!A415</f>
        <v>3</v>
      </c>
      <c r="B76" s="30" t="str">
        <f>'Formula for adding in new comp'!B415</f>
        <v>6</v>
      </c>
      <c r="C76" s="30" t="str">
        <f>'Formula for adding in new comp'!C415</f>
        <v>1</v>
      </c>
      <c r="D76" s="30">
        <f>'Formula for adding in new comp'!F415</f>
        <v>0</v>
      </c>
      <c r="E76" s="30">
        <f>'Formula for adding in new comp'!I415</f>
        <v>2</v>
      </c>
      <c r="F76" t="str">
        <f t="shared" si="2"/>
        <v>36102</v>
      </c>
      <c r="G76" t="s">
        <v>0</v>
      </c>
      <c r="H76" t="s">
        <v>194</v>
      </c>
    </row>
    <row r="77" spans="1:8" x14ac:dyDescent="0.25">
      <c r="A77" s="30" t="str">
        <f>'Formula for adding in new comp'!A416</f>
        <v>3</v>
      </c>
      <c r="B77" s="30" t="str">
        <f>'Formula for adding in new comp'!B416</f>
        <v>6</v>
      </c>
      <c r="C77" s="30" t="str">
        <f>'Formula for adding in new comp'!C416</f>
        <v>1</v>
      </c>
      <c r="D77" s="30">
        <f>'Formula for adding in new comp'!F416</f>
        <v>0</v>
      </c>
      <c r="E77" s="30">
        <f>'Formula for adding in new comp'!I416</f>
        <v>3</v>
      </c>
      <c r="F77" t="str">
        <f t="shared" si="2"/>
        <v>36103</v>
      </c>
      <c r="G77" t="s">
        <v>0</v>
      </c>
      <c r="H77" t="s">
        <v>195</v>
      </c>
    </row>
    <row r="78" spans="1:8" x14ac:dyDescent="0.25">
      <c r="A78" s="30" t="str">
        <f>'Formula for adding in new comp'!A65</f>
        <v>3</v>
      </c>
      <c r="B78" s="30" t="str">
        <f>'Formula for adding in new comp'!B65</f>
        <v>6</v>
      </c>
      <c r="C78" s="30">
        <f>'Formula for adding in new comp'!C65</f>
        <v>0</v>
      </c>
      <c r="D78" s="30">
        <f>'Formula for adding in new comp'!F65</f>
        <v>1</v>
      </c>
      <c r="E78" s="30">
        <f>'Formula for adding in new comp'!I65</f>
        <v>0</v>
      </c>
      <c r="F78" t="str">
        <f t="shared" si="2"/>
        <v>36010</v>
      </c>
      <c r="G78" t="s">
        <v>2</v>
      </c>
      <c r="H78" t="s">
        <v>275</v>
      </c>
    </row>
    <row r="79" spans="1:8" x14ac:dyDescent="0.25">
      <c r="A79" s="30" t="str">
        <f>'Formula for adding in new comp'!A363</f>
        <v>3</v>
      </c>
      <c r="B79" s="30" t="str">
        <f>'Formula for adding in new comp'!B363</f>
        <v>6</v>
      </c>
      <c r="C79" s="30">
        <f>'Formula for adding in new comp'!C363</f>
        <v>0</v>
      </c>
      <c r="D79" s="30">
        <f>'Formula for adding in new comp'!F363</f>
        <v>1</v>
      </c>
      <c r="E79" s="30">
        <f>'Formula for adding in new comp'!I363</f>
        <v>1</v>
      </c>
      <c r="F79" t="str">
        <f t="shared" si="2"/>
        <v>36011</v>
      </c>
      <c r="G79" t="s">
        <v>2</v>
      </c>
      <c r="H79" t="s">
        <v>142</v>
      </c>
    </row>
    <row r="80" spans="1:8" x14ac:dyDescent="0.25">
      <c r="A80" s="30" t="str">
        <f>'Formula for adding in new comp'!A364</f>
        <v>3</v>
      </c>
      <c r="B80" s="30" t="str">
        <f>'Formula for adding in new comp'!B364</f>
        <v>6</v>
      </c>
      <c r="C80" s="30">
        <f>'Formula for adding in new comp'!C364</f>
        <v>0</v>
      </c>
      <c r="D80" s="30">
        <f>'Formula for adding in new comp'!F364</f>
        <v>1</v>
      </c>
      <c r="E80" s="30">
        <f>'Formula for adding in new comp'!I364</f>
        <v>2</v>
      </c>
      <c r="F80" t="str">
        <f t="shared" si="2"/>
        <v>36012</v>
      </c>
      <c r="G80" t="s">
        <v>2</v>
      </c>
      <c r="H80" t="s">
        <v>143</v>
      </c>
    </row>
    <row r="81" spans="1:8" x14ac:dyDescent="0.25">
      <c r="A81" s="30" t="str">
        <f>'Formula for adding in new comp'!A365</f>
        <v>3</v>
      </c>
      <c r="B81" s="30" t="str">
        <f>'Formula for adding in new comp'!B365</f>
        <v>6</v>
      </c>
      <c r="C81" s="30">
        <f>'Formula for adding in new comp'!C365</f>
        <v>0</v>
      </c>
      <c r="D81" s="30">
        <f>'Formula for adding in new comp'!F365</f>
        <v>1</v>
      </c>
      <c r="E81" s="30">
        <f>'Formula for adding in new comp'!I365</f>
        <v>3</v>
      </c>
      <c r="F81" t="str">
        <f t="shared" si="2"/>
        <v>36013</v>
      </c>
      <c r="G81" t="s">
        <v>2</v>
      </c>
      <c r="H81" t="s">
        <v>144</v>
      </c>
    </row>
    <row r="82" spans="1:8" x14ac:dyDescent="0.25">
      <c r="A82" s="30" t="str">
        <f>'Formula for adding in new comp'!A66</f>
        <v>3</v>
      </c>
      <c r="B82" s="30" t="str">
        <f>'Formula for adding in new comp'!B66</f>
        <v>6</v>
      </c>
      <c r="C82" s="30">
        <f>'Formula for adding in new comp'!C66</f>
        <v>0</v>
      </c>
      <c r="D82" s="30">
        <f>'Formula for adding in new comp'!F66</f>
        <v>1</v>
      </c>
      <c r="E82" s="30">
        <f>'Formula for adding in new comp'!I66</f>
        <v>0</v>
      </c>
      <c r="F82" t="str">
        <f t="shared" si="2"/>
        <v>36010</v>
      </c>
      <c r="G82" t="s">
        <v>2</v>
      </c>
      <c r="H82" t="s">
        <v>276</v>
      </c>
    </row>
    <row r="83" spans="1:8" x14ac:dyDescent="0.25">
      <c r="A83" s="30" t="str">
        <f>'Formula for adding in new comp'!A435</f>
        <v>3</v>
      </c>
      <c r="B83" s="30" t="str">
        <f>'Formula for adding in new comp'!B435</f>
        <v>6</v>
      </c>
      <c r="C83" s="30">
        <f>'Formula for adding in new comp'!C435</f>
        <v>0</v>
      </c>
      <c r="D83" s="30">
        <f>'Formula for adding in new comp'!F435</f>
        <v>0</v>
      </c>
      <c r="E83" s="30">
        <f>'Formula for adding in new comp'!I435</f>
        <v>1</v>
      </c>
      <c r="F83" t="str">
        <f t="shared" si="2"/>
        <v>36001</v>
      </c>
      <c r="G83" t="s">
        <v>2</v>
      </c>
      <c r="H83" t="s">
        <v>214</v>
      </c>
    </row>
    <row r="84" spans="1:8" x14ac:dyDescent="0.25">
      <c r="A84" s="30" t="str">
        <f>'Formula for adding in new comp'!A436</f>
        <v>3</v>
      </c>
      <c r="B84" s="30" t="str">
        <f>'Formula for adding in new comp'!B436</f>
        <v>6</v>
      </c>
      <c r="C84" s="30">
        <f>'Formula for adding in new comp'!C436</f>
        <v>0</v>
      </c>
      <c r="D84" s="30">
        <f>'Formula for adding in new comp'!F436</f>
        <v>0</v>
      </c>
      <c r="E84" s="30">
        <f>'Formula for adding in new comp'!I436</f>
        <v>2</v>
      </c>
      <c r="F84" t="str">
        <f t="shared" si="2"/>
        <v>36002</v>
      </c>
      <c r="G84" t="s">
        <v>2</v>
      </c>
      <c r="H84" t="s">
        <v>215</v>
      </c>
    </row>
    <row r="85" spans="1:8" x14ac:dyDescent="0.25">
      <c r="A85" s="30" t="str">
        <f>'Formula for adding in new comp'!A437</f>
        <v>3</v>
      </c>
      <c r="B85" s="30" t="str">
        <f>'Formula for adding in new comp'!B437</f>
        <v>6</v>
      </c>
      <c r="C85" s="30">
        <f>'Formula for adding in new comp'!C437</f>
        <v>0</v>
      </c>
      <c r="D85" s="30">
        <f>'Formula for adding in new comp'!F437</f>
        <v>0</v>
      </c>
      <c r="E85" s="30">
        <f>'Formula for adding in new comp'!I437</f>
        <v>3</v>
      </c>
      <c r="F85" t="str">
        <f t="shared" si="2"/>
        <v>36003</v>
      </c>
      <c r="G85" t="s">
        <v>2</v>
      </c>
      <c r="H85" t="s">
        <v>216</v>
      </c>
    </row>
    <row r="86" spans="1:8" x14ac:dyDescent="0.25">
      <c r="A86" s="30" t="str">
        <f>'Formula for adding in new comp'!A24</f>
        <v>4</v>
      </c>
      <c r="B86" s="30" t="str">
        <f>'Formula for adding in new comp'!B24</f>
        <v>3</v>
      </c>
      <c r="C86" s="30">
        <f>'Formula for adding in new comp'!C24</f>
        <v>0</v>
      </c>
      <c r="D86" s="30">
        <f>'Formula for adding in new comp'!F24</f>
        <v>0</v>
      </c>
      <c r="E86" s="30">
        <f>'Formula for adding in new comp'!I24</f>
        <v>0</v>
      </c>
      <c r="F86" t="str">
        <f t="shared" si="2"/>
        <v>43000</v>
      </c>
      <c r="G86" t="s">
        <v>522</v>
      </c>
      <c r="H86" t="s">
        <v>236</v>
      </c>
    </row>
    <row r="87" spans="1:8" x14ac:dyDescent="0.25">
      <c r="A87" s="30" t="str">
        <f>'Formula for adding in new comp'!A30</f>
        <v>4</v>
      </c>
      <c r="B87" s="30" t="str">
        <f>'Formula for adding in new comp'!B30</f>
        <v>3</v>
      </c>
      <c r="C87" s="30" t="str">
        <f>'Formula for adding in new comp'!C30</f>
        <v>1</v>
      </c>
      <c r="D87" s="30">
        <f>'Formula for adding in new comp'!F30</f>
        <v>0</v>
      </c>
      <c r="E87" s="30">
        <f>'Formula for adding in new comp'!I30</f>
        <v>0</v>
      </c>
      <c r="F87" t="str">
        <f t="shared" si="2"/>
        <v>43100</v>
      </c>
      <c r="G87" t="s">
        <v>523</v>
      </c>
      <c r="H87" t="s">
        <v>241</v>
      </c>
    </row>
    <row r="88" spans="1:8" x14ac:dyDescent="0.25">
      <c r="A88" s="30" t="str">
        <f>'Formula for adding in new comp'!A40</f>
        <v>4</v>
      </c>
      <c r="B88" s="30" t="str">
        <f>'Formula for adding in new comp'!B40</f>
        <v>3</v>
      </c>
      <c r="C88" s="30" t="str">
        <f>'Formula for adding in new comp'!C40</f>
        <v>2</v>
      </c>
      <c r="D88" s="30">
        <f>'Formula for adding in new comp'!F40</f>
        <v>0</v>
      </c>
      <c r="E88" s="30">
        <f>'Formula for adding in new comp'!I40</f>
        <v>0</v>
      </c>
      <c r="F88" t="str">
        <f t="shared" si="2"/>
        <v>43200</v>
      </c>
      <c r="G88" t="s">
        <v>523</v>
      </c>
      <c r="H88" t="s">
        <v>251</v>
      </c>
    </row>
    <row r="89" spans="1:8" x14ac:dyDescent="0.25">
      <c r="A89" s="30" t="str">
        <f>'Formula for adding in new comp'!A54</f>
        <v>4</v>
      </c>
      <c r="B89" s="30" t="str">
        <f>'Formula for adding in new comp'!B54</f>
        <v>3</v>
      </c>
      <c r="C89" s="30" t="str">
        <f>'Formula for adding in new comp'!C54</f>
        <v>3</v>
      </c>
      <c r="D89" s="30">
        <f>'Formula for adding in new comp'!F54</f>
        <v>0</v>
      </c>
      <c r="E89" s="30">
        <f>'Formula for adding in new comp'!I54</f>
        <v>0</v>
      </c>
      <c r="F89" t="str">
        <f t="shared" si="2"/>
        <v>43300</v>
      </c>
      <c r="G89" t="s">
        <v>523</v>
      </c>
      <c r="H89" t="s">
        <v>264</v>
      </c>
    </row>
    <row r="90" spans="1:8" x14ac:dyDescent="0.25">
      <c r="A90" s="30" t="str">
        <f>'Formula for adding in new comp'!A39</f>
        <v>4</v>
      </c>
      <c r="B90" s="30" t="str">
        <f>'Formula for adding in new comp'!B39</f>
        <v>3</v>
      </c>
      <c r="C90" s="30">
        <f>'Formula for adding in new comp'!C39</f>
        <v>0</v>
      </c>
      <c r="D90" s="30">
        <f>'Formula for adding in new comp'!F39</f>
        <v>1</v>
      </c>
      <c r="E90" s="30">
        <f>'Formula for adding in new comp'!I39</f>
        <v>0</v>
      </c>
      <c r="F90" t="str">
        <f t="shared" si="2"/>
        <v>43010</v>
      </c>
      <c r="G90" t="s">
        <v>522</v>
      </c>
      <c r="H90" t="s">
        <v>250</v>
      </c>
    </row>
    <row r="91" spans="1:8" x14ac:dyDescent="0.25">
      <c r="A91" s="30" t="str">
        <f>'Formula for adding in new comp'!A41</f>
        <v>4</v>
      </c>
      <c r="B91" s="30" t="str">
        <f>'Formula for adding in new comp'!B41</f>
        <v>3</v>
      </c>
      <c r="C91" s="30">
        <f>'Formula for adding in new comp'!C41</f>
        <v>0</v>
      </c>
      <c r="D91" s="30">
        <f>'Formula for adding in new comp'!F41</f>
        <v>1</v>
      </c>
      <c r="E91" s="30">
        <f>'Formula for adding in new comp'!I41</f>
        <v>0</v>
      </c>
      <c r="F91" t="str">
        <f t="shared" si="2"/>
        <v>43010</v>
      </c>
      <c r="G91" t="s">
        <v>522</v>
      </c>
      <c r="H91" t="s">
        <v>252</v>
      </c>
    </row>
    <row r="92" spans="1:8" x14ac:dyDescent="0.25">
      <c r="A92" s="30" t="str">
        <f>'Formula for adding in new comp'!A360</f>
        <v>4</v>
      </c>
      <c r="B92" s="30" t="str">
        <f>'Formula for adding in new comp'!B360</f>
        <v>3</v>
      </c>
      <c r="C92" s="30">
        <f>'Formula for adding in new comp'!C360</f>
        <v>0</v>
      </c>
      <c r="D92" s="30">
        <f>'Formula for adding in new comp'!F360</f>
        <v>0</v>
      </c>
      <c r="E92" s="30">
        <f>'Formula for adding in new comp'!I360</f>
        <v>1</v>
      </c>
      <c r="F92" t="str">
        <f t="shared" si="2"/>
        <v>43001</v>
      </c>
      <c r="G92" t="s">
        <v>522</v>
      </c>
      <c r="H92" t="s">
        <v>139</v>
      </c>
    </row>
    <row r="93" spans="1:8" x14ac:dyDescent="0.25">
      <c r="A93" s="30" t="str">
        <f>'Formula for adding in new comp'!A361</f>
        <v>4</v>
      </c>
      <c r="B93" s="30" t="str">
        <f>'Formula for adding in new comp'!B361</f>
        <v>3</v>
      </c>
      <c r="C93" s="30">
        <f>'Formula for adding in new comp'!C361</f>
        <v>0</v>
      </c>
      <c r="D93" s="30">
        <f>'Formula for adding in new comp'!F361</f>
        <v>0</v>
      </c>
      <c r="E93" s="30">
        <f>'Formula for adding in new comp'!I361</f>
        <v>2</v>
      </c>
      <c r="F93" t="str">
        <f t="shared" si="2"/>
        <v>43002</v>
      </c>
      <c r="G93" t="s">
        <v>522</v>
      </c>
      <c r="H93" t="s">
        <v>140</v>
      </c>
    </row>
    <row r="94" spans="1:8" x14ac:dyDescent="0.25">
      <c r="A94" s="30" t="str">
        <f>'Formula for adding in new comp'!A362</f>
        <v>4</v>
      </c>
      <c r="B94" s="30" t="str">
        <f>'Formula for adding in new comp'!B362</f>
        <v>3</v>
      </c>
      <c r="C94" s="30">
        <f>'Formula for adding in new comp'!C362</f>
        <v>0</v>
      </c>
      <c r="D94" s="30">
        <f>'Formula for adding in new comp'!F362</f>
        <v>0</v>
      </c>
      <c r="E94" s="30">
        <f>'Formula for adding in new comp'!I362</f>
        <v>3</v>
      </c>
      <c r="F94" t="str">
        <f t="shared" si="2"/>
        <v>43003</v>
      </c>
      <c r="G94" t="s">
        <v>522</v>
      </c>
      <c r="H94" t="s">
        <v>141</v>
      </c>
    </row>
    <row r="95" spans="1:8" x14ac:dyDescent="0.25">
      <c r="A95" s="30" t="str">
        <f>'Formula for adding in new comp'!A31</f>
        <v>4</v>
      </c>
      <c r="B95" s="30" t="str">
        <f>'Formula for adding in new comp'!B31</f>
        <v>4</v>
      </c>
      <c r="C95" s="30">
        <f>'Formula for adding in new comp'!C31</f>
        <v>0</v>
      </c>
      <c r="D95" s="30">
        <f>'Formula for adding in new comp'!F31</f>
        <v>0</v>
      </c>
      <c r="E95" s="30">
        <f>'Formula for adding in new comp'!I31</f>
        <v>0</v>
      </c>
      <c r="F95" t="str">
        <f t="shared" si="2"/>
        <v>44000</v>
      </c>
      <c r="G95" t="s">
        <v>522</v>
      </c>
      <c r="H95" t="s">
        <v>242</v>
      </c>
    </row>
    <row r="96" spans="1:8" x14ac:dyDescent="0.25">
      <c r="A96" s="30" t="str">
        <f>'Formula for adding in new comp'!A42</f>
        <v>4</v>
      </c>
      <c r="B96" s="30" t="str">
        <f>'Formula for adding in new comp'!B42</f>
        <v>4</v>
      </c>
      <c r="C96" s="30" t="str">
        <f>'Formula for adding in new comp'!C42</f>
        <v>1</v>
      </c>
      <c r="D96" s="30">
        <f>'Formula for adding in new comp'!F42</f>
        <v>0</v>
      </c>
      <c r="E96" s="30">
        <f>'Formula for adding in new comp'!I42</f>
        <v>0</v>
      </c>
      <c r="F96" t="str">
        <f t="shared" si="2"/>
        <v>44100</v>
      </c>
      <c r="G96" t="s">
        <v>523</v>
      </c>
      <c r="H96" t="s">
        <v>253</v>
      </c>
    </row>
    <row r="97" spans="1:8" x14ac:dyDescent="0.25">
      <c r="A97" s="30" t="str">
        <f>'Formula for adding in new comp'!A67</f>
        <v>4</v>
      </c>
      <c r="B97" s="30" t="str">
        <f>'Formula for adding in new comp'!B67</f>
        <v>4</v>
      </c>
      <c r="C97" s="30" t="str">
        <f>'Formula for adding in new comp'!C67</f>
        <v>1</v>
      </c>
      <c r="D97" s="30">
        <f>'Formula for adding in new comp'!F67</f>
        <v>1</v>
      </c>
      <c r="E97" s="30">
        <f>'Formula for adding in new comp'!I67</f>
        <v>0</v>
      </c>
      <c r="F97" t="str">
        <f t="shared" si="2"/>
        <v>44110</v>
      </c>
      <c r="G97" t="s">
        <v>523</v>
      </c>
      <c r="H97" t="s">
        <v>277</v>
      </c>
    </row>
    <row r="98" spans="1:8" x14ac:dyDescent="0.25">
      <c r="A98" s="30" t="str">
        <f>'Formula for adding in new comp'!A69</f>
        <v>4</v>
      </c>
      <c r="B98" s="30" t="str">
        <f>'Formula for adding in new comp'!B69</f>
        <v>4</v>
      </c>
      <c r="C98" s="30" t="str">
        <f>'Formula for adding in new comp'!C69</f>
        <v>1</v>
      </c>
      <c r="D98" s="30">
        <f>'Formula for adding in new comp'!F69</f>
        <v>1</v>
      </c>
      <c r="E98" s="30">
        <f>'Formula for adding in new comp'!I69</f>
        <v>0</v>
      </c>
      <c r="F98" t="str">
        <f t="shared" si="2"/>
        <v>44110</v>
      </c>
      <c r="G98" t="s">
        <v>523</v>
      </c>
      <c r="H98" t="s">
        <v>279</v>
      </c>
    </row>
    <row r="99" spans="1:8" x14ac:dyDescent="0.25">
      <c r="A99" s="30" t="str">
        <f>'Formula for adding in new comp'!A310</f>
        <v>4</v>
      </c>
      <c r="B99" s="30" t="str">
        <f>'Formula for adding in new comp'!B310</f>
        <v>4</v>
      </c>
      <c r="C99" s="30" t="str">
        <f>'Formula for adding in new comp'!C310</f>
        <v>1</v>
      </c>
      <c r="D99" s="30">
        <f>'Formula for adding in new comp'!F310</f>
        <v>0</v>
      </c>
      <c r="E99" s="30">
        <f>'Formula for adding in new comp'!I310</f>
        <v>1</v>
      </c>
      <c r="F99" t="str">
        <f t="shared" si="2"/>
        <v>44101</v>
      </c>
      <c r="G99" t="s">
        <v>523</v>
      </c>
      <c r="H99" t="s">
        <v>89</v>
      </c>
    </row>
    <row r="100" spans="1:8" x14ac:dyDescent="0.25">
      <c r="A100" s="30" t="str">
        <f>'Formula for adding in new comp'!A311</f>
        <v>4</v>
      </c>
      <c r="B100" s="30" t="str">
        <f>'Formula for adding in new comp'!B311</f>
        <v>4</v>
      </c>
      <c r="C100" s="30" t="str">
        <f>'Formula for adding in new comp'!C311</f>
        <v>1</v>
      </c>
      <c r="D100" s="30">
        <f>'Formula for adding in new comp'!F311</f>
        <v>0</v>
      </c>
      <c r="E100" s="30">
        <f>'Formula for adding in new comp'!I311</f>
        <v>2</v>
      </c>
      <c r="F100" t="str">
        <f t="shared" si="2"/>
        <v>44102</v>
      </c>
      <c r="G100" t="s">
        <v>523</v>
      </c>
      <c r="H100" t="s">
        <v>90</v>
      </c>
    </row>
    <row r="101" spans="1:8" x14ac:dyDescent="0.25">
      <c r="A101" s="30" t="str">
        <f>'Formula for adding in new comp'!A312</f>
        <v>4</v>
      </c>
      <c r="B101" s="30" t="str">
        <f>'Formula for adding in new comp'!B312</f>
        <v>4</v>
      </c>
      <c r="C101" s="30" t="str">
        <f>'Formula for adding in new comp'!C312</f>
        <v>1</v>
      </c>
      <c r="D101" s="30">
        <f>'Formula for adding in new comp'!F312</f>
        <v>0</v>
      </c>
      <c r="E101" s="30">
        <f>'Formula for adding in new comp'!I312</f>
        <v>3</v>
      </c>
      <c r="F101" t="str">
        <f t="shared" si="2"/>
        <v>44103</v>
      </c>
      <c r="G101" t="s">
        <v>523</v>
      </c>
      <c r="H101" t="s">
        <v>91</v>
      </c>
    </row>
    <row r="102" spans="1:8" x14ac:dyDescent="0.25">
      <c r="A102" s="30" t="str">
        <f>'Formula for adding in new comp'!A56</f>
        <v>4</v>
      </c>
      <c r="B102" s="30" t="str">
        <f>'Formula for adding in new comp'!B56</f>
        <v>4</v>
      </c>
      <c r="C102" s="30" t="str">
        <f>'Formula for adding in new comp'!C56</f>
        <v>2</v>
      </c>
      <c r="D102" s="30">
        <f>'Formula for adding in new comp'!F56</f>
        <v>0</v>
      </c>
      <c r="E102" s="30">
        <f>'Formula for adding in new comp'!I56</f>
        <v>0</v>
      </c>
      <c r="F102" t="str">
        <f t="shared" si="2"/>
        <v>44200</v>
      </c>
      <c r="G102" t="s">
        <v>523</v>
      </c>
      <c r="H102" t="s">
        <v>266</v>
      </c>
    </row>
    <row r="103" spans="1:8" x14ac:dyDescent="0.25">
      <c r="A103" s="30" t="str">
        <f>'Formula for adding in new comp'!A89</f>
        <v>4</v>
      </c>
      <c r="B103" s="30" t="str">
        <f>'Formula for adding in new comp'!B89</f>
        <v>4</v>
      </c>
      <c r="C103" s="30" t="str">
        <f>'Formula for adding in new comp'!C89</f>
        <v>2</v>
      </c>
      <c r="D103" s="30">
        <f>'Formula for adding in new comp'!F89</f>
        <v>1</v>
      </c>
      <c r="E103" s="30">
        <f>'Formula for adding in new comp'!I89</f>
        <v>0</v>
      </c>
      <c r="F103" t="str">
        <f t="shared" si="2"/>
        <v>44210</v>
      </c>
      <c r="G103" t="s">
        <v>523</v>
      </c>
      <c r="H103" t="s">
        <v>298</v>
      </c>
    </row>
    <row r="104" spans="1:8" x14ac:dyDescent="0.25">
      <c r="A104" s="30" t="str">
        <f>'Formula for adding in new comp'!A92</f>
        <v>4</v>
      </c>
      <c r="B104" s="30" t="str">
        <f>'Formula for adding in new comp'!B92</f>
        <v>4</v>
      </c>
      <c r="C104" s="30" t="str">
        <f>'Formula for adding in new comp'!C92</f>
        <v>2</v>
      </c>
      <c r="D104" s="30">
        <f>'Formula for adding in new comp'!F92</f>
        <v>1</v>
      </c>
      <c r="E104" s="30">
        <f>'Formula for adding in new comp'!I92</f>
        <v>0</v>
      </c>
      <c r="F104" t="str">
        <f t="shared" si="2"/>
        <v>44210</v>
      </c>
      <c r="G104" t="s">
        <v>523</v>
      </c>
      <c r="H104" t="s">
        <v>301</v>
      </c>
    </row>
    <row r="105" spans="1:8" x14ac:dyDescent="0.25">
      <c r="A105" s="30" t="str">
        <f>'Formula for adding in new comp'!A393</f>
        <v>4</v>
      </c>
      <c r="B105" s="30" t="str">
        <f>'Formula for adding in new comp'!B393</f>
        <v>4</v>
      </c>
      <c r="C105" s="30" t="str">
        <f>'Formula for adding in new comp'!C393</f>
        <v>2</v>
      </c>
      <c r="D105" s="30">
        <f>'Formula for adding in new comp'!F393</f>
        <v>0</v>
      </c>
      <c r="E105" s="30">
        <f>'Formula for adding in new comp'!I393</f>
        <v>1</v>
      </c>
      <c r="F105" t="str">
        <f t="shared" si="2"/>
        <v>44201</v>
      </c>
      <c r="G105" t="s">
        <v>523</v>
      </c>
      <c r="H105" t="s">
        <v>172</v>
      </c>
    </row>
    <row r="106" spans="1:8" x14ac:dyDescent="0.25">
      <c r="A106" s="30" t="str">
        <f>'Formula for adding in new comp'!A394</f>
        <v>4</v>
      </c>
      <c r="B106" s="30" t="str">
        <f>'Formula for adding in new comp'!B394</f>
        <v>4</v>
      </c>
      <c r="C106" s="30" t="str">
        <f>'Formula for adding in new comp'!C394</f>
        <v>2</v>
      </c>
      <c r="D106" s="30">
        <f>'Formula for adding in new comp'!F394</f>
        <v>0</v>
      </c>
      <c r="E106" s="30">
        <f>'Formula for adding in new comp'!I394</f>
        <v>2</v>
      </c>
      <c r="F106" t="str">
        <f t="shared" si="2"/>
        <v>44202</v>
      </c>
      <c r="G106" t="s">
        <v>523</v>
      </c>
      <c r="H106" t="s">
        <v>173</v>
      </c>
    </row>
    <row r="107" spans="1:8" x14ac:dyDescent="0.25">
      <c r="A107" s="30" t="str">
        <f>'Formula for adding in new comp'!A395</f>
        <v>4</v>
      </c>
      <c r="B107" s="30" t="str">
        <f>'Formula for adding in new comp'!B395</f>
        <v>4</v>
      </c>
      <c r="C107" s="30" t="str">
        <f>'Formula for adding in new comp'!C395</f>
        <v>2</v>
      </c>
      <c r="D107" s="30">
        <f>'Formula for adding in new comp'!F395</f>
        <v>0</v>
      </c>
      <c r="E107" s="30">
        <f>'Formula for adding in new comp'!I395</f>
        <v>3</v>
      </c>
      <c r="F107" t="str">
        <f t="shared" si="2"/>
        <v>44203</v>
      </c>
      <c r="G107" t="s">
        <v>523</v>
      </c>
      <c r="H107" t="s">
        <v>174</v>
      </c>
    </row>
    <row r="108" spans="1:8" x14ac:dyDescent="0.25">
      <c r="A108" s="30" t="str">
        <f>'Formula for adding in new comp'!A55</f>
        <v>4</v>
      </c>
      <c r="B108" s="30" t="str">
        <f>'Formula for adding in new comp'!B55</f>
        <v>4</v>
      </c>
      <c r="C108" s="30">
        <f>'Formula for adding in new comp'!C55</f>
        <v>0</v>
      </c>
      <c r="D108" s="30">
        <f>'Formula for adding in new comp'!F55</f>
        <v>1</v>
      </c>
      <c r="E108" s="30">
        <f>'Formula for adding in new comp'!I55</f>
        <v>0</v>
      </c>
      <c r="F108" t="str">
        <f t="shared" si="2"/>
        <v>44010</v>
      </c>
      <c r="G108" t="s">
        <v>522</v>
      </c>
      <c r="H108" t="s">
        <v>265</v>
      </c>
    </row>
    <row r="109" spans="1:8" x14ac:dyDescent="0.25">
      <c r="A109" s="30" t="str">
        <f>'Formula for adding in new comp'!A57</f>
        <v>4</v>
      </c>
      <c r="B109" s="30" t="str">
        <f>'Formula for adding in new comp'!B57</f>
        <v>4</v>
      </c>
      <c r="C109" s="30">
        <f>'Formula for adding in new comp'!C57</f>
        <v>0</v>
      </c>
      <c r="D109" s="30">
        <f>'Formula for adding in new comp'!F57</f>
        <v>1</v>
      </c>
      <c r="E109" s="30">
        <f>'Formula for adding in new comp'!I57</f>
        <v>0</v>
      </c>
      <c r="F109" t="str">
        <f t="shared" si="2"/>
        <v>44010</v>
      </c>
      <c r="G109" t="s">
        <v>522</v>
      </c>
      <c r="H109" t="s">
        <v>267</v>
      </c>
    </row>
    <row r="110" spans="1:8" x14ac:dyDescent="0.25">
      <c r="A110" s="30" t="str">
        <f>'Formula for adding in new comp'!A43</f>
        <v>4</v>
      </c>
      <c r="B110" s="30" t="str">
        <f>'Formula for adding in new comp'!B43</f>
        <v>5</v>
      </c>
      <c r="C110" s="30">
        <f>'Formula for adding in new comp'!C43</f>
        <v>0</v>
      </c>
      <c r="D110" s="30">
        <f>'Formula for adding in new comp'!F43</f>
        <v>0</v>
      </c>
      <c r="E110" s="30">
        <f>'Formula for adding in new comp'!I43</f>
        <v>0</v>
      </c>
      <c r="F110" t="str">
        <f t="shared" si="2"/>
        <v>45000</v>
      </c>
      <c r="G110" t="s">
        <v>522</v>
      </c>
      <c r="H110" t="s">
        <v>254</v>
      </c>
    </row>
    <row r="111" spans="1:8" x14ac:dyDescent="0.25">
      <c r="A111" s="30" t="str">
        <f>'Formula for adding in new comp'!A58</f>
        <v>4</v>
      </c>
      <c r="B111" s="30" t="str">
        <f>'Formula for adding in new comp'!B58</f>
        <v>5</v>
      </c>
      <c r="C111" s="30" t="str">
        <f>'Formula for adding in new comp'!C58</f>
        <v>1</v>
      </c>
      <c r="D111" s="30">
        <f>'Formula for adding in new comp'!F58</f>
        <v>0</v>
      </c>
      <c r="E111" s="30">
        <f>'Formula for adding in new comp'!I58</f>
        <v>0</v>
      </c>
      <c r="F111" t="str">
        <f t="shared" si="2"/>
        <v>45100</v>
      </c>
      <c r="G111" t="s">
        <v>523</v>
      </c>
      <c r="H111" t="s">
        <v>268</v>
      </c>
    </row>
    <row r="112" spans="1:8" x14ac:dyDescent="0.25">
      <c r="A112" s="30" t="str">
        <f>'Formula for adding in new comp'!A91</f>
        <v>4</v>
      </c>
      <c r="B112" s="30" t="str">
        <f>'Formula for adding in new comp'!B91</f>
        <v>5</v>
      </c>
      <c r="C112" s="30" t="str">
        <f>'Formula for adding in new comp'!C91</f>
        <v>1</v>
      </c>
      <c r="D112" s="30">
        <f>'Formula for adding in new comp'!F91</f>
        <v>1</v>
      </c>
      <c r="E112" s="30">
        <f>'Formula for adding in new comp'!I91</f>
        <v>0</v>
      </c>
      <c r="F112" t="str">
        <f t="shared" si="2"/>
        <v>45110</v>
      </c>
      <c r="G112" t="s">
        <v>523</v>
      </c>
      <c r="H112" t="s">
        <v>300</v>
      </c>
    </row>
    <row r="113" spans="1:8" x14ac:dyDescent="0.25">
      <c r="A113" s="30" t="str">
        <f>'Formula for adding in new comp'!A152</f>
        <v>4</v>
      </c>
      <c r="B113" s="30" t="str">
        <f>'Formula for adding in new comp'!B152</f>
        <v>5</v>
      </c>
      <c r="C113" s="30" t="str">
        <f>'Formula for adding in new comp'!C152</f>
        <v>1</v>
      </c>
      <c r="D113" s="30">
        <f>'Formula for adding in new comp'!F152</f>
        <v>2</v>
      </c>
      <c r="E113" s="30">
        <f>'Formula for adding in new comp'!I152</f>
        <v>0</v>
      </c>
      <c r="F113" t="str">
        <f t="shared" si="2"/>
        <v>45120</v>
      </c>
      <c r="G113" t="s">
        <v>523</v>
      </c>
      <c r="H113" t="s">
        <v>361</v>
      </c>
    </row>
    <row r="114" spans="1:8" x14ac:dyDescent="0.25">
      <c r="A114" s="30" t="str">
        <f>'Formula for adding in new comp'!A149</f>
        <v>4</v>
      </c>
      <c r="B114" s="30" t="str">
        <f>'Formula for adding in new comp'!B149</f>
        <v>5</v>
      </c>
      <c r="C114" s="30" t="str">
        <f>'Formula for adding in new comp'!C149</f>
        <v>1</v>
      </c>
      <c r="D114" s="30">
        <f>'Formula for adding in new comp'!F149</f>
        <v>2</v>
      </c>
      <c r="E114" s="30">
        <f>'Formula for adding in new comp'!I149</f>
        <v>0</v>
      </c>
      <c r="F114" t="str">
        <f t="shared" si="2"/>
        <v>45120</v>
      </c>
      <c r="G114" t="s">
        <v>523</v>
      </c>
      <c r="H114" t="s">
        <v>358</v>
      </c>
    </row>
    <row r="115" spans="1:8" x14ac:dyDescent="0.25">
      <c r="A115" s="30" t="str">
        <f>'Formula for adding in new comp'!A96</f>
        <v>4</v>
      </c>
      <c r="B115" s="30" t="str">
        <f>'Formula for adding in new comp'!B96</f>
        <v>5</v>
      </c>
      <c r="C115" s="30" t="str">
        <f>'Formula for adding in new comp'!C96</f>
        <v>1</v>
      </c>
      <c r="D115" s="30">
        <f>'Formula for adding in new comp'!F96</f>
        <v>1</v>
      </c>
      <c r="E115" s="30">
        <f>'Formula for adding in new comp'!I96</f>
        <v>0</v>
      </c>
      <c r="F115" t="str">
        <f t="shared" si="2"/>
        <v>45110</v>
      </c>
      <c r="G115" t="s">
        <v>523</v>
      </c>
      <c r="H115" t="s">
        <v>305</v>
      </c>
    </row>
    <row r="116" spans="1:8" x14ac:dyDescent="0.25">
      <c r="A116" s="30" t="str">
        <f>'Formula for adding in new comp'!A153</f>
        <v>4</v>
      </c>
      <c r="B116" s="30" t="str">
        <f>'Formula for adding in new comp'!B153</f>
        <v>5</v>
      </c>
      <c r="C116" s="30" t="str">
        <f>'Formula for adding in new comp'!C153</f>
        <v>1</v>
      </c>
      <c r="D116" s="30">
        <f>'Formula for adding in new comp'!F153</f>
        <v>2</v>
      </c>
      <c r="E116" s="30">
        <f>'Formula for adding in new comp'!I153</f>
        <v>0</v>
      </c>
      <c r="F116" t="str">
        <f t="shared" si="2"/>
        <v>45120</v>
      </c>
      <c r="G116" t="s">
        <v>523</v>
      </c>
      <c r="H116" t="s">
        <v>362</v>
      </c>
    </row>
    <row r="117" spans="1:8" x14ac:dyDescent="0.25">
      <c r="A117" s="30" t="str">
        <f>'Formula for adding in new comp'!A71</f>
        <v>4</v>
      </c>
      <c r="B117" s="30" t="str">
        <f>'Formula for adding in new comp'!B71</f>
        <v>5</v>
      </c>
      <c r="C117" s="30" t="str">
        <f>'Formula for adding in new comp'!C71</f>
        <v>2</v>
      </c>
      <c r="D117" s="30">
        <f>'Formula for adding in new comp'!F71</f>
        <v>0</v>
      </c>
      <c r="E117" s="30">
        <f>'Formula for adding in new comp'!I71</f>
        <v>0</v>
      </c>
      <c r="F117" t="str">
        <f t="shared" si="2"/>
        <v>45200</v>
      </c>
      <c r="G117" t="s">
        <v>523</v>
      </c>
      <c r="H117" t="s">
        <v>281</v>
      </c>
    </row>
    <row r="118" spans="1:8" x14ac:dyDescent="0.25">
      <c r="A118" s="30" t="str">
        <f>'Formula for adding in new comp'!A117</f>
        <v>4</v>
      </c>
      <c r="B118" s="30" t="str">
        <f>'Formula for adding in new comp'!B117</f>
        <v>5</v>
      </c>
      <c r="C118" s="30" t="str">
        <f>'Formula for adding in new comp'!C117</f>
        <v>2</v>
      </c>
      <c r="D118" s="30">
        <f>'Formula for adding in new comp'!F117</f>
        <v>1</v>
      </c>
      <c r="E118" s="30">
        <f>'Formula for adding in new comp'!I117</f>
        <v>0</v>
      </c>
      <c r="F118" t="str">
        <f t="shared" si="2"/>
        <v>45210</v>
      </c>
      <c r="G118" t="s">
        <v>523</v>
      </c>
      <c r="H118" t="s">
        <v>326</v>
      </c>
    </row>
    <row r="119" spans="1:8" x14ac:dyDescent="0.25">
      <c r="A119" s="30" t="str">
        <f>'Formula for adding in new comp'!A405</f>
        <v>4</v>
      </c>
      <c r="B119" s="30" t="str">
        <f>'Formula for adding in new comp'!B405</f>
        <v>5</v>
      </c>
      <c r="C119" s="30" t="str">
        <f>'Formula for adding in new comp'!C405</f>
        <v>2</v>
      </c>
      <c r="D119" s="30">
        <f>'Formula for adding in new comp'!F405</f>
        <v>1</v>
      </c>
      <c r="E119" s="30">
        <f>'Formula for adding in new comp'!I405</f>
        <v>1</v>
      </c>
      <c r="F119" t="str">
        <f t="shared" si="2"/>
        <v>45211</v>
      </c>
      <c r="G119" t="s">
        <v>523</v>
      </c>
      <c r="H119" t="s">
        <v>184</v>
      </c>
    </row>
    <row r="120" spans="1:8" x14ac:dyDescent="0.25">
      <c r="A120" s="30" t="str">
        <f>'Formula for adding in new comp'!A406</f>
        <v>4</v>
      </c>
      <c r="B120" s="30" t="str">
        <f>'Formula for adding in new comp'!B406</f>
        <v>5</v>
      </c>
      <c r="C120" s="30" t="str">
        <f>'Formula for adding in new comp'!C406</f>
        <v>2</v>
      </c>
      <c r="D120" s="30">
        <f>'Formula for adding in new comp'!F406</f>
        <v>1</v>
      </c>
      <c r="E120" s="30">
        <f>'Formula for adding in new comp'!I406</f>
        <v>2</v>
      </c>
      <c r="F120" t="str">
        <f t="shared" si="2"/>
        <v>45212</v>
      </c>
      <c r="G120" t="s">
        <v>523</v>
      </c>
      <c r="H120" t="s">
        <v>185</v>
      </c>
    </row>
    <row r="121" spans="1:8" x14ac:dyDescent="0.25">
      <c r="A121" s="30" t="str">
        <f>'Formula for adding in new comp'!A407</f>
        <v>4</v>
      </c>
      <c r="B121" s="30" t="str">
        <f>'Formula for adding in new comp'!B407</f>
        <v>5</v>
      </c>
      <c r="C121" s="30" t="str">
        <f>'Formula for adding in new comp'!C407</f>
        <v>2</v>
      </c>
      <c r="D121" s="30">
        <f>'Formula for adding in new comp'!F407</f>
        <v>1</v>
      </c>
      <c r="E121" s="30">
        <f>'Formula for adding in new comp'!I407</f>
        <v>3</v>
      </c>
      <c r="F121" t="str">
        <f t="shared" si="2"/>
        <v>45213</v>
      </c>
      <c r="G121" t="s">
        <v>523</v>
      </c>
      <c r="H121" t="s">
        <v>186</v>
      </c>
    </row>
    <row r="122" spans="1:8" x14ac:dyDescent="0.25">
      <c r="A122" s="30" t="str">
        <f>'Formula for adding in new comp'!A121</f>
        <v>4</v>
      </c>
      <c r="B122" s="30" t="str">
        <f>'Formula for adding in new comp'!B121</f>
        <v>5</v>
      </c>
      <c r="C122" s="30" t="str">
        <f>'Formula for adding in new comp'!C121</f>
        <v>2</v>
      </c>
      <c r="D122" s="30">
        <f>'Formula for adding in new comp'!F121</f>
        <v>1</v>
      </c>
      <c r="E122" s="30">
        <f>'Formula for adding in new comp'!I121</f>
        <v>0</v>
      </c>
      <c r="F122" t="str">
        <f t="shared" si="2"/>
        <v>45210</v>
      </c>
      <c r="G122" t="s">
        <v>523</v>
      </c>
      <c r="H122" t="s">
        <v>330</v>
      </c>
    </row>
    <row r="123" spans="1:8" x14ac:dyDescent="0.25">
      <c r="A123" s="30" t="str">
        <f>'Formula for adding in new comp'!A93</f>
        <v>4</v>
      </c>
      <c r="B123" s="30" t="str">
        <f>'Formula for adding in new comp'!B93</f>
        <v>5</v>
      </c>
      <c r="C123" s="30" t="str">
        <f>'Formula for adding in new comp'!C93</f>
        <v>3</v>
      </c>
      <c r="D123" s="30">
        <f>'Formula for adding in new comp'!F93</f>
        <v>0</v>
      </c>
      <c r="E123" s="30">
        <f>'Formula for adding in new comp'!I93</f>
        <v>0</v>
      </c>
      <c r="F123" t="str">
        <f t="shared" si="2"/>
        <v>45300</v>
      </c>
      <c r="G123" t="s">
        <v>523</v>
      </c>
      <c r="H123" t="s">
        <v>302</v>
      </c>
    </row>
    <row r="124" spans="1:8" x14ac:dyDescent="0.25">
      <c r="A124" s="30" t="str">
        <f>'Formula for adding in new comp'!A190</f>
        <v>4</v>
      </c>
      <c r="B124" s="30" t="str">
        <f>'Formula for adding in new comp'!B190</f>
        <v>5</v>
      </c>
      <c r="C124" s="30" t="str">
        <f>'Formula for adding in new comp'!C190</f>
        <v>3</v>
      </c>
      <c r="D124" s="30">
        <f>'Formula for adding in new comp'!F190</f>
        <v>1</v>
      </c>
      <c r="E124" s="30">
        <f>'Formula for adding in new comp'!I190</f>
        <v>0</v>
      </c>
      <c r="F124" t="str">
        <f t="shared" si="2"/>
        <v>45310</v>
      </c>
      <c r="G124" t="s">
        <v>523</v>
      </c>
      <c r="H124" t="s">
        <v>399</v>
      </c>
    </row>
    <row r="125" spans="1:8" x14ac:dyDescent="0.25">
      <c r="A125" s="30" t="str">
        <f>'Formula for adding in new comp'!A192</f>
        <v>4</v>
      </c>
      <c r="B125" s="30" t="str">
        <f>'Formula for adding in new comp'!B192</f>
        <v>5</v>
      </c>
      <c r="C125" s="30" t="str">
        <f>'Formula for adding in new comp'!C192</f>
        <v>3</v>
      </c>
      <c r="D125" s="30">
        <f>'Formula for adding in new comp'!F192</f>
        <v>2</v>
      </c>
      <c r="E125" s="30">
        <f>'Formula for adding in new comp'!I192</f>
        <v>0</v>
      </c>
      <c r="F125" t="str">
        <f t="shared" si="2"/>
        <v>45320</v>
      </c>
      <c r="G125" t="s">
        <v>523</v>
      </c>
      <c r="H125" t="s">
        <v>401</v>
      </c>
    </row>
    <row r="126" spans="1:8" x14ac:dyDescent="0.25">
      <c r="A126" s="30" t="str">
        <f>'Formula for adding in new comp'!A189</f>
        <v>4</v>
      </c>
      <c r="B126" s="30" t="str">
        <f>'Formula for adding in new comp'!B189</f>
        <v>5</v>
      </c>
      <c r="C126" s="30" t="str">
        <f>'Formula for adding in new comp'!C189</f>
        <v>3</v>
      </c>
      <c r="D126" s="30">
        <f>'Formula for adding in new comp'!F189</f>
        <v>2</v>
      </c>
      <c r="E126" s="30">
        <f>'Formula for adding in new comp'!I189</f>
        <v>0</v>
      </c>
      <c r="F126" t="str">
        <f t="shared" si="2"/>
        <v>45320</v>
      </c>
      <c r="G126" t="s">
        <v>523</v>
      </c>
      <c r="H126" t="s">
        <v>398</v>
      </c>
    </row>
    <row r="127" spans="1:8" x14ac:dyDescent="0.25">
      <c r="A127" s="30" t="str">
        <f>'Formula for adding in new comp'!A194</f>
        <v>4</v>
      </c>
      <c r="B127" s="30" t="str">
        <f>'Formula for adding in new comp'!B194</f>
        <v>5</v>
      </c>
      <c r="C127" s="30" t="str">
        <f>'Formula for adding in new comp'!C194</f>
        <v>3</v>
      </c>
      <c r="D127" s="30">
        <f>'Formula for adding in new comp'!F194</f>
        <v>2</v>
      </c>
      <c r="E127" s="30">
        <f>'Formula for adding in new comp'!I194</f>
        <v>0</v>
      </c>
      <c r="F127" t="str">
        <f t="shared" si="2"/>
        <v>45320</v>
      </c>
      <c r="G127" t="s">
        <v>523</v>
      </c>
      <c r="H127" t="s">
        <v>403</v>
      </c>
    </row>
    <row r="128" spans="1:8" x14ac:dyDescent="0.25">
      <c r="A128" s="30" t="str">
        <f>'Formula for adding in new comp'!A408</f>
        <v>4</v>
      </c>
      <c r="B128" s="30" t="str">
        <f>'Formula for adding in new comp'!B408</f>
        <v>5</v>
      </c>
      <c r="C128" s="30" t="str">
        <f>'Formula for adding in new comp'!C408</f>
        <v>3</v>
      </c>
      <c r="D128" s="30">
        <f>'Formula for adding in new comp'!F408</f>
        <v>0</v>
      </c>
      <c r="E128" s="30">
        <f>'Formula for adding in new comp'!I408</f>
        <v>1</v>
      </c>
      <c r="F128" t="str">
        <f t="shared" si="2"/>
        <v>45301</v>
      </c>
      <c r="G128" t="s">
        <v>523</v>
      </c>
      <c r="H128" t="s">
        <v>187</v>
      </c>
    </row>
    <row r="129" spans="1:8" x14ac:dyDescent="0.25">
      <c r="A129" s="30" t="str">
        <f>'Formula for adding in new comp'!A409</f>
        <v>4</v>
      </c>
      <c r="B129" s="30" t="str">
        <f>'Formula for adding in new comp'!B409</f>
        <v>5</v>
      </c>
      <c r="C129" s="30" t="str">
        <f>'Formula for adding in new comp'!C409</f>
        <v>3</v>
      </c>
      <c r="D129" s="30">
        <f>'Formula for adding in new comp'!F409</f>
        <v>0</v>
      </c>
      <c r="E129" s="30">
        <f>'Formula for adding in new comp'!I409</f>
        <v>2</v>
      </c>
      <c r="F129" t="str">
        <f t="shared" si="2"/>
        <v>45302</v>
      </c>
      <c r="G129" t="s">
        <v>523</v>
      </c>
      <c r="H129" t="s">
        <v>188</v>
      </c>
    </row>
    <row r="130" spans="1:8" x14ac:dyDescent="0.25">
      <c r="A130" s="30" t="str">
        <f>'Formula for adding in new comp'!A410</f>
        <v>4</v>
      </c>
      <c r="B130" s="30" t="str">
        <f>'Formula for adding in new comp'!B410</f>
        <v>5</v>
      </c>
      <c r="C130" s="30" t="str">
        <f>'Formula for adding in new comp'!C410</f>
        <v>3</v>
      </c>
      <c r="D130" s="30">
        <f>'Formula for adding in new comp'!F410</f>
        <v>0</v>
      </c>
      <c r="E130" s="30">
        <f>'Formula for adding in new comp'!I410</f>
        <v>3</v>
      </c>
      <c r="F130" t="str">
        <f t="shared" ref="F130:F193" si="3">A130&amp;B130&amp;C130&amp;D130&amp;E130</f>
        <v>45303</v>
      </c>
      <c r="G130" t="s">
        <v>523</v>
      </c>
      <c r="H130" t="s">
        <v>189</v>
      </c>
    </row>
    <row r="131" spans="1:8" x14ac:dyDescent="0.25">
      <c r="A131" s="30" t="str">
        <f>'Formula for adding in new comp'!A118</f>
        <v>4</v>
      </c>
      <c r="B131" s="30" t="str">
        <f>'Formula for adding in new comp'!B118</f>
        <v>5</v>
      </c>
      <c r="C131" s="30" t="str">
        <f>'Formula for adding in new comp'!C118</f>
        <v>4</v>
      </c>
      <c r="D131" s="30">
        <f>'Formula for adding in new comp'!F118</f>
        <v>0</v>
      </c>
      <c r="E131" s="30">
        <f>'Formula for adding in new comp'!I118</f>
        <v>0</v>
      </c>
      <c r="F131" t="str">
        <f t="shared" si="3"/>
        <v>45400</v>
      </c>
      <c r="G131" t="s">
        <v>523</v>
      </c>
      <c r="H131" t="s">
        <v>327</v>
      </c>
    </row>
    <row r="132" spans="1:8" x14ac:dyDescent="0.25">
      <c r="A132" s="30" t="str">
        <f>'Formula for adding in new comp'!A70</f>
        <v>4</v>
      </c>
      <c r="B132" s="30" t="str">
        <f>'Formula for adding in new comp'!B70</f>
        <v>5</v>
      </c>
      <c r="C132" s="30">
        <f>'Formula for adding in new comp'!C70</f>
        <v>0</v>
      </c>
      <c r="D132" s="30">
        <f>'Formula for adding in new comp'!F70</f>
        <v>1</v>
      </c>
      <c r="E132" s="30">
        <f>'Formula for adding in new comp'!I70</f>
        <v>0</v>
      </c>
      <c r="F132" t="str">
        <f t="shared" si="3"/>
        <v>45010</v>
      </c>
      <c r="G132" t="s">
        <v>522</v>
      </c>
      <c r="H132" t="s">
        <v>280</v>
      </c>
    </row>
    <row r="133" spans="1:8" x14ac:dyDescent="0.25">
      <c r="A133" s="30" t="str">
        <f>'Formula for adding in new comp'!A120</f>
        <v>4</v>
      </c>
      <c r="B133" s="30" t="str">
        <f>'Formula for adding in new comp'!B120</f>
        <v>5</v>
      </c>
      <c r="C133" s="30">
        <f>'Formula for adding in new comp'!C120</f>
        <v>0</v>
      </c>
      <c r="D133" s="30">
        <f>'Formula for adding in new comp'!F120</f>
        <v>2</v>
      </c>
      <c r="E133" s="30">
        <f>'Formula for adding in new comp'!I120</f>
        <v>0</v>
      </c>
      <c r="F133" t="str">
        <f t="shared" si="3"/>
        <v>45020</v>
      </c>
      <c r="G133" t="s">
        <v>522</v>
      </c>
      <c r="H133" t="s">
        <v>329</v>
      </c>
    </row>
    <row r="134" spans="1:8" x14ac:dyDescent="0.25">
      <c r="A134" s="30" t="str">
        <f>'Formula for adding in new comp'!A116</f>
        <v>4</v>
      </c>
      <c r="B134" s="30" t="str">
        <f>'Formula for adding in new comp'!B116</f>
        <v>5</v>
      </c>
      <c r="C134" s="30">
        <f>'Formula for adding in new comp'!C116</f>
        <v>0</v>
      </c>
      <c r="D134" s="30">
        <f>'Formula for adding in new comp'!F116</f>
        <v>2</v>
      </c>
      <c r="E134" s="30">
        <f>'Formula for adding in new comp'!I116</f>
        <v>0</v>
      </c>
      <c r="F134" t="str">
        <f t="shared" si="3"/>
        <v>45020</v>
      </c>
      <c r="G134" t="s">
        <v>522</v>
      </c>
      <c r="H134" t="s">
        <v>325</v>
      </c>
    </row>
    <row r="135" spans="1:8" x14ac:dyDescent="0.25">
      <c r="A135" s="30" t="str">
        <f>'Formula for adding in new comp'!A72</f>
        <v>4</v>
      </c>
      <c r="B135" s="30" t="str">
        <f>'Formula for adding in new comp'!B72</f>
        <v>5</v>
      </c>
      <c r="C135" s="30">
        <f>'Formula for adding in new comp'!C72</f>
        <v>0</v>
      </c>
      <c r="D135" s="30">
        <f>'Formula for adding in new comp'!F72</f>
        <v>1</v>
      </c>
      <c r="E135" s="30">
        <f>'Formula for adding in new comp'!I72</f>
        <v>0</v>
      </c>
      <c r="F135" t="str">
        <f t="shared" si="3"/>
        <v>45010</v>
      </c>
      <c r="G135" t="s">
        <v>522</v>
      </c>
      <c r="H135" t="s">
        <v>282</v>
      </c>
    </row>
    <row r="136" spans="1:8" x14ac:dyDescent="0.25">
      <c r="A136" s="30" t="str">
        <f>'Formula for adding in new comp'!A124</f>
        <v>4</v>
      </c>
      <c r="B136" s="30" t="str">
        <f>'Formula for adding in new comp'!B124</f>
        <v>5</v>
      </c>
      <c r="C136" s="30">
        <f>'Formula for adding in new comp'!C124</f>
        <v>0</v>
      </c>
      <c r="D136" s="30">
        <f>'Formula for adding in new comp'!F124</f>
        <v>2</v>
      </c>
      <c r="E136" s="30">
        <f>'Formula for adding in new comp'!I124</f>
        <v>0</v>
      </c>
      <c r="F136" t="str">
        <f t="shared" si="3"/>
        <v>45020</v>
      </c>
      <c r="G136" t="s">
        <v>522</v>
      </c>
      <c r="H136" t="s">
        <v>333</v>
      </c>
    </row>
    <row r="137" spans="1:8" x14ac:dyDescent="0.25">
      <c r="A137" s="30" t="str">
        <f>'Formula for adding in new comp'!A372</f>
        <v>4</v>
      </c>
      <c r="B137" s="30" t="str">
        <f>'Formula for adding in new comp'!B372</f>
        <v>5</v>
      </c>
      <c r="C137" s="30">
        <f>'Formula for adding in new comp'!C372</f>
        <v>0</v>
      </c>
      <c r="D137" s="30">
        <f>'Formula for adding in new comp'!F372</f>
        <v>0</v>
      </c>
      <c r="E137" s="30">
        <f>'Formula for adding in new comp'!I372</f>
        <v>1</v>
      </c>
      <c r="F137" t="str">
        <f t="shared" si="3"/>
        <v>45001</v>
      </c>
      <c r="G137" t="s">
        <v>522</v>
      </c>
      <c r="H137" t="s">
        <v>151</v>
      </c>
    </row>
    <row r="138" spans="1:8" x14ac:dyDescent="0.25">
      <c r="A138" s="30" t="str">
        <f>'Formula for adding in new comp'!A373</f>
        <v>4</v>
      </c>
      <c r="B138" s="30" t="str">
        <f>'Formula for adding in new comp'!B373</f>
        <v>5</v>
      </c>
      <c r="C138" s="30">
        <f>'Formula for adding in new comp'!C373</f>
        <v>0</v>
      </c>
      <c r="D138" s="30">
        <f>'Formula for adding in new comp'!F373</f>
        <v>0</v>
      </c>
      <c r="E138" s="30">
        <f>'Formula for adding in new comp'!I373</f>
        <v>2</v>
      </c>
      <c r="F138" t="str">
        <f t="shared" si="3"/>
        <v>45002</v>
      </c>
      <c r="G138" t="s">
        <v>522</v>
      </c>
      <c r="H138" t="s">
        <v>152</v>
      </c>
    </row>
    <row r="139" spans="1:8" x14ac:dyDescent="0.25">
      <c r="A139" s="30" t="str">
        <f>'Formula for adding in new comp'!A374</f>
        <v>4</v>
      </c>
      <c r="B139" s="30" t="str">
        <f>'Formula for adding in new comp'!B374</f>
        <v>5</v>
      </c>
      <c r="C139" s="30">
        <f>'Formula for adding in new comp'!C374</f>
        <v>0</v>
      </c>
      <c r="D139" s="30">
        <f>'Formula for adding in new comp'!F374</f>
        <v>0</v>
      </c>
      <c r="E139" s="30">
        <f>'Formula for adding in new comp'!I374</f>
        <v>3</v>
      </c>
      <c r="F139" t="str">
        <f t="shared" si="3"/>
        <v>45003</v>
      </c>
      <c r="G139" t="s">
        <v>522</v>
      </c>
      <c r="H139" t="s">
        <v>153</v>
      </c>
    </row>
    <row r="140" spans="1:8" x14ac:dyDescent="0.25">
      <c r="A140" s="30" t="str">
        <f>'Formula for adding in new comp'!A59</f>
        <v>4</v>
      </c>
      <c r="B140" s="30" t="str">
        <f>'Formula for adding in new comp'!B59</f>
        <v>6</v>
      </c>
      <c r="C140" s="30">
        <f>'Formula for adding in new comp'!C59</f>
        <v>0</v>
      </c>
      <c r="D140" s="30">
        <f>'Formula for adding in new comp'!F59</f>
        <v>0</v>
      </c>
      <c r="E140" s="30">
        <f>'Formula for adding in new comp'!I59</f>
        <v>0</v>
      </c>
      <c r="F140" t="str">
        <f t="shared" si="3"/>
        <v>46000</v>
      </c>
      <c r="G140" t="s">
        <v>522</v>
      </c>
      <c r="H140" t="s">
        <v>269</v>
      </c>
    </row>
    <row r="141" spans="1:8" x14ac:dyDescent="0.25">
      <c r="A141" s="30" t="str">
        <f>'Formula for adding in new comp'!A73</f>
        <v>4</v>
      </c>
      <c r="B141" s="30" t="str">
        <f>'Formula for adding in new comp'!B73</f>
        <v>6</v>
      </c>
      <c r="C141" s="30" t="str">
        <f>'Formula for adding in new comp'!C73</f>
        <v>1</v>
      </c>
      <c r="D141" s="30">
        <f>'Formula for adding in new comp'!F73</f>
        <v>0</v>
      </c>
      <c r="E141" s="30">
        <f>'Formula for adding in new comp'!I73</f>
        <v>0</v>
      </c>
      <c r="F141" t="str">
        <f t="shared" si="3"/>
        <v>46100</v>
      </c>
      <c r="G141" t="s">
        <v>523</v>
      </c>
      <c r="H141" t="s">
        <v>283</v>
      </c>
    </row>
    <row r="142" spans="1:8" x14ac:dyDescent="0.25">
      <c r="A142" s="30" t="str">
        <f>'Formula for adding in new comp'!A122</f>
        <v>4</v>
      </c>
      <c r="B142" s="30" t="str">
        <f>'Formula for adding in new comp'!B122</f>
        <v>6</v>
      </c>
      <c r="C142" s="30" t="str">
        <f>'Formula for adding in new comp'!C122</f>
        <v>1</v>
      </c>
      <c r="D142" s="30">
        <f>'Formula for adding in new comp'!F122</f>
        <v>1</v>
      </c>
      <c r="E142" s="30">
        <f>'Formula for adding in new comp'!I122</f>
        <v>0</v>
      </c>
      <c r="F142" t="str">
        <f t="shared" si="3"/>
        <v>46110</v>
      </c>
      <c r="G142" t="s">
        <v>523</v>
      </c>
      <c r="H142" t="s">
        <v>331</v>
      </c>
    </row>
    <row r="143" spans="1:8" x14ac:dyDescent="0.25">
      <c r="A143" s="30" t="str">
        <f>'Formula for adding in new comp'!A125</f>
        <v>4</v>
      </c>
      <c r="B143" s="30" t="str">
        <f>'Formula for adding in new comp'!B125</f>
        <v>6</v>
      </c>
      <c r="C143" s="30" t="str">
        <f>'Formula for adding in new comp'!C125</f>
        <v>1</v>
      </c>
      <c r="D143" s="30">
        <f>'Formula for adding in new comp'!F125</f>
        <v>1</v>
      </c>
      <c r="E143" s="30">
        <f>'Formula for adding in new comp'!I125</f>
        <v>0</v>
      </c>
      <c r="F143" t="str">
        <f t="shared" si="3"/>
        <v>46110</v>
      </c>
      <c r="G143" t="s">
        <v>523</v>
      </c>
      <c r="H143" t="s">
        <v>334</v>
      </c>
    </row>
    <row r="144" spans="1:8" x14ac:dyDescent="0.25">
      <c r="A144" s="30" t="str">
        <f>'Formula for adding in new comp'!A313</f>
        <v>4</v>
      </c>
      <c r="B144" s="30" t="str">
        <f>'Formula for adding in new comp'!B313</f>
        <v>6</v>
      </c>
      <c r="C144" s="30" t="str">
        <f>'Formula for adding in new comp'!C313</f>
        <v>1</v>
      </c>
      <c r="D144" s="30">
        <f>'Formula for adding in new comp'!F313</f>
        <v>0</v>
      </c>
      <c r="E144" s="30">
        <f>'Formula for adding in new comp'!I313</f>
        <v>1</v>
      </c>
      <c r="F144" t="str">
        <f t="shared" si="3"/>
        <v>46101</v>
      </c>
      <c r="G144" t="s">
        <v>523</v>
      </c>
      <c r="H144" t="s">
        <v>92</v>
      </c>
    </row>
    <row r="145" spans="1:8" x14ac:dyDescent="0.25">
      <c r="A145" s="30" t="str">
        <f>'Formula for adding in new comp'!A314</f>
        <v>4</v>
      </c>
      <c r="B145" s="30" t="str">
        <f>'Formula for adding in new comp'!B314</f>
        <v>6</v>
      </c>
      <c r="C145" s="30" t="str">
        <f>'Formula for adding in new comp'!C314</f>
        <v>1</v>
      </c>
      <c r="D145" s="30">
        <f>'Formula for adding in new comp'!F314</f>
        <v>0</v>
      </c>
      <c r="E145" s="30">
        <f>'Formula for adding in new comp'!I314</f>
        <v>2</v>
      </c>
      <c r="F145" t="str">
        <f t="shared" si="3"/>
        <v>46102</v>
      </c>
      <c r="G145" t="s">
        <v>523</v>
      </c>
      <c r="H145" t="s">
        <v>93</v>
      </c>
    </row>
    <row r="146" spans="1:8" x14ac:dyDescent="0.25">
      <c r="A146" s="30" t="str">
        <f>'Formula for adding in new comp'!A315</f>
        <v>4</v>
      </c>
      <c r="B146" s="30" t="str">
        <f>'Formula for adding in new comp'!B315</f>
        <v>6</v>
      </c>
      <c r="C146" s="30" t="str">
        <f>'Formula for adding in new comp'!C315</f>
        <v>1</v>
      </c>
      <c r="D146" s="30">
        <f>'Formula for adding in new comp'!F315</f>
        <v>0</v>
      </c>
      <c r="E146" s="30">
        <f>'Formula for adding in new comp'!I315</f>
        <v>3</v>
      </c>
      <c r="F146" t="str">
        <f t="shared" si="3"/>
        <v>46103</v>
      </c>
      <c r="G146" t="s">
        <v>523</v>
      </c>
      <c r="H146" t="s">
        <v>94</v>
      </c>
    </row>
    <row r="147" spans="1:8" x14ac:dyDescent="0.25">
      <c r="A147" s="30" t="str">
        <f>'Formula for adding in new comp'!A97</f>
        <v>4</v>
      </c>
      <c r="B147" s="30" t="str">
        <f>'Formula for adding in new comp'!B97</f>
        <v>6</v>
      </c>
      <c r="C147" s="30" t="str">
        <f>'Formula for adding in new comp'!C97</f>
        <v>2</v>
      </c>
      <c r="D147" s="30">
        <f>'Formula for adding in new comp'!F97</f>
        <v>0</v>
      </c>
      <c r="E147" s="30">
        <f>'Formula for adding in new comp'!I97</f>
        <v>0</v>
      </c>
      <c r="F147" t="str">
        <f t="shared" si="3"/>
        <v>46200</v>
      </c>
      <c r="G147" t="s">
        <v>523</v>
      </c>
      <c r="H147" t="s">
        <v>306</v>
      </c>
    </row>
    <row r="148" spans="1:8" x14ac:dyDescent="0.25">
      <c r="A148" s="30" t="str">
        <f>'Formula for adding in new comp'!A123</f>
        <v>4</v>
      </c>
      <c r="B148" s="30" t="str">
        <f>'Formula for adding in new comp'!B123</f>
        <v>6</v>
      </c>
      <c r="C148" s="30" t="str">
        <f>'Formula for adding in new comp'!C123</f>
        <v>3</v>
      </c>
      <c r="D148" s="30">
        <f>'Formula for adding in new comp'!F123</f>
        <v>0</v>
      </c>
      <c r="E148" s="30">
        <f>'Formula for adding in new comp'!I123</f>
        <v>0</v>
      </c>
      <c r="F148" t="str">
        <f t="shared" si="3"/>
        <v>46300</v>
      </c>
      <c r="G148" t="s">
        <v>523</v>
      </c>
      <c r="H148" t="s">
        <v>332</v>
      </c>
    </row>
    <row r="149" spans="1:8" x14ac:dyDescent="0.25">
      <c r="A149" s="30" t="str">
        <f>'Formula for adding in new comp'!A95</f>
        <v>4</v>
      </c>
      <c r="B149" s="30" t="str">
        <f>'Formula for adding in new comp'!B95</f>
        <v>6</v>
      </c>
      <c r="C149" s="30">
        <f>'Formula for adding in new comp'!C95</f>
        <v>0</v>
      </c>
      <c r="D149" s="30">
        <f>'Formula for adding in new comp'!F95</f>
        <v>1</v>
      </c>
      <c r="E149" s="30">
        <f>'Formula for adding in new comp'!I95</f>
        <v>0</v>
      </c>
      <c r="F149" t="str">
        <f t="shared" si="3"/>
        <v>46010</v>
      </c>
      <c r="G149" t="s">
        <v>522</v>
      </c>
      <c r="H149" t="s">
        <v>304</v>
      </c>
    </row>
    <row r="150" spans="1:8" x14ac:dyDescent="0.25">
      <c r="A150" s="30" t="str">
        <f>'Formula for adding in new comp'!A98</f>
        <v>4</v>
      </c>
      <c r="B150" s="30" t="str">
        <f>'Formula for adding in new comp'!B98</f>
        <v>6</v>
      </c>
      <c r="C150" s="30">
        <f>'Formula for adding in new comp'!C98</f>
        <v>0</v>
      </c>
      <c r="D150" s="30">
        <f>'Formula for adding in new comp'!F98</f>
        <v>1</v>
      </c>
      <c r="E150" s="30">
        <f>'Formula for adding in new comp'!I98</f>
        <v>0</v>
      </c>
      <c r="F150" t="str">
        <f t="shared" si="3"/>
        <v>46010</v>
      </c>
      <c r="G150" t="s">
        <v>522</v>
      </c>
      <c r="H150" t="s">
        <v>307</v>
      </c>
    </row>
    <row r="151" spans="1:8" x14ac:dyDescent="0.25">
      <c r="A151" s="30" t="str">
        <f>'Formula for adding in new comp'!A75</f>
        <v>4</v>
      </c>
      <c r="B151" s="30" t="str">
        <f>'Formula for adding in new comp'!B75</f>
        <v>7</v>
      </c>
      <c r="C151" s="30">
        <f>'Formula for adding in new comp'!C75</f>
        <v>0</v>
      </c>
      <c r="D151" s="30">
        <f>'Formula for adding in new comp'!F75</f>
        <v>0</v>
      </c>
      <c r="E151" s="30">
        <f>'Formula for adding in new comp'!I75</f>
        <v>0</v>
      </c>
      <c r="F151" t="str">
        <f t="shared" si="3"/>
        <v>47000</v>
      </c>
      <c r="G151" t="s">
        <v>522</v>
      </c>
      <c r="H151" t="s">
        <v>285</v>
      </c>
    </row>
    <row r="152" spans="1:8" x14ac:dyDescent="0.25">
      <c r="A152" s="30" t="str">
        <f>'Formula for adding in new comp'!A99</f>
        <v>4</v>
      </c>
      <c r="B152" s="30" t="str">
        <f>'Formula for adding in new comp'!B99</f>
        <v>7</v>
      </c>
      <c r="C152" s="30" t="str">
        <f>'Formula for adding in new comp'!C99</f>
        <v>1</v>
      </c>
      <c r="D152" s="30">
        <f>'Formula for adding in new comp'!F99</f>
        <v>0</v>
      </c>
      <c r="E152" s="30">
        <f>'Formula for adding in new comp'!I99</f>
        <v>0</v>
      </c>
      <c r="F152" t="str">
        <f t="shared" si="3"/>
        <v>47100</v>
      </c>
      <c r="G152" t="s">
        <v>523</v>
      </c>
      <c r="H152" t="s">
        <v>308</v>
      </c>
    </row>
    <row r="153" spans="1:8" x14ac:dyDescent="0.25">
      <c r="A153" s="30" t="str">
        <f>'Formula for adding in new comp'!A127</f>
        <v>4</v>
      </c>
      <c r="B153" s="30" t="str">
        <f>'Formula for adding in new comp'!B127</f>
        <v>7</v>
      </c>
      <c r="C153" s="30" t="str">
        <f>'Formula for adding in new comp'!C127</f>
        <v>2</v>
      </c>
      <c r="D153" s="30">
        <f>'Formula for adding in new comp'!F127</f>
        <v>0</v>
      </c>
      <c r="E153" s="30">
        <f>'Formula for adding in new comp'!I127</f>
        <v>0</v>
      </c>
      <c r="F153" t="str">
        <f t="shared" si="3"/>
        <v>47200</v>
      </c>
      <c r="G153" t="s">
        <v>523</v>
      </c>
      <c r="H153" t="s">
        <v>336</v>
      </c>
    </row>
    <row r="154" spans="1:8" x14ac:dyDescent="0.25">
      <c r="A154" s="30" t="str">
        <f>'Formula for adding in new comp'!A126</f>
        <v>4</v>
      </c>
      <c r="B154" s="30" t="str">
        <f>'Formula for adding in new comp'!B126</f>
        <v>7</v>
      </c>
      <c r="C154" s="30">
        <f>'Formula for adding in new comp'!C126</f>
        <v>0</v>
      </c>
      <c r="D154" s="30">
        <f>'Formula for adding in new comp'!F126</f>
        <v>1</v>
      </c>
      <c r="E154" s="30">
        <f>'Formula for adding in new comp'!I126</f>
        <v>0</v>
      </c>
      <c r="F154" t="str">
        <f t="shared" si="3"/>
        <v>47010</v>
      </c>
      <c r="G154" t="s">
        <v>522</v>
      </c>
      <c r="H154" t="s">
        <v>335</v>
      </c>
    </row>
    <row r="155" spans="1:8" x14ac:dyDescent="0.25">
      <c r="A155" s="30" t="str">
        <f>'Formula for adding in new comp'!A347</f>
        <v>4</v>
      </c>
      <c r="B155" s="30" t="str">
        <f>'Formula for adding in new comp'!B347</f>
        <v>7</v>
      </c>
      <c r="C155" s="30">
        <f>'Formula for adding in new comp'!C347</f>
        <v>0</v>
      </c>
      <c r="D155" s="30">
        <f>'Formula for adding in new comp'!F347</f>
        <v>0</v>
      </c>
      <c r="E155" s="30">
        <f>'Formula for adding in new comp'!I347</f>
        <v>1</v>
      </c>
      <c r="F155" t="str">
        <f t="shared" si="3"/>
        <v>47001</v>
      </c>
      <c r="G155" t="s">
        <v>522</v>
      </c>
      <c r="H155" t="s">
        <v>126</v>
      </c>
    </row>
    <row r="156" spans="1:8" x14ac:dyDescent="0.25">
      <c r="A156" s="30" t="str">
        <f>'Formula for adding in new comp'!A348</f>
        <v>4</v>
      </c>
      <c r="B156" s="30" t="str">
        <f>'Formula for adding in new comp'!B348</f>
        <v>7</v>
      </c>
      <c r="C156" s="30">
        <f>'Formula for adding in new comp'!C348</f>
        <v>0</v>
      </c>
      <c r="D156" s="30">
        <f>'Formula for adding in new comp'!F348</f>
        <v>0</v>
      </c>
      <c r="E156" s="30">
        <f>'Formula for adding in new comp'!I348</f>
        <v>2</v>
      </c>
      <c r="F156" t="str">
        <f t="shared" si="3"/>
        <v>47002</v>
      </c>
      <c r="G156" t="s">
        <v>522</v>
      </c>
      <c r="H156" t="s">
        <v>127</v>
      </c>
    </row>
    <row r="157" spans="1:8" x14ac:dyDescent="0.25">
      <c r="A157" s="30" t="str">
        <f>'Formula for adding in new comp'!A349</f>
        <v>4</v>
      </c>
      <c r="B157" s="30" t="str">
        <f>'Formula for adding in new comp'!B349</f>
        <v>7</v>
      </c>
      <c r="C157" s="30">
        <f>'Formula for adding in new comp'!C349</f>
        <v>0</v>
      </c>
      <c r="D157" s="30">
        <f>'Formula for adding in new comp'!F349</f>
        <v>0</v>
      </c>
      <c r="E157" s="30">
        <f>'Formula for adding in new comp'!I349</f>
        <v>3</v>
      </c>
      <c r="F157" t="str">
        <f t="shared" si="3"/>
        <v>47003</v>
      </c>
      <c r="G157" t="s">
        <v>522</v>
      </c>
      <c r="H157" t="s">
        <v>128</v>
      </c>
    </row>
    <row r="158" spans="1:8" x14ac:dyDescent="0.25">
      <c r="A158" s="30" t="str">
        <f>'Formula for adding in new comp'!A32</f>
        <v>5</v>
      </c>
      <c r="B158" s="30" t="str">
        <f>'Formula for adding in new comp'!B32</f>
        <v>3</v>
      </c>
      <c r="C158" s="30">
        <f>'Formula for adding in new comp'!C32</f>
        <v>0</v>
      </c>
      <c r="D158" s="30">
        <f>'Formula for adding in new comp'!F32</f>
        <v>0</v>
      </c>
      <c r="E158" s="30">
        <f>'Formula for adding in new comp'!I32</f>
        <v>0</v>
      </c>
      <c r="F158" t="str">
        <f t="shared" si="3"/>
        <v>53000</v>
      </c>
      <c r="G158" t="s">
        <v>524</v>
      </c>
      <c r="H158" t="s">
        <v>243</v>
      </c>
    </row>
    <row r="159" spans="1:8" x14ac:dyDescent="0.25">
      <c r="A159" s="30" t="str">
        <f>'Formula for adding in new comp'!A44</f>
        <v>5</v>
      </c>
      <c r="B159" s="30" t="str">
        <f>'Formula for adding in new comp'!B44</f>
        <v>3</v>
      </c>
      <c r="C159" s="30" t="str">
        <f>'Formula for adding in new comp'!C44</f>
        <v>1</v>
      </c>
      <c r="D159" s="30">
        <f>'Formula for adding in new comp'!F44</f>
        <v>0</v>
      </c>
      <c r="E159" s="30">
        <f>'Formula for adding in new comp'!I44</f>
        <v>0</v>
      </c>
      <c r="F159" t="str">
        <f t="shared" si="3"/>
        <v>53100</v>
      </c>
      <c r="G159" t="s">
        <v>525</v>
      </c>
      <c r="H159" t="s">
        <v>255</v>
      </c>
    </row>
    <row r="160" spans="1:8" x14ac:dyDescent="0.25">
      <c r="A160" s="30" t="str">
        <f>'Formula for adding in new comp'!A74</f>
        <v>5</v>
      </c>
      <c r="B160" s="30" t="str">
        <f>'Formula for adding in new comp'!B74</f>
        <v>3</v>
      </c>
      <c r="C160" s="30" t="str">
        <f>'Formula for adding in new comp'!C74</f>
        <v>1</v>
      </c>
      <c r="D160" s="30">
        <f>'Formula for adding in new comp'!F74</f>
        <v>1</v>
      </c>
      <c r="E160" s="30">
        <f>'Formula for adding in new comp'!I74</f>
        <v>0</v>
      </c>
      <c r="F160" t="str">
        <f t="shared" si="3"/>
        <v>53110</v>
      </c>
      <c r="G160" t="s">
        <v>525</v>
      </c>
      <c r="H160" t="s">
        <v>284</v>
      </c>
    </row>
    <row r="161" spans="1:8" x14ac:dyDescent="0.25">
      <c r="A161" s="30" t="str">
        <f>'Formula for adding in new comp'!A77</f>
        <v>5</v>
      </c>
      <c r="B161" s="30" t="str">
        <f>'Formula for adding in new comp'!B77</f>
        <v>3</v>
      </c>
      <c r="C161" s="30" t="str">
        <f>'Formula for adding in new comp'!C77</f>
        <v>1</v>
      </c>
      <c r="D161" s="30">
        <f>'Formula for adding in new comp'!F77</f>
        <v>1</v>
      </c>
      <c r="E161" s="30">
        <f>'Formula for adding in new comp'!I77</f>
        <v>0</v>
      </c>
      <c r="F161" t="str">
        <f t="shared" si="3"/>
        <v>53110</v>
      </c>
      <c r="G161" t="s">
        <v>525</v>
      </c>
      <c r="H161" t="s">
        <v>287</v>
      </c>
    </row>
    <row r="162" spans="1:8" x14ac:dyDescent="0.25">
      <c r="A162" s="30" t="str">
        <f>'Formula for adding in new comp'!A316</f>
        <v>5</v>
      </c>
      <c r="B162" s="30" t="str">
        <f>'Formula for adding in new comp'!B316</f>
        <v>3</v>
      </c>
      <c r="C162" s="30" t="str">
        <f>'Formula for adding in new comp'!C316</f>
        <v>1</v>
      </c>
      <c r="D162" s="30">
        <f>'Formula for adding in new comp'!F316</f>
        <v>0</v>
      </c>
      <c r="E162" s="30">
        <f>'Formula for adding in new comp'!I316</f>
        <v>1</v>
      </c>
      <c r="F162" t="str">
        <f t="shared" si="3"/>
        <v>53101</v>
      </c>
      <c r="G162" t="s">
        <v>525</v>
      </c>
      <c r="H162" t="s">
        <v>95</v>
      </c>
    </row>
    <row r="163" spans="1:8" x14ac:dyDescent="0.25">
      <c r="A163" s="30" t="str">
        <f>'Formula for adding in new comp'!A317</f>
        <v>5</v>
      </c>
      <c r="B163" s="30" t="str">
        <f>'Formula for adding in new comp'!B317</f>
        <v>3</v>
      </c>
      <c r="C163" s="30" t="str">
        <f>'Formula for adding in new comp'!C317</f>
        <v>1</v>
      </c>
      <c r="D163" s="30">
        <f>'Formula for adding in new comp'!F317</f>
        <v>0</v>
      </c>
      <c r="E163" s="30">
        <f>'Formula for adding in new comp'!I317</f>
        <v>2</v>
      </c>
      <c r="F163" t="str">
        <f t="shared" si="3"/>
        <v>53102</v>
      </c>
      <c r="G163" t="s">
        <v>525</v>
      </c>
      <c r="H163" t="s">
        <v>96</v>
      </c>
    </row>
    <row r="164" spans="1:8" x14ac:dyDescent="0.25">
      <c r="A164" s="30" t="str">
        <f>'Formula for adding in new comp'!A318</f>
        <v>5</v>
      </c>
      <c r="B164" s="30" t="str">
        <f>'Formula for adding in new comp'!B318</f>
        <v>3</v>
      </c>
      <c r="C164" s="30" t="str">
        <f>'Formula for adding in new comp'!C318</f>
        <v>1</v>
      </c>
      <c r="D164" s="30">
        <f>'Formula for adding in new comp'!F318</f>
        <v>0</v>
      </c>
      <c r="E164" s="30">
        <f>'Formula for adding in new comp'!I318</f>
        <v>3</v>
      </c>
      <c r="F164" t="str">
        <f t="shared" si="3"/>
        <v>53103</v>
      </c>
      <c r="G164" t="s">
        <v>525</v>
      </c>
      <c r="H164" t="s">
        <v>97</v>
      </c>
    </row>
    <row r="165" spans="1:8" x14ac:dyDescent="0.25">
      <c r="A165" s="30" t="str">
        <f>'Formula for adding in new comp'!A417</f>
        <v>5</v>
      </c>
      <c r="B165" s="30" t="str">
        <f>'Formula for adding in new comp'!B417</f>
        <v>3</v>
      </c>
      <c r="C165" s="30">
        <f>'Formula for adding in new comp'!C417</f>
        <v>0</v>
      </c>
      <c r="D165" s="30">
        <f>'Formula for adding in new comp'!F417</f>
        <v>0</v>
      </c>
      <c r="E165" s="30">
        <f>'Formula for adding in new comp'!I417</f>
        <v>1</v>
      </c>
      <c r="F165" t="str">
        <f t="shared" si="3"/>
        <v>53001</v>
      </c>
      <c r="G165" t="s">
        <v>524</v>
      </c>
      <c r="H165" t="s">
        <v>196</v>
      </c>
    </row>
    <row r="166" spans="1:8" x14ac:dyDescent="0.25">
      <c r="A166" s="30" t="str">
        <f>'Formula for adding in new comp'!A418</f>
        <v>5</v>
      </c>
      <c r="B166" s="30" t="str">
        <f>'Formula for adding in new comp'!B418</f>
        <v>3</v>
      </c>
      <c r="C166" s="30">
        <f>'Formula for adding in new comp'!C418</f>
        <v>0</v>
      </c>
      <c r="D166" s="30">
        <f>'Formula for adding in new comp'!F418</f>
        <v>0</v>
      </c>
      <c r="E166" s="30">
        <f>'Formula for adding in new comp'!I418</f>
        <v>2</v>
      </c>
      <c r="F166" t="str">
        <f t="shared" si="3"/>
        <v>53002</v>
      </c>
      <c r="G166" t="s">
        <v>524</v>
      </c>
      <c r="H166" t="s">
        <v>197</v>
      </c>
    </row>
    <row r="167" spans="1:8" x14ac:dyDescent="0.25">
      <c r="A167" s="30" t="str">
        <f>'Formula for adding in new comp'!A419</f>
        <v>5</v>
      </c>
      <c r="B167" s="30" t="str">
        <f>'Formula for adding in new comp'!B419</f>
        <v>3</v>
      </c>
      <c r="C167" s="30">
        <f>'Formula for adding in new comp'!C419</f>
        <v>0</v>
      </c>
      <c r="D167" s="30">
        <f>'Formula for adding in new comp'!F419</f>
        <v>0</v>
      </c>
      <c r="E167" s="30">
        <f>'Formula for adding in new comp'!I419</f>
        <v>3</v>
      </c>
      <c r="F167" t="str">
        <f t="shared" si="3"/>
        <v>53003</v>
      </c>
      <c r="G167" t="s">
        <v>524</v>
      </c>
      <c r="H167" t="s">
        <v>198</v>
      </c>
    </row>
    <row r="168" spans="1:8" x14ac:dyDescent="0.25">
      <c r="A168" s="30" t="str">
        <f>'Formula for adding in new comp'!A45</f>
        <v>5</v>
      </c>
      <c r="B168" s="30" t="str">
        <f>'Formula for adding in new comp'!B45</f>
        <v>4</v>
      </c>
      <c r="C168" s="30">
        <f>'Formula for adding in new comp'!C45</f>
        <v>0</v>
      </c>
      <c r="D168" s="30">
        <f>'Formula for adding in new comp'!F45</f>
        <v>0</v>
      </c>
      <c r="E168" s="30">
        <f>'Formula for adding in new comp'!I45</f>
        <v>0</v>
      </c>
      <c r="F168" t="str">
        <f t="shared" si="3"/>
        <v>54000</v>
      </c>
      <c r="G168" t="s">
        <v>524</v>
      </c>
      <c r="H168" t="s">
        <v>256</v>
      </c>
    </row>
    <row r="169" spans="1:8" x14ac:dyDescent="0.25">
      <c r="A169" s="30" t="str">
        <f>'Formula for adding in new comp'!A60</f>
        <v>5</v>
      </c>
      <c r="B169" s="30" t="str">
        <f>'Formula for adding in new comp'!B60</f>
        <v>4</v>
      </c>
      <c r="C169" s="30" t="str">
        <f>'Formula for adding in new comp'!C60</f>
        <v>1</v>
      </c>
      <c r="D169" s="30">
        <f>'Formula for adding in new comp'!F60</f>
        <v>0</v>
      </c>
      <c r="E169" s="30">
        <f>'Formula for adding in new comp'!I60</f>
        <v>0</v>
      </c>
      <c r="F169" t="str">
        <f t="shared" si="3"/>
        <v>54100</v>
      </c>
      <c r="G169" t="s">
        <v>525</v>
      </c>
      <c r="H169" t="s">
        <v>270</v>
      </c>
    </row>
    <row r="170" spans="1:8" x14ac:dyDescent="0.25">
      <c r="A170" s="30" t="str">
        <f>'Formula for adding in new comp'!A100</f>
        <v>5</v>
      </c>
      <c r="B170" s="30" t="str">
        <f>'Formula for adding in new comp'!B100</f>
        <v>4</v>
      </c>
      <c r="C170" s="30" t="str">
        <f>'Formula for adding in new comp'!C100</f>
        <v>1</v>
      </c>
      <c r="D170" s="30">
        <f>'Formula for adding in new comp'!F100</f>
        <v>1</v>
      </c>
      <c r="E170" s="30">
        <f>'Formula for adding in new comp'!I100</f>
        <v>0</v>
      </c>
      <c r="F170" t="str">
        <f t="shared" si="3"/>
        <v>54110</v>
      </c>
      <c r="G170" t="s">
        <v>525</v>
      </c>
      <c r="H170" t="s">
        <v>309</v>
      </c>
    </row>
    <row r="171" spans="1:8" x14ac:dyDescent="0.25">
      <c r="A171" s="30" t="str">
        <f>'Formula for adding in new comp'!A157</f>
        <v>5</v>
      </c>
      <c r="B171" s="30" t="str">
        <f>'Formula for adding in new comp'!B157</f>
        <v>4</v>
      </c>
      <c r="C171" s="30" t="str">
        <f>'Formula for adding in new comp'!C157</f>
        <v>1</v>
      </c>
      <c r="D171" s="30">
        <f>'Formula for adding in new comp'!F157</f>
        <v>2</v>
      </c>
      <c r="E171" s="30">
        <f>'Formula for adding in new comp'!I157</f>
        <v>0</v>
      </c>
      <c r="F171" t="str">
        <f t="shared" si="3"/>
        <v>54120</v>
      </c>
      <c r="G171" t="s">
        <v>525</v>
      </c>
      <c r="H171" t="s">
        <v>366</v>
      </c>
    </row>
    <row r="172" spans="1:8" x14ac:dyDescent="0.25">
      <c r="A172" s="30" t="str">
        <f>'Formula for adding in new comp'!A322</f>
        <v>5</v>
      </c>
      <c r="B172" s="30" t="str">
        <f>'Formula for adding in new comp'!B322</f>
        <v>4</v>
      </c>
      <c r="C172" s="30" t="str">
        <f>'Formula for adding in new comp'!C322</f>
        <v>1</v>
      </c>
      <c r="D172" s="30">
        <f>'Formula for adding in new comp'!F322</f>
        <v>1</v>
      </c>
      <c r="E172" s="30">
        <f>'Formula for adding in new comp'!I322</f>
        <v>1</v>
      </c>
      <c r="F172" t="str">
        <f t="shared" si="3"/>
        <v>54111</v>
      </c>
      <c r="G172" t="s">
        <v>525</v>
      </c>
      <c r="H172" t="s">
        <v>101</v>
      </c>
    </row>
    <row r="173" spans="1:8" x14ac:dyDescent="0.25">
      <c r="A173" s="30" t="str">
        <f>'Formula for adding in new comp'!A323</f>
        <v>5</v>
      </c>
      <c r="B173" s="30" t="str">
        <f>'Formula for adding in new comp'!B323</f>
        <v>4</v>
      </c>
      <c r="C173" s="30" t="str">
        <f>'Formula for adding in new comp'!C323</f>
        <v>1</v>
      </c>
      <c r="D173" s="30">
        <f>'Formula for adding in new comp'!F323</f>
        <v>1</v>
      </c>
      <c r="E173" s="30">
        <f>'Formula for adding in new comp'!I323</f>
        <v>2</v>
      </c>
      <c r="F173" t="str">
        <f t="shared" si="3"/>
        <v>54112</v>
      </c>
      <c r="G173" t="s">
        <v>525</v>
      </c>
      <c r="H173" t="s">
        <v>102</v>
      </c>
    </row>
    <row r="174" spans="1:8" x14ac:dyDescent="0.25">
      <c r="A174" s="30" t="str">
        <f>'Formula for adding in new comp'!A324</f>
        <v>5</v>
      </c>
      <c r="B174" s="30" t="str">
        <f>'Formula for adding in new comp'!B324</f>
        <v>4</v>
      </c>
      <c r="C174" s="30" t="str">
        <f>'Formula for adding in new comp'!C324</f>
        <v>1</v>
      </c>
      <c r="D174" s="30">
        <f>'Formula for adding in new comp'!F324</f>
        <v>1</v>
      </c>
      <c r="E174" s="30">
        <f>'Formula for adding in new comp'!I324</f>
        <v>3</v>
      </c>
      <c r="F174" t="str">
        <f t="shared" si="3"/>
        <v>54113</v>
      </c>
      <c r="G174" t="s">
        <v>525</v>
      </c>
      <c r="H174" t="s">
        <v>103</v>
      </c>
    </row>
    <row r="175" spans="1:8" x14ac:dyDescent="0.25">
      <c r="A175" s="30" t="str">
        <f>'Formula for adding in new comp'!A154</f>
        <v>5</v>
      </c>
      <c r="B175" s="30" t="str">
        <f>'Formula for adding in new comp'!B154</f>
        <v>4</v>
      </c>
      <c r="C175" s="30" t="str">
        <f>'Formula for adding in new comp'!C154</f>
        <v>1</v>
      </c>
      <c r="D175" s="30">
        <f>'Formula for adding in new comp'!F154</f>
        <v>2</v>
      </c>
      <c r="E175" s="30">
        <f>'Formula for adding in new comp'!I154</f>
        <v>0</v>
      </c>
      <c r="F175" t="str">
        <f t="shared" si="3"/>
        <v>54120</v>
      </c>
      <c r="G175" t="s">
        <v>525</v>
      </c>
      <c r="H175" t="s">
        <v>363</v>
      </c>
    </row>
    <row r="176" spans="1:8" x14ac:dyDescent="0.25">
      <c r="A176" s="30" t="str">
        <f>'Formula for adding in new comp'!A102</f>
        <v>5</v>
      </c>
      <c r="B176" s="30" t="str">
        <f>'Formula for adding in new comp'!B102</f>
        <v>4</v>
      </c>
      <c r="C176" s="30" t="str">
        <f>'Formula for adding in new comp'!C102</f>
        <v>1</v>
      </c>
      <c r="D176" s="30">
        <f>'Formula for adding in new comp'!F102</f>
        <v>1</v>
      </c>
      <c r="E176" s="30">
        <f>'Formula for adding in new comp'!I102</f>
        <v>0</v>
      </c>
      <c r="F176" t="str">
        <f t="shared" si="3"/>
        <v>54110</v>
      </c>
      <c r="G176" t="s">
        <v>525</v>
      </c>
      <c r="H176" t="s">
        <v>311</v>
      </c>
    </row>
    <row r="177" spans="1:8" x14ac:dyDescent="0.25">
      <c r="A177" s="30" t="str">
        <f>'Formula for adding in new comp'!A158</f>
        <v>5</v>
      </c>
      <c r="B177" s="30" t="str">
        <f>'Formula for adding in new comp'!B158</f>
        <v>4</v>
      </c>
      <c r="C177" s="30" t="str">
        <f>'Formula for adding in new comp'!C158</f>
        <v>1</v>
      </c>
      <c r="D177" s="30">
        <f>'Formula for adding in new comp'!F158</f>
        <v>2</v>
      </c>
      <c r="E177" s="30">
        <f>'Formula for adding in new comp'!I158</f>
        <v>0</v>
      </c>
      <c r="F177" t="str">
        <f t="shared" si="3"/>
        <v>54120</v>
      </c>
      <c r="G177" t="s">
        <v>525</v>
      </c>
      <c r="H177" t="s">
        <v>367</v>
      </c>
    </row>
    <row r="178" spans="1:8" x14ac:dyDescent="0.25">
      <c r="A178" s="30" t="str">
        <f>'Formula for adding in new comp'!A319</f>
        <v>5</v>
      </c>
      <c r="B178" s="30" t="str">
        <f>'Formula for adding in new comp'!B319</f>
        <v>4</v>
      </c>
      <c r="C178" s="30" t="str">
        <f>'Formula for adding in new comp'!C319</f>
        <v>1</v>
      </c>
      <c r="D178" s="30">
        <f>'Formula for adding in new comp'!F319</f>
        <v>0</v>
      </c>
      <c r="E178" s="30">
        <f>'Formula for adding in new comp'!I319</f>
        <v>1</v>
      </c>
      <c r="F178" t="str">
        <f t="shared" si="3"/>
        <v>54101</v>
      </c>
      <c r="G178" t="s">
        <v>525</v>
      </c>
      <c r="H178" t="s">
        <v>98</v>
      </c>
    </row>
    <row r="179" spans="1:8" x14ac:dyDescent="0.25">
      <c r="A179" s="30" t="str">
        <f>'Formula for adding in new comp'!A320</f>
        <v>5</v>
      </c>
      <c r="B179" s="30" t="str">
        <f>'Formula for adding in new comp'!B320</f>
        <v>4</v>
      </c>
      <c r="C179" s="30" t="str">
        <f>'Formula for adding in new comp'!C320</f>
        <v>1</v>
      </c>
      <c r="D179" s="30">
        <f>'Formula for adding in new comp'!F320</f>
        <v>0</v>
      </c>
      <c r="E179" s="30">
        <f>'Formula for adding in new comp'!I320</f>
        <v>2</v>
      </c>
      <c r="F179" t="str">
        <f t="shared" si="3"/>
        <v>54102</v>
      </c>
      <c r="G179" t="s">
        <v>525</v>
      </c>
      <c r="H179" t="s">
        <v>99</v>
      </c>
    </row>
    <row r="180" spans="1:8" x14ac:dyDescent="0.25">
      <c r="A180" s="30" t="str">
        <f>'Formula for adding in new comp'!A321</f>
        <v>5</v>
      </c>
      <c r="B180" s="30" t="str">
        <f>'Formula for adding in new comp'!B321</f>
        <v>4</v>
      </c>
      <c r="C180" s="30" t="str">
        <f>'Formula for adding in new comp'!C321</f>
        <v>1</v>
      </c>
      <c r="D180" s="30">
        <f>'Formula for adding in new comp'!F321</f>
        <v>0</v>
      </c>
      <c r="E180" s="30">
        <f>'Formula for adding in new comp'!I321</f>
        <v>3</v>
      </c>
      <c r="F180" t="str">
        <f t="shared" si="3"/>
        <v>54103</v>
      </c>
      <c r="G180" t="s">
        <v>525</v>
      </c>
      <c r="H180" t="s">
        <v>100</v>
      </c>
    </row>
    <row r="181" spans="1:8" x14ac:dyDescent="0.25">
      <c r="A181" s="30" t="str">
        <f>'Formula for adding in new comp'!A78</f>
        <v>5</v>
      </c>
      <c r="B181" s="30" t="str">
        <f>'Formula for adding in new comp'!B78</f>
        <v>4</v>
      </c>
      <c r="C181" s="30" t="str">
        <f>'Formula for adding in new comp'!C78</f>
        <v>2</v>
      </c>
      <c r="D181" s="30">
        <f>'Formula for adding in new comp'!F78</f>
        <v>0</v>
      </c>
      <c r="E181" s="30">
        <f>'Formula for adding in new comp'!I78</f>
        <v>0</v>
      </c>
      <c r="F181" t="str">
        <f t="shared" si="3"/>
        <v>54200</v>
      </c>
      <c r="G181" t="s">
        <v>525</v>
      </c>
      <c r="H181" t="s">
        <v>288</v>
      </c>
    </row>
    <row r="182" spans="1:8" x14ac:dyDescent="0.25">
      <c r="A182" s="30" t="str">
        <f>'Formula for adding in new comp'!A129</f>
        <v>5</v>
      </c>
      <c r="B182" s="30" t="str">
        <f>'Formula for adding in new comp'!B129</f>
        <v>4</v>
      </c>
      <c r="C182" s="30" t="str">
        <f>'Formula for adding in new comp'!C129</f>
        <v>2</v>
      </c>
      <c r="D182" s="30">
        <f>'Formula for adding in new comp'!F129</f>
        <v>1</v>
      </c>
      <c r="E182" s="30">
        <f>'Formula for adding in new comp'!I129</f>
        <v>0</v>
      </c>
      <c r="F182" t="str">
        <f t="shared" si="3"/>
        <v>54210</v>
      </c>
      <c r="G182" t="s">
        <v>525</v>
      </c>
      <c r="H182" t="s">
        <v>338</v>
      </c>
    </row>
    <row r="183" spans="1:8" x14ac:dyDescent="0.25">
      <c r="A183" s="30" t="str">
        <f>'Formula for adding in new comp'!A133</f>
        <v>5</v>
      </c>
      <c r="B183" s="30" t="str">
        <f>'Formula for adding in new comp'!B133</f>
        <v>4</v>
      </c>
      <c r="C183" s="30" t="str">
        <f>'Formula for adding in new comp'!C133</f>
        <v>2</v>
      </c>
      <c r="D183" s="30">
        <f>'Formula for adding in new comp'!F133</f>
        <v>1</v>
      </c>
      <c r="E183" s="30">
        <f>'Formula for adding in new comp'!I133</f>
        <v>0</v>
      </c>
      <c r="F183" t="str">
        <f t="shared" si="3"/>
        <v>54210</v>
      </c>
      <c r="G183" t="s">
        <v>525</v>
      </c>
      <c r="H183" t="s">
        <v>342</v>
      </c>
    </row>
    <row r="184" spans="1:8" x14ac:dyDescent="0.25">
      <c r="A184" s="30" t="str">
        <f>'Formula for adding in new comp'!A325</f>
        <v>5</v>
      </c>
      <c r="B184" s="30" t="str">
        <f>'Formula for adding in new comp'!B325</f>
        <v>4</v>
      </c>
      <c r="C184" s="30" t="str">
        <f>'Formula for adding in new comp'!C325</f>
        <v>2</v>
      </c>
      <c r="D184" s="30">
        <f>'Formula for adding in new comp'!F325</f>
        <v>0</v>
      </c>
      <c r="E184" s="30">
        <f>'Formula for adding in new comp'!I325</f>
        <v>1</v>
      </c>
      <c r="F184" t="str">
        <f t="shared" si="3"/>
        <v>54201</v>
      </c>
      <c r="G184" t="s">
        <v>525</v>
      </c>
      <c r="H184" t="s">
        <v>104</v>
      </c>
    </row>
    <row r="185" spans="1:8" x14ac:dyDescent="0.25">
      <c r="A185" s="30" t="str">
        <f>'Formula for adding in new comp'!A326</f>
        <v>5</v>
      </c>
      <c r="B185" s="30" t="str">
        <f>'Formula for adding in new comp'!B326</f>
        <v>4</v>
      </c>
      <c r="C185" s="30" t="str">
        <f>'Formula for adding in new comp'!C326</f>
        <v>2</v>
      </c>
      <c r="D185" s="30">
        <f>'Formula for adding in new comp'!F326</f>
        <v>0</v>
      </c>
      <c r="E185" s="30">
        <f>'Formula for adding in new comp'!I326</f>
        <v>2</v>
      </c>
      <c r="F185" t="str">
        <f t="shared" si="3"/>
        <v>54202</v>
      </c>
      <c r="G185" t="s">
        <v>525</v>
      </c>
      <c r="H185" t="s">
        <v>105</v>
      </c>
    </row>
    <row r="186" spans="1:8" x14ac:dyDescent="0.25">
      <c r="A186" s="30" t="str">
        <f>'Formula for adding in new comp'!A327</f>
        <v>5</v>
      </c>
      <c r="B186" s="30" t="str">
        <f>'Formula for adding in new comp'!B327</f>
        <v>4</v>
      </c>
      <c r="C186" s="30" t="str">
        <f>'Formula for adding in new comp'!C327</f>
        <v>2</v>
      </c>
      <c r="D186" s="30">
        <f>'Formula for adding in new comp'!F327</f>
        <v>0</v>
      </c>
      <c r="E186" s="30">
        <f>'Formula for adding in new comp'!I327</f>
        <v>3</v>
      </c>
      <c r="F186" t="str">
        <f t="shared" si="3"/>
        <v>54203</v>
      </c>
      <c r="G186" t="s">
        <v>525</v>
      </c>
      <c r="H186" t="s">
        <v>106</v>
      </c>
    </row>
    <row r="187" spans="1:8" x14ac:dyDescent="0.25">
      <c r="A187" s="30" t="str">
        <f>'Formula for adding in new comp'!A76</f>
        <v>5</v>
      </c>
      <c r="B187" s="30" t="str">
        <f>'Formula for adding in new comp'!B76</f>
        <v>4</v>
      </c>
      <c r="C187" s="30">
        <f>'Formula for adding in new comp'!C76</f>
        <v>0</v>
      </c>
      <c r="D187" s="30">
        <f>'Formula for adding in new comp'!F76</f>
        <v>1</v>
      </c>
      <c r="E187" s="30">
        <f>'Formula for adding in new comp'!I76</f>
        <v>0</v>
      </c>
      <c r="F187" t="str">
        <f t="shared" si="3"/>
        <v>54010</v>
      </c>
      <c r="G187" t="s">
        <v>524</v>
      </c>
      <c r="H187" t="s">
        <v>286</v>
      </c>
    </row>
    <row r="188" spans="1:8" x14ac:dyDescent="0.25">
      <c r="A188" s="30" t="str">
        <f>'Formula for adding in new comp'!A131</f>
        <v>5</v>
      </c>
      <c r="B188" s="30" t="str">
        <f>'Formula for adding in new comp'!B131</f>
        <v>4</v>
      </c>
      <c r="C188" s="30">
        <f>'Formula for adding in new comp'!C131</f>
        <v>0</v>
      </c>
      <c r="D188" s="30">
        <f>'Formula for adding in new comp'!F131</f>
        <v>2</v>
      </c>
      <c r="E188" s="30">
        <f>'Formula for adding in new comp'!I131</f>
        <v>0</v>
      </c>
      <c r="F188" t="str">
        <f t="shared" si="3"/>
        <v>54020</v>
      </c>
      <c r="G188" t="s">
        <v>524</v>
      </c>
      <c r="H188" t="s">
        <v>340</v>
      </c>
    </row>
    <row r="189" spans="1:8" x14ac:dyDescent="0.25">
      <c r="A189" s="30" t="str">
        <f>'Formula for adding in new comp'!A128</f>
        <v>5</v>
      </c>
      <c r="B189" s="30" t="str">
        <f>'Formula for adding in new comp'!B128</f>
        <v>4</v>
      </c>
      <c r="C189" s="30">
        <f>'Formula for adding in new comp'!C128</f>
        <v>0</v>
      </c>
      <c r="D189" s="30">
        <f>'Formula for adding in new comp'!F128</f>
        <v>2</v>
      </c>
      <c r="E189" s="30">
        <f>'Formula for adding in new comp'!I128</f>
        <v>0</v>
      </c>
      <c r="F189" t="str">
        <f t="shared" si="3"/>
        <v>54020</v>
      </c>
      <c r="G189" t="s">
        <v>524</v>
      </c>
      <c r="H189" t="s">
        <v>337</v>
      </c>
    </row>
    <row r="190" spans="1:8" x14ac:dyDescent="0.25">
      <c r="A190" s="30" t="str">
        <f>'Formula for adding in new comp'!A79</f>
        <v>5</v>
      </c>
      <c r="B190" s="30" t="str">
        <f>'Formula for adding in new comp'!B79</f>
        <v>4</v>
      </c>
      <c r="C190" s="30">
        <f>'Formula for adding in new comp'!C79</f>
        <v>0</v>
      </c>
      <c r="D190" s="30">
        <f>'Formula for adding in new comp'!F79</f>
        <v>1</v>
      </c>
      <c r="E190" s="30">
        <f>'Formula for adding in new comp'!I79</f>
        <v>0</v>
      </c>
      <c r="F190" t="str">
        <f t="shared" si="3"/>
        <v>54010</v>
      </c>
      <c r="G190" t="s">
        <v>524</v>
      </c>
      <c r="H190" t="s">
        <v>289</v>
      </c>
    </row>
    <row r="191" spans="1:8" x14ac:dyDescent="0.25">
      <c r="A191" s="30" t="str">
        <f>'Formula for adding in new comp'!A136</f>
        <v>5</v>
      </c>
      <c r="B191" s="30" t="str">
        <f>'Formula for adding in new comp'!B136</f>
        <v>4</v>
      </c>
      <c r="C191" s="30">
        <f>'Formula for adding in new comp'!C136</f>
        <v>0</v>
      </c>
      <c r="D191" s="30">
        <f>'Formula for adding in new comp'!F136</f>
        <v>2</v>
      </c>
      <c r="E191" s="30">
        <f>'Formula for adding in new comp'!I136</f>
        <v>0</v>
      </c>
      <c r="F191" t="str">
        <f t="shared" si="3"/>
        <v>54020</v>
      </c>
      <c r="G191" t="s">
        <v>524</v>
      </c>
      <c r="H191" t="s">
        <v>345</v>
      </c>
    </row>
    <row r="192" spans="1:8" x14ac:dyDescent="0.25">
      <c r="A192" s="30" t="str">
        <f>'Formula for adding in new comp'!A384</f>
        <v>5</v>
      </c>
      <c r="B192" s="30" t="str">
        <f>'Formula for adding in new comp'!B384</f>
        <v>4</v>
      </c>
      <c r="C192" s="30">
        <f>'Formula for adding in new comp'!C384</f>
        <v>0</v>
      </c>
      <c r="D192" s="30">
        <f>'Formula for adding in new comp'!F384</f>
        <v>0</v>
      </c>
      <c r="E192" s="30">
        <f>'Formula for adding in new comp'!I384</f>
        <v>1</v>
      </c>
      <c r="F192" t="str">
        <f t="shared" si="3"/>
        <v>54001</v>
      </c>
      <c r="G192" t="s">
        <v>524</v>
      </c>
      <c r="H192" t="s">
        <v>163</v>
      </c>
    </row>
    <row r="193" spans="1:8" x14ac:dyDescent="0.25">
      <c r="A193" s="30" t="str">
        <f>'Formula for adding in new comp'!A385</f>
        <v>5</v>
      </c>
      <c r="B193" s="30" t="str">
        <f>'Formula for adding in new comp'!B385</f>
        <v>4</v>
      </c>
      <c r="C193" s="30">
        <f>'Formula for adding in new comp'!C385</f>
        <v>0</v>
      </c>
      <c r="D193" s="30">
        <f>'Formula for adding in new comp'!F385</f>
        <v>0</v>
      </c>
      <c r="E193" s="30">
        <f>'Formula for adding in new comp'!I385</f>
        <v>2</v>
      </c>
      <c r="F193" t="str">
        <f t="shared" si="3"/>
        <v>54002</v>
      </c>
      <c r="G193" t="s">
        <v>524</v>
      </c>
      <c r="H193" t="s">
        <v>164</v>
      </c>
    </row>
    <row r="194" spans="1:8" x14ac:dyDescent="0.25">
      <c r="A194" s="30" t="str">
        <f>'Formula for adding in new comp'!A386</f>
        <v>5</v>
      </c>
      <c r="B194" s="30" t="str">
        <f>'Formula for adding in new comp'!B386</f>
        <v>4</v>
      </c>
      <c r="C194" s="30">
        <f>'Formula for adding in new comp'!C386</f>
        <v>0</v>
      </c>
      <c r="D194" s="30">
        <f>'Formula for adding in new comp'!F386</f>
        <v>0</v>
      </c>
      <c r="E194" s="30">
        <f>'Formula for adding in new comp'!I386</f>
        <v>3</v>
      </c>
      <c r="F194" t="str">
        <f t="shared" ref="F194:F257" si="4">A194&amp;B194&amp;C194&amp;D194&amp;E194</f>
        <v>54003</v>
      </c>
      <c r="G194" t="s">
        <v>524</v>
      </c>
      <c r="H194" t="s">
        <v>165</v>
      </c>
    </row>
    <row r="195" spans="1:8" x14ac:dyDescent="0.25">
      <c r="A195" s="30" t="str">
        <f>'Formula for adding in new comp'!A61</f>
        <v>5</v>
      </c>
      <c r="B195" s="30" t="str">
        <f>'Formula for adding in new comp'!B61</f>
        <v>5</v>
      </c>
      <c r="C195" s="30">
        <f>'Formula for adding in new comp'!C61</f>
        <v>0</v>
      </c>
      <c r="D195" s="30">
        <f>'Formula for adding in new comp'!F61</f>
        <v>0</v>
      </c>
      <c r="E195" s="30">
        <f>'Formula for adding in new comp'!I61</f>
        <v>0</v>
      </c>
      <c r="F195" t="str">
        <f t="shared" si="4"/>
        <v>55000</v>
      </c>
      <c r="G195" t="s">
        <v>524</v>
      </c>
      <c r="H195" t="s">
        <v>271</v>
      </c>
    </row>
    <row r="196" spans="1:8" x14ac:dyDescent="0.25">
      <c r="A196" s="30" t="str">
        <f>'Formula for adding in new comp'!A80</f>
        <v>5</v>
      </c>
      <c r="B196" s="30" t="str">
        <f>'Formula for adding in new comp'!B80</f>
        <v>5</v>
      </c>
      <c r="C196" s="30" t="str">
        <f>'Formula for adding in new comp'!C80</f>
        <v>1</v>
      </c>
      <c r="D196" s="30">
        <f>'Formula for adding in new comp'!F80</f>
        <v>0</v>
      </c>
      <c r="E196" s="30">
        <f>'Formula for adding in new comp'!I80</f>
        <v>0</v>
      </c>
      <c r="F196" t="str">
        <f t="shared" si="4"/>
        <v>55100</v>
      </c>
      <c r="G196" t="s">
        <v>525</v>
      </c>
      <c r="H196" t="s">
        <v>290</v>
      </c>
    </row>
    <row r="197" spans="1:8" x14ac:dyDescent="0.25">
      <c r="A197" s="30" t="str">
        <f>'Formula for adding in new comp'!A132</f>
        <v>5</v>
      </c>
      <c r="B197" s="30" t="str">
        <f>'Formula for adding in new comp'!B132</f>
        <v>5</v>
      </c>
      <c r="C197" s="30" t="str">
        <f>'Formula for adding in new comp'!C132</f>
        <v>1</v>
      </c>
      <c r="D197" s="30">
        <f>'Formula for adding in new comp'!F132</f>
        <v>1</v>
      </c>
      <c r="E197" s="30">
        <f>'Formula for adding in new comp'!I132</f>
        <v>0</v>
      </c>
      <c r="F197" t="str">
        <f t="shared" si="4"/>
        <v>55110</v>
      </c>
      <c r="G197" t="s">
        <v>525</v>
      </c>
      <c r="H197" t="s">
        <v>341</v>
      </c>
    </row>
    <row r="198" spans="1:8" x14ac:dyDescent="0.25">
      <c r="A198" s="30" t="str">
        <f>'Formula for adding in new comp'!A176</f>
        <v>5</v>
      </c>
      <c r="B198" s="30" t="str">
        <f>'Formula for adding in new comp'!B176</f>
        <v>5</v>
      </c>
      <c r="C198" s="30" t="str">
        <f>'Formula for adding in new comp'!C176</f>
        <v>1</v>
      </c>
      <c r="D198" s="30">
        <f>'Formula for adding in new comp'!F176</f>
        <v>2</v>
      </c>
      <c r="E198" s="30">
        <f>'Formula for adding in new comp'!I176</f>
        <v>0</v>
      </c>
      <c r="F198" t="str">
        <f t="shared" si="4"/>
        <v>55120</v>
      </c>
      <c r="G198" t="s">
        <v>525</v>
      </c>
      <c r="H198" t="s">
        <v>385</v>
      </c>
    </row>
    <row r="199" spans="1:8" x14ac:dyDescent="0.25">
      <c r="A199" s="30" t="str">
        <f>'Formula for adding in new comp'!A174</f>
        <v>5</v>
      </c>
      <c r="B199" s="30" t="str">
        <f>'Formula for adding in new comp'!B174</f>
        <v>5</v>
      </c>
      <c r="C199" s="30" t="str">
        <f>'Formula for adding in new comp'!C174</f>
        <v>1</v>
      </c>
      <c r="D199" s="30">
        <f>'Formula for adding in new comp'!F174</f>
        <v>2</v>
      </c>
      <c r="E199" s="30">
        <f>'Formula for adding in new comp'!I174</f>
        <v>0</v>
      </c>
      <c r="F199" t="str">
        <f t="shared" si="4"/>
        <v>55120</v>
      </c>
      <c r="G199" t="s">
        <v>525</v>
      </c>
      <c r="H199" t="s">
        <v>383</v>
      </c>
    </row>
    <row r="200" spans="1:8" x14ac:dyDescent="0.25">
      <c r="A200" s="30" t="str">
        <f>'Formula for adding in new comp'!A137</f>
        <v>5</v>
      </c>
      <c r="B200" s="30" t="str">
        <f>'Formula for adding in new comp'!B137</f>
        <v>5</v>
      </c>
      <c r="C200" s="30" t="str">
        <f>'Formula for adding in new comp'!C137</f>
        <v>1</v>
      </c>
      <c r="D200" s="30">
        <f>'Formula for adding in new comp'!F137</f>
        <v>1</v>
      </c>
      <c r="E200" s="30">
        <f>'Formula for adding in new comp'!I137</f>
        <v>0</v>
      </c>
      <c r="F200" t="str">
        <f t="shared" si="4"/>
        <v>55110</v>
      </c>
      <c r="G200" t="s">
        <v>525</v>
      </c>
      <c r="H200" t="s">
        <v>346</v>
      </c>
    </row>
    <row r="201" spans="1:8" x14ac:dyDescent="0.25">
      <c r="A201" s="30" t="str">
        <f>'Formula for adding in new comp'!A180</f>
        <v>5</v>
      </c>
      <c r="B201" s="30" t="str">
        <f>'Formula for adding in new comp'!B180</f>
        <v>5</v>
      </c>
      <c r="C201" s="30" t="str">
        <f>'Formula for adding in new comp'!C180</f>
        <v>1</v>
      </c>
      <c r="D201" s="30">
        <f>'Formula for adding in new comp'!F180</f>
        <v>2</v>
      </c>
      <c r="E201" s="30">
        <f>'Formula for adding in new comp'!I180</f>
        <v>0</v>
      </c>
      <c r="F201" t="str">
        <f t="shared" si="4"/>
        <v>55120</v>
      </c>
      <c r="G201" t="s">
        <v>525</v>
      </c>
      <c r="H201" t="s">
        <v>389</v>
      </c>
    </row>
    <row r="202" spans="1:8" x14ac:dyDescent="0.25">
      <c r="A202" s="30" t="str">
        <f>'Formula for adding in new comp'!A104</f>
        <v>5</v>
      </c>
      <c r="B202" s="30" t="str">
        <f>'Formula for adding in new comp'!B104</f>
        <v>5</v>
      </c>
      <c r="C202" s="30" t="str">
        <f>'Formula for adding in new comp'!C104</f>
        <v>2</v>
      </c>
      <c r="D202" s="30">
        <f>'Formula for adding in new comp'!F104</f>
        <v>0</v>
      </c>
      <c r="E202" s="30">
        <f>'Formula for adding in new comp'!I104</f>
        <v>0</v>
      </c>
      <c r="F202" t="str">
        <f t="shared" si="4"/>
        <v>55200</v>
      </c>
      <c r="G202" t="s">
        <v>525</v>
      </c>
      <c r="H202" t="s">
        <v>313</v>
      </c>
    </row>
    <row r="203" spans="1:8" x14ac:dyDescent="0.25">
      <c r="A203" s="30" t="str">
        <f>'Formula for adding in new comp'!A357</f>
        <v>5</v>
      </c>
      <c r="B203" s="30" t="str">
        <f>'Formula for adding in new comp'!B357</f>
        <v>5</v>
      </c>
      <c r="C203" s="30" t="str">
        <f>'Formula for adding in new comp'!C357</f>
        <v>2</v>
      </c>
      <c r="D203" s="30">
        <f>'Formula for adding in new comp'!F357</f>
        <v>0</v>
      </c>
      <c r="E203" s="30">
        <f>'Formula for adding in new comp'!I357</f>
        <v>1</v>
      </c>
      <c r="F203" t="str">
        <f t="shared" si="4"/>
        <v>55201</v>
      </c>
      <c r="G203" t="s">
        <v>525</v>
      </c>
      <c r="H203" t="s">
        <v>136</v>
      </c>
    </row>
    <row r="204" spans="1:8" x14ac:dyDescent="0.25">
      <c r="A204" s="30" t="str">
        <f>'Formula for adding in new comp'!A358</f>
        <v>5</v>
      </c>
      <c r="B204" s="30" t="str">
        <f>'Formula for adding in new comp'!B358</f>
        <v>5</v>
      </c>
      <c r="C204" s="30" t="str">
        <f>'Formula for adding in new comp'!C358</f>
        <v>2</v>
      </c>
      <c r="D204" s="30">
        <f>'Formula for adding in new comp'!F358</f>
        <v>0</v>
      </c>
      <c r="E204" s="30">
        <f>'Formula for adding in new comp'!I358</f>
        <v>2</v>
      </c>
      <c r="F204" t="str">
        <f t="shared" si="4"/>
        <v>55202</v>
      </c>
      <c r="G204" t="s">
        <v>525</v>
      </c>
      <c r="H204" t="s">
        <v>137</v>
      </c>
    </row>
    <row r="205" spans="1:8" x14ac:dyDescent="0.25">
      <c r="A205" s="30" t="str">
        <f>'Formula for adding in new comp'!A359</f>
        <v>5</v>
      </c>
      <c r="B205" s="30" t="str">
        <f>'Formula for adding in new comp'!B359</f>
        <v>5</v>
      </c>
      <c r="C205" s="30" t="str">
        <f>'Formula for adding in new comp'!C359</f>
        <v>2</v>
      </c>
      <c r="D205" s="30">
        <f>'Formula for adding in new comp'!F359</f>
        <v>0</v>
      </c>
      <c r="E205" s="30">
        <f>'Formula for adding in new comp'!I359</f>
        <v>3</v>
      </c>
      <c r="F205" t="str">
        <f t="shared" si="4"/>
        <v>55203</v>
      </c>
      <c r="G205" t="s">
        <v>525</v>
      </c>
      <c r="H205" t="s">
        <v>138</v>
      </c>
    </row>
    <row r="206" spans="1:8" x14ac:dyDescent="0.25">
      <c r="A206" s="30" t="str">
        <f>'Formula for adding in new comp'!A134</f>
        <v>5</v>
      </c>
      <c r="B206" s="30" t="str">
        <f>'Formula for adding in new comp'!B134</f>
        <v>5</v>
      </c>
      <c r="C206" s="30" t="str">
        <f>'Formula for adding in new comp'!C134</f>
        <v>3</v>
      </c>
      <c r="D206" s="30">
        <f>'Formula for adding in new comp'!F134</f>
        <v>0</v>
      </c>
      <c r="E206" s="30">
        <f>'Formula for adding in new comp'!I134</f>
        <v>0</v>
      </c>
      <c r="F206" t="str">
        <f t="shared" si="4"/>
        <v>55300</v>
      </c>
      <c r="G206" t="s">
        <v>525</v>
      </c>
      <c r="H206" t="s">
        <v>343</v>
      </c>
    </row>
    <row r="207" spans="1:8" x14ac:dyDescent="0.25">
      <c r="A207" s="30" t="str">
        <f>'Formula for adding in new comp'!A103</f>
        <v>5</v>
      </c>
      <c r="B207" s="30" t="str">
        <f>'Formula for adding in new comp'!B103</f>
        <v>5</v>
      </c>
      <c r="C207" s="30">
        <f>'Formula for adding in new comp'!C103</f>
        <v>0</v>
      </c>
      <c r="D207" s="30">
        <f>'Formula for adding in new comp'!F103</f>
        <v>1</v>
      </c>
      <c r="E207" s="30">
        <f>'Formula for adding in new comp'!I103</f>
        <v>0</v>
      </c>
      <c r="F207" t="str">
        <f t="shared" si="4"/>
        <v>55010</v>
      </c>
      <c r="G207" t="s">
        <v>524</v>
      </c>
      <c r="H207" t="s">
        <v>312</v>
      </c>
    </row>
    <row r="208" spans="1:8" x14ac:dyDescent="0.25">
      <c r="A208" s="30" t="str">
        <f>'Formula for adding in new comp'!A159</f>
        <v>5</v>
      </c>
      <c r="B208" s="30" t="str">
        <f>'Formula for adding in new comp'!B159</f>
        <v>5</v>
      </c>
      <c r="C208" s="30">
        <f>'Formula for adding in new comp'!C159</f>
        <v>0</v>
      </c>
      <c r="D208" s="30">
        <f>'Formula for adding in new comp'!F159</f>
        <v>2</v>
      </c>
      <c r="E208" s="30">
        <f>'Formula for adding in new comp'!I159</f>
        <v>0</v>
      </c>
      <c r="F208" t="str">
        <f t="shared" si="4"/>
        <v>55020</v>
      </c>
      <c r="G208" t="s">
        <v>524</v>
      </c>
      <c r="H208" t="s">
        <v>368</v>
      </c>
    </row>
    <row r="209" spans="1:8" x14ac:dyDescent="0.25">
      <c r="A209" s="30" t="str">
        <f>'Formula for adding in new comp'!A402</f>
        <v>5</v>
      </c>
      <c r="B209" s="30" t="str">
        <f>'Formula for adding in new comp'!B402</f>
        <v>5</v>
      </c>
      <c r="C209" s="30">
        <f>'Formula for adding in new comp'!C402</f>
        <v>0</v>
      </c>
      <c r="D209" s="30">
        <f>'Formula for adding in new comp'!F402</f>
        <v>1</v>
      </c>
      <c r="E209" s="30">
        <f>'Formula for adding in new comp'!I402</f>
        <v>1</v>
      </c>
      <c r="F209" t="str">
        <f t="shared" si="4"/>
        <v>55011</v>
      </c>
      <c r="G209" t="s">
        <v>524</v>
      </c>
      <c r="H209" t="s">
        <v>181</v>
      </c>
    </row>
    <row r="210" spans="1:8" x14ac:dyDescent="0.25">
      <c r="A210" s="30" t="str">
        <f>'Formula for adding in new comp'!A403</f>
        <v>5</v>
      </c>
      <c r="B210" s="30" t="str">
        <f>'Formula for adding in new comp'!B403</f>
        <v>5</v>
      </c>
      <c r="C210" s="30">
        <f>'Formula for adding in new comp'!C403</f>
        <v>0</v>
      </c>
      <c r="D210" s="30">
        <f>'Formula for adding in new comp'!F403</f>
        <v>1</v>
      </c>
      <c r="E210" s="30">
        <f>'Formula for adding in new comp'!I403</f>
        <v>2</v>
      </c>
      <c r="F210" t="str">
        <f t="shared" si="4"/>
        <v>55012</v>
      </c>
      <c r="G210" t="s">
        <v>524</v>
      </c>
      <c r="H210" t="s">
        <v>182</v>
      </c>
    </row>
    <row r="211" spans="1:8" x14ac:dyDescent="0.25">
      <c r="A211" s="30" t="str">
        <f>'Formula for adding in new comp'!A404</f>
        <v>5</v>
      </c>
      <c r="B211" s="30" t="str">
        <f>'Formula for adding in new comp'!B404</f>
        <v>5</v>
      </c>
      <c r="C211" s="30">
        <f>'Formula for adding in new comp'!C404</f>
        <v>0</v>
      </c>
      <c r="D211" s="30">
        <f>'Formula for adding in new comp'!F404</f>
        <v>1</v>
      </c>
      <c r="E211" s="30">
        <f>'Formula for adding in new comp'!I404</f>
        <v>3</v>
      </c>
      <c r="F211" t="str">
        <f t="shared" si="4"/>
        <v>55013</v>
      </c>
      <c r="G211" t="s">
        <v>524</v>
      </c>
      <c r="H211" t="s">
        <v>183</v>
      </c>
    </row>
    <row r="212" spans="1:8" x14ac:dyDescent="0.25">
      <c r="A212" s="30" t="str">
        <f>'Formula for adding in new comp'!A156</f>
        <v>5</v>
      </c>
      <c r="B212" s="30" t="str">
        <f>'Formula for adding in new comp'!B156</f>
        <v>5</v>
      </c>
      <c r="C212" s="30">
        <f>'Formula for adding in new comp'!C156</f>
        <v>0</v>
      </c>
      <c r="D212" s="30">
        <f>'Formula for adding in new comp'!F156</f>
        <v>2</v>
      </c>
      <c r="E212" s="30">
        <f>'Formula for adding in new comp'!I156</f>
        <v>0</v>
      </c>
      <c r="F212" t="str">
        <f t="shared" si="4"/>
        <v>55020</v>
      </c>
      <c r="G212" t="s">
        <v>524</v>
      </c>
      <c r="H212" t="s">
        <v>365</v>
      </c>
    </row>
    <row r="213" spans="1:8" x14ac:dyDescent="0.25">
      <c r="A213" s="30" t="str">
        <f>'Formula for adding in new comp'!A105</f>
        <v>5</v>
      </c>
      <c r="B213" s="30" t="str">
        <f>'Formula for adding in new comp'!B105</f>
        <v>5</v>
      </c>
      <c r="C213" s="30">
        <f>'Formula for adding in new comp'!C105</f>
        <v>0</v>
      </c>
      <c r="D213" s="30">
        <f>'Formula for adding in new comp'!F105</f>
        <v>1</v>
      </c>
      <c r="E213" s="30">
        <f>'Formula for adding in new comp'!I105</f>
        <v>0</v>
      </c>
      <c r="F213" t="str">
        <f t="shared" si="4"/>
        <v>55010</v>
      </c>
      <c r="G213" t="s">
        <v>524</v>
      </c>
      <c r="H213" t="s">
        <v>314</v>
      </c>
    </row>
    <row r="214" spans="1:8" x14ac:dyDescent="0.25">
      <c r="A214" s="30" t="str">
        <f>'Formula for adding in new comp'!A164</f>
        <v>5</v>
      </c>
      <c r="B214" s="30" t="str">
        <f>'Formula for adding in new comp'!B164</f>
        <v>5</v>
      </c>
      <c r="C214" s="30">
        <f>'Formula for adding in new comp'!C164</f>
        <v>0</v>
      </c>
      <c r="D214" s="30">
        <f>'Formula for adding in new comp'!F164</f>
        <v>2</v>
      </c>
      <c r="E214" s="30">
        <f>'Formula for adding in new comp'!I164</f>
        <v>0</v>
      </c>
      <c r="F214" t="str">
        <f t="shared" si="4"/>
        <v>55020</v>
      </c>
      <c r="G214" t="s">
        <v>524</v>
      </c>
      <c r="H214" t="s">
        <v>373</v>
      </c>
    </row>
    <row r="215" spans="1:8" x14ac:dyDescent="0.25">
      <c r="A215" s="30" t="str">
        <f>'Formula for adding in new comp'!A82</f>
        <v>5</v>
      </c>
      <c r="B215" s="30" t="str">
        <f>'Formula for adding in new comp'!B82</f>
        <v>6</v>
      </c>
      <c r="C215" s="30">
        <f>'Formula for adding in new comp'!C82</f>
        <v>0</v>
      </c>
      <c r="D215" s="30">
        <f>'Formula for adding in new comp'!F82</f>
        <v>0</v>
      </c>
      <c r="E215" s="30">
        <f>'Formula for adding in new comp'!I82</f>
        <v>0</v>
      </c>
      <c r="F215" t="str">
        <f t="shared" si="4"/>
        <v>56000</v>
      </c>
      <c r="G215" t="s">
        <v>524</v>
      </c>
      <c r="H215" t="s">
        <v>291</v>
      </c>
    </row>
    <row r="216" spans="1:8" x14ac:dyDescent="0.25">
      <c r="A216" s="30" t="str">
        <f>'Formula for adding in new comp'!A106</f>
        <v>5</v>
      </c>
      <c r="B216" s="30" t="str">
        <f>'Formula for adding in new comp'!B106</f>
        <v>6</v>
      </c>
      <c r="C216" s="30" t="str">
        <f>'Formula for adding in new comp'!C106</f>
        <v>1</v>
      </c>
      <c r="D216" s="30">
        <f>'Formula for adding in new comp'!F106</f>
        <v>0</v>
      </c>
      <c r="E216" s="30">
        <f>'Formula for adding in new comp'!I106</f>
        <v>0</v>
      </c>
      <c r="F216" t="str">
        <f t="shared" si="4"/>
        <v>56100</v>
      </c>
      <c r="G216" t="s">
        <v>525</v>
      </c>
      <c r="H216" t="s">
        <v>315</v>
      </c>
    </row>
    <row r="217" spans="1:8" x14ac:dyDescent="0.25">
      <c r="A217" s="30" t="str">
        <f>'Formula for adding in new comp'!A160</f>
        <v>5</v>
      </c>
      <c r="B217" s="30" t="str">
        <f>'Formula for adding in new comp'!B160</f>
        <v>6</v>
      </c>
      <c r="C217" s="30" t="str">
        <f>'Formula for adding in new comp'!C160</f>
        <v>1</v>
      </c>
      <c r="D217" s="30">
        <f>'Formula for adding in new comp'!F160</f>
        <v>1</v>
      </c>
      <c r="E217" s="30">
        <f>'Formula for adding in new comp'!I160</f>
        <v>0</v>
      </c>
      <c r="F217" t="str">
        <f t="shared" si="4"/>
        <v>56110</v>
      </c>
      <c r="G217" t="s">
        <v>525</v>
      </c>
      <c r="H217" t="s">
        <v>369</v>
      </c>
    </row>
    <row r="218" spans="1:8" x14ac:dyDescent="0.25">
      <c r="A218" s="30" t="str">
        <f>'Formula for adding in new comp'!A200</f>
        <v>5</v>
      </c>
      <c r="B218" s="30" t="str">
        <f>'Formula for adding in new comp'!B200</f>
        <v>6</v>
      </c>
      <c r="C218" s="30" t="str">
        <f>'Formula for adding in new comp'!C200</f>
        <v>1</v>
      </c>
      <c r="D218" s="30">
        <f>'Formula for adding in new comp'!F200</f>
        <v>2</v>
      </c>
      <c r="E218" s="30">
        <f>'Formula for adding in new comp'!I200</f>
        <v>0</v>
      </c>
      <c r="F218" t="str">
        <f t="shared" si="4"/>
        <v>56120</v>
      </c>
      <c r="G218" t="s">
        <v>525</v>
      </c>
      <c r="H218" t="s">
        <v>409</v>
      </c>
    </row>
    <row r="219" spans="1:8" x14ac:dyDescent="0.25">
      <c r="A219" s="30" t="str">
        <f>'Formula for adding in new comp'!A236</f>
        <v>5</v>
      </c>
      <c r="B219" s="30" t="str">
        <f>'Formula for adding in new comp'!B236</f>
        <v>6</v>
      </c>
      <c r="C219" s="30" t="str">
        <f>'Formula for adding in new comp'!C236</f>
        <v>1</v>
      </c>
      <c r="D219" s="30">
        <f>'Formula for adding in new comp'!F236</f>
        <v>3</v>
      </c>
      <c r="E219" s="30">
        <f>'Formula for adding in new comp'!I236</f>
        <v>0</v>
      </c>
      <c r="F219" t="str">
        <f t="shared" si="4"/>
        <v>56130</v>
      </c>
      <c r="G219" t="s">
        <v>525</v>
      </c>
      <c r="H219" t="s">
        <v>445</v>
      </c>
    </row>
    <row r="220" spans="1:8" x14ac:dyDescent="0.25">
      <c r="A220" s="30" t="str">
        <f>'Formula for adding in new comp'!A197</f>
        <v>5</v>
      </c>
      <c r="B220" s="30" t="str">
        <f>'Formula for adding in new comp'!B197</f>
        <v>6</v>
      </c>
      <c r="C220" s="30" t="str">
        <f>'Formula for adding in new comp'!C197</f>
        <v>1</v>
      </c>
      <c r="D220" s="30">
        <f>'Formula for adding in new comp'!F197</f>
        <v>2</v>
      </c>
      <c r="E220" s="30">
        <f>'Formula for adding in new comp'!I197</f>
        <v>0</v>
      </c>
      <c r="F220" t="str">
        <f t="shared" si="4"/>
        <v>56120</v>
      </c>
      <c r="G220" t="s">
        <v>525</v>
      </c>
      <c r="H220" t="s">
        <v>406</v>
      </c>
    </row>
    <row r="221" spans="1:8" x14ac:dyDescent="0.25">
      <c r="A221" s="30" t="str">
        <f>'Formula for adding in new comp'!A234</f>
        <v>5</v>
      </c>
      <c r="B221" s="30" t="str">
        <f>'Formula for adding in new comp'!B234</f>
        <v>6</v>
      </c>
      <c r="C221" s="30" t="str">
        <f>'Formula for adding in new comp'!C234</f>
        <v>1</v>
      </c>
      <c r="D221" s="30">
        <f>'Formula for adding in new comp'!F234</f>
        <v>3</v>
      </c>
      <c r="E221" s="30">
        <f>'Formula for adding in new comp'!I234</f>
        <v>0</v>
      </c>
      <c r="F221" t="str">
        <f t="shared" si="4"/>
        <v>56130</v>
      </c>
      <c r="G221" t="s">
        <v>525</v>
      </c>
      <c r="H221" t="s">
        <v>443</v>
      </c>
    </row>
    <row r="222" spans="1:8" x14ac:dyDescent="0.25">
      <c r="A222" s="30" t="str">
        <f>'Formula for adding in new comp'!A232</f>
        <v>5</v>
      </c>
      <c r="B222" s="30" t="str">
        <f>'Formula for adding in new comp'!B232</f>
        <v>6</v>
      </c>
      <c r="C222" s="30" t="str">
        <f>'Formula for adding in new comp'!C232</f>
        <v>1</v>
      </c>
      <c r="D222" s="30">
        <f>'Formula for adding in new comp'!F232</f>
        <v>3</v>
      </c>
      <c r="E222" s="30">
        <f>'Formula for adding in new comp'!I232</f>
        <v>0</v>
      </c>
      <c r="F222" t="str">
        <f t="shared" si="4"/>
        <v>56130</v>
      </c>
      <c r="G222" t="s">
        <v>525</v>
      </c>
      <c r="H222" t="s">
        <v>441</v>
      </c>
    </row>
    <row r="223" spans="1:8" x14ac:dyDescent="0.25">
      <c r="A223" s="30" t="str">
        <f>'Formula for adding in new comp'!A165</f>
        <v>5</v>
      </c>
      <c r="B223" s="30" t="str">
        <f>'Formula for adding in new comp'!B165</f>
        <v>6</v>
      </c>
      <c r="C223" s="30" t="str">
        <f>'Formula for adding in new comp'!C165</f>
        <v>1</v>
      </c>
      <c r="D223" s="30">
        <f>'Formula for adding in new comp'!F165</f>
        <v>1</v>
      </c>
      <c r="E223" s="30">
        <f>'Formula for adding in new comp'!I165</f>
        <v>0</v>
      </c>
      <c r="F223" t="str">
        <f t="shared" si="4"/>
        <v>56110</v>
      </c>
      <c r="G223" t="s">
        <v>525</v>
      </c>
      <c r="H223" t="s">
        <v>374</v>
      </c>
    </row>
    <row r="224" spans="1:8" x14ac:dyDescent="0.25">
      <c r="A224" s="30" t="str">
        <f>'Formula for adding in new comp'!A202</f>
        <v>5</v>
      </c>
      <c r="B224" s="30" t="str">
        <f>'Formula for adding in new comp'!B202</f>
        <v>6</v>
      </c>
      <c r="C224" s="30" t="str">
        <f>'Formula for adding in new comp'!C202</f>
        <v>1</v>
      </c>
      <c r="D224" s="30">
        <f>'Formula for adding in new comp'!F202</f>
        <v>2</v>
      </c>
      <c r="E224" s="30">
        <f>'Formula for adding in new comp'!I202</f>
        <v>0</v>
      </c>
      <c r="F224" t="str">
        <f t="shared" si="4"/>
        <v>56120</v>
      </c>
      <c r="G224" t="s">
        <v>525</v>
      </c>
      <c r="H224" t="s">
        <v>411</v>
      </c>
    </row>
    <row r="225" spans="1:8" x14ac:dyDescent="0.25">
      <c r="A225" s="30" t="str">
        <f>'Formula for adding in new comp'!A240</f>
        <v>5</v>
      </c>
      <c r="B225" s="30" t="str">
        <f>'Formula for adding in new comp'!B240</f>
        <v>6</v>
      </c>
      <c r="C225" s="30" t="str">
        <f>'Formula for adding in new comp'!C240</f>
        <v>1</v>
      </c>
      <c r="D225" s="30">
        <f>'Formula for adding in new comp'!F240</f>
        <v>3</v>
      </c>
      <c r="E225" s="30">
        <f>'Formula for adding in new comp'!I240</f>
        <v>0</v>
      </c>
      <c r="F225" t="str">
        <f t="shared" si="4"/>
        <v>56130</v>
      </c>
      <c r="G225" t="s">
        <v>525</v>
      </c>
      <c r="H225" t="s">
        <v>449</v>
      </c>
    </row>
    <row r="226" spans="1:8" x14ac:dyDescent="0.25">
      <c r="A226" s="30" t="str">
        <f>'Formula for adding in new comp'!A139</f>
        <v>5</v>
      </c>
      <c r="B226" s="30" t="str">
        <f>'Formula for adding in new comp'!B139</f>
        <v>6</v>
      </c>
      <c r="C226" s="30" t="str">
        <f>'Formula for adding in new comp'!C139</f>
        <v>2</v>
      </c>
      <c r="D226" s="30">
        <f>'Formula for adding in new comp'!F139</f>
        <v>0</v>
      </c>
      <c r="E226" s="30">
        <f>'Formula for adding in new comp'!I139</f>
        <v>0</v>
      </c>
      <c r="F226" t="str">
        <f t="shared" si="4"/>
        <v>56200</v>
      </c>
      <c r="G226" t="s">
        <v>525</v>
      </c>
      <c r="H226" t="s">
        <v>348</v>
      </c>
    </row>
    <row r="227" spans="1:8" x14ac:dyDescent="0.25">
      <c r="A227" s="30" t="str">
        <f>'Formula for adding in new comp'!A178</f>
        <v>5</v>
      </c>
      <c r="B227" s="30" t="str">
        <f>'Formula for adding in new comp'!B178</f>
        <v>6</v>
      </c>
      <c r="C227" s="30" t="str">
        <f>'Formula for adding in new comp'!C178</f>
        <v>2</v>
      </c>
      <c r="D227" s="30">
        <f>'Formula for adding in new comp'!F178</f>
        <v>1</v>
      </c>
      <c r="E227" s="30">
        <f>'Formula for adding in new comp'!I178</f>
        <v>0</v>
      </c>
      <c r="F227" t="str">
        <f t="shared" si="4"/>
        <v>56210</v>
      </c>
      <c r="G227" t="s">
        <v>525</v>
      </c>
      <c r="H227" t="s">
        <v>387</v>
      </c>
    </row>
    <row r="228" spans="1:8" x14ac:dyDescent="0.25">
      <c r="A228" s="30" t="str">
        <f>'Formula for adding in new comp'!A183</f>
        <v>5</v>
      </c>
      <c r="B228" s="30" t="str">
        <f>'Formula for adding in new comp'!B183</f>
        <v>6</v>
      </c>
      <c r="C228" s="30" t="str">
        <f>'Formula for adding in new comp'!C183</f>
        <v>2</v>
      </c>
      <c r="D228" s="30">
        <f>'Formula for adding in new comp'!F183</f>
        <v>1</v>
      </c>
      <c r="E228" s="30">
        <f>'Formula for adding in new comp'!I183</f>
        <v>0</v>
      </c>
      <c r="F228" t="str">
        <f t="shared" si="4"/>
        <v>56210</v>
      </c>
      <c r="G228" t="s">
        <v>525</v>
      </c>
      <c r="H228" t="s">
        <v>392</v>
      </c>
    </row>
    <row r="229" spans="1:8" x14ac:dyDescent="0.25">
      <c r="A229" s="30" t="str">
        <f>'Formula for adding in new comp'!A161</f>
        <v>5</v>
      </c>
      <c r="B229" s="30" t="str">
        <f>'Formula for adding in new comp'!B161</f>
        <v>6</v>
      </c>
      <c r="C229" s="30" t="str">
        <f>'Formula for adding in new comp'!C161</f>
        <v>3</v>
      </c>
      <c r="D229" s="30">
        <f>'Formula for adding in new comp'!F161</f>
        <v>0</v>
      </c>
      <c r="E229" s="30">
        <f>'Formula for adding in new comp'!I161</f>
        <v>0</v>
      </c>
      <c r="F229" t="str">
        <f t="shared" si="4"/>
        <v>56300</v>
      </c>
      <c r="G229" t="s">
        <v>525</v>
      </c>
      <c r="H229" t="s">
        <v>370</v>
      </c>
    </row>
    <row r="230" spans="1:8" x14ac:dyDescent="0.25">
      <c r="A230" s="30" t="str">
        <f>'Formula for adding in new comp'!A198</f>
        <v>5</v>
      </c>
      <c r="B230" s="30" t="str">
        <f>'Formula for adding in new comp'!B198</f>
        <v>6</v>
      </c>
      <c r="C230" s="30" t="str">
        <f>'Formula for adding in new comp'!C198</f>
        <v>3</v>
      </c>
      <c r="D230" s="30">
        <f>'Formula for adding in new comp'!F198</f>
        <v>1</v>
      </c>
      <c r="E230" s="30">
        <f>'Formula for adding in new comp'!I198</f>
        <v>0</v>
      </c>
      <c r="F230" t="str">
        <f t="shared" si="4"/>
        <v>56310</v>
      </c>
      <c r="G230" t="s">
        <v>525</v>
      </c>
      <c r="H230" t="s">
        <v>407</v>
      </c>
    </row>
    <row r="231" spans="1:8" x14ac:dyDescent="0.25">
      <c r="A231" s="30" t="str">
        <f>'Formula for adding in new comp'!A201</f>
        <v>5</v>
      </c>
      <c r="B231" s="30" t="str">
        <f>'Formula for adding in new comp'!B201</f>
        <v>6</v>
      </c>
      <c r="C231" s="30" t="str">
        <f>'Formula for adding in new comp'!C201</f>
        <v>3</v>
      </c>
      <c r="D231" s="30">
        <f>'Formula for adding in new comp'!F201</f>
        <v>1</v>
      </c>
      <c r="E231" s="30">
        <f>'Formula for adding in new comp'!I201</f>
        <v>0</v>
      </c>
      <c r="F231" t="str">
        <f t="shared" si="4"/>
        <v>56310</v>
      </c>
      <c r="G231" t="s">
        <v>525</v>
      </c>
      <c r="H231" t="s">
        <v>410</v>
      </c>
    </row>
    <row r="232" spans="1:8" x14ac:dyDescent="0.25">
      <c r="A232" s="30" t="str">
        <f>'Formula for adding in new comp'!A138</f>
        <v>5</v>
      </c>
      <c r="B232" s="30" t="str">
        <f>'Formula for adding in new comp'!B138</f>
        <v>6</v>
      </c>
      <c r="C232" s="30">
        <f>'Formula for adding in new comp'!C138</f>
        <v>0</v>
      </c>
      <c r="D232" s="30">
        <f>'Formula for adding in new comp'!F138</f>
        <v>1</v>
      </c>
      <c r="E232" s="30">
        <f>'Formula for adding in new comp'!I138</f>
        <v>0</v>
      </c>
      <c r="F232" t="str">
        <f t="shared" si="4"/>
        <v>56010</v>
      </c>
      <c r="G232" t="s">
        <v>524</v>
      </c>
      <c r="H232" t="s">
        <v>347</v>
      </c>
    </row>
    <row r="233" spans="1:8" x14ac:dyDescent="0.25">
      <c r="A233" s="30" t="str">
        <f>'Formula for adding in new comp'!A181</f>
        <v>5</v>
      </c>
      <c r="B233" s="30" t="str">
        <f>'Formula for adding in new comp'!B181</f>
        <v>6</v>
      </c>
      <c r="C233" s="30">
        <f>'Formula for adding in new comp'!C181</f>
        <v>0</v>
      </c>
      <c r="D233" s="30">
        <f>'Formula for adding in new comp'!F181</f>
        <v>2</v>
      </c>
      <c r="E233" s="30">
        <f>'Formula for adding in new comp'!I181</f>
        <v>0</v>
      </c>
      <c r="F233" t="str">
        <f t="shared" si="4"/>
        <v>56020</v>
      </c>
      <c r="G233" t="s">
        <v>524</v>
      </c>
      <c r="H233" t="s">
        <v>390</v>
      </c>
    </row>
    <row r="234" spans="1:8" x14ac:dyDescent="0.25">
      <c r="A234" s="30" t="str">
        <f>'Formula for adding in new comp'!A216</f>
        <v>5</v>
      </c>
      <c r="B234" s="30" t="str">
        <f>'Formula for adding in new comp'!B216</f>
        <v>6</v>
      </c>
      <c r="C234" s="30">
        <f>'Formula for adding in new comp'!C216</f>
        <v>0</v>
      </c>
      <c r="D234" s="30">
        <f>'Formula for adding in new comp'!F216</f>
        <v>3</v>
      </c>
      <c r="E234" s="30">
        <f>'Formula for adding in new comp'!I216</f>
        <v>0</v>
      </c>
      <c r="F234" t="str">
        <f t="shared" si="4"/>
        <v>56030</v>
      </c>
      <c r="G234" t="s">
        <v>524</v>
      </c>
      <c r="H234" t="s">
        <v>425</v>
      </c>
    </row>
    <row r="235" spans="1:8" x14ac:dyDescent="0.25">
      <c r="A235" s="30" t="str">
        <f>'Formula for adding in new comp'!A177</f>
        <v>5</v>
      </c>
      <c r="B235" s="30" t="str">
        <f>'Formula for adding in new comp'!B177</f>
        <v>6</v>
      </c>
      <c r="C235" s="30">
        <f>'Formula for adding in new comp'!C177</f>
        <v>0</v>
      </c>
      <c r="D235" s="30">
        <f>'Formula for adding in new comp'!F177</f>
        <v>2</v>
      </c>
      <c r="E235" s="30">
        <f>'Formula for adding in new comp'!I177</f>
        <v>0</v>
      </c>
      <c r="F235" t="str">
        <f t="shared" si="4"/>
        <v>56020</v>
      </c>
      <c r="G235" t="s">
        <v>524</v>
      </c>
      <c r="H235" t="s">
        <v>386</v>
      </c>
    </row>
    <row r="236" spans="1:8" x14ac:dyDescent="0.25">
      <c r="A236" s="30" t="str">
        <f>'Formula for adding in new comp'!A214</f>
        <v>5</v>
      </c>
      <c r="B236" s="30" t="str">
        <f>'Formula for adding in new comp'!B214</f>
        <v>6</v>
      </c>
      <c r="C236" s="30">
        <f>'Formula for adding in new comp'!C214</f>
        <v>0</v>
      </c>
      <c r="D236" s="30">
        <f>'Formula for adding in new comp'!F214</f>
        <v>3</v>
      </c>
      <c r="E236" s="30">
        <f>'Formula for adding in new comp'!I214</f>
        <v>0</v>
      </c>
      <c r="F236" t="str">
        <f t="shared" si="4"/>
        <v>56030</v>
      </c>
      <c r="G236" t="s">
        <v>524</v>
      </c>
      <c r="H236" t="s">
        <v>423</v>
      </c>
    </row>
    <row r="237" spans="1:8" x14ac:dyDescent="0.25">
      <c r="A237" s="30" t="str">
        <f>'Formula for adding in new comp'!A212</f>
        <v>5</v>
      </c>
      <c r="B237" s="30" t="str">
        <f>'Formula for adding in new comp'!B212</f>
        <v>6</v>
      </c>
      <c r="C237" s="30">
        <f>'Formula for adding in new comp'!C212</f>
        <v>0</v>
      </c>
      <c r="D237" s="30">
        <f>'Formula for adding in new comp'!F212</f>
        <v>3</v>
      </c>
      <c r="E237" s="30">
        <f>'Formula for adding in new comp'!I212</f>
        <v>0</v>
      </c>
      <c r="F237" t="str">
        <f t="shared" si="4"/>
        <v>56030</v>
      </c>
      <c r="G237" t="s">
        <v>524</v>
      </c>
      <c r="H237" t="s">
        <v>421</v>
      </c>
    </row>
    <row r="238" spans="1:8" x14ac:dyDescent="0.25">
      <c r="A238" s="30" t="str">
        <f>'Formula for adding in new comp'!A375</f>
        <v>5</v>
      </c>
      <c r="B238" s="30" t="str">
        <f>'Formula for adding in new comp'!B375</f>
        <v>6</v>
      </c>
      <c r="C238" s="30">
        <f>'Formula for adding in new comp'!C375</f>
        <v>0</v>
      </c>
      <c r="D238" s="30">
        <f>'Formula for adding in new comp'!F375</f>
        <v>3</v>
      </c>
      <c r="E238" s="30">
        <f>'Formula for adding in new comp'!I375</f>
        <v>1</v>
      </c>
      <c r="F238" t="str">
        <f t="shared" si="4"/>
        <v>56031</v>
      </c>
      <c r="G238" t="s">
        <v>524</v>
      </c>
      <c r="H238" t="s">
        <v>154</v>
      </c>
    </row>
    <row r="239" spans="1:8" x14ac:dyDescent="0.25">
      <c r="A239" s="30" t="str">
        <f>'Formula for adding in new comp'!A376</f>
        <v>5</v>
      </c>
      <c r="B239" s="30" t="str">
        <f>'Formula for adding in new comp'!B376</f>
        <v>6</v>
      </c>
      <c r="C239" s="30">
        <f>'Formula for adding in new comp'!C376</f>
        <v>0</v>
      </c>
      <c r="D239" s="30">
        <f>'Formula for adding in new comp'!F376</f>
        <v>3</v>
      </c>
      <c r="E239" s="30">
        <f>'Formula for adding in new comp'!I376</f>
        <v>2</v>
      </c>
      <c r="F239" t="str">
        <f t="shared" si="4"/>
        <v>56032</v>
      </c>
      <c r="G239" t="s">
        <v>524</v>
      </c>
      <c r="H239" t="s">
        <v>155</v>
      </c>
    </row>
    <row r="240" spans="1:8" x14ac:dyDescent="0.25">
      <c r="A240" s="30" t="str">
        <f>'Formula for adding in new comp'!A377</f>
        <v>5</v>
      </c>
      <c r="B240" s="30" t="str">
        <f>'Formula for adding in new comp'!B377</f>
        <v>6</v>
      </c>
      <c r="C240" s="30">
        <f>'Formula for adding in new comp'!C377</f>
        <v>0</v>
      </c>
      <c r="D240" s="30">
        <f>'Formula for adding in new comp'!F377</f>
        <v>3</v>
      </c>
      <c r="E240" s="30">
        <f>'Formula for adding in new comp'!I377</f>
        <v>3</v>
      </c>
      <c r="F240" t="str">
        <f t="shared" si="4"/>
        <v>56033</v>
      </c>
      <c r="G240" t="s">
        <v>524</v>
      </c>
      <c r="H240" t="s">
        <v>156</v>
      </c>
    </row>
    <row r="241" spans="1:8" x14ac:dyDescent="0.25">
      <c r="A241" s="30" t="str">
        <f>'Formula for adding in new comp'!A141</f>
        <v>5</v>
      </c>
      <c r="B241" s="30" t="str">
        <f>'Formula for adding in new comp'!B141</f>
        <v>6</v>
      </c>
      <c r="C241" s="30">
        <f>'Formula for adding in new comp'!C141</f>
        <v>0</v>
      </c>
      <c r="D241" s="30">
        <f>'Formula for adding in new comp'!F141</f>
        <v>1</v>
      </c>
      <c r="E241" s="30">
        <f>'Formula for adding in new comp'!I141</f>
        <v>0</v>
      </c>
      <c r="F241" t="str">
        <f t="shared" si="4"/>
        <v>56010</v>
      </c>
      <c r="G241" t="s">
        <v>524</v>
      </c>
      <c r="H241" t="s">
        <v>350</v>
      </c>
    </row>
    <row r="242" spans="1:8" x14ac:dyDescent="0.25">
      <c r="A242" s="30" t="str">
        <f>'Formula for adding in new comp'!A185</f>
        <v>5</v>
      </c>
      <c r="B242" s="30" t="str">
        <f>'Formula for adding in new comp'!B185</f>
        <v>6</v>
      </c>
      <c r="C242" s="30">
        <f>'Formula for adding in new comp'!C185</f>
        <v>0</v>
      </c>
      <c r="D242" s="30">
        <f>'Formula for adding in new comp'!F185</f>
        <v>2</v>
      </c>
      <c r="E242" s="30">
        <f>'Formula for adding in new comp'!I185</f>
        <v>0</v>
      </c>
      <c r="F242" t="str">
        <f t="shared" si="4"/>
        <v>56020</v>
      </c>
      <c r="G242" t="s">
        <v>524</v>
      </c>
      <c r="H242" t="s">
        <v>394</v>
      </c>
    </row>
    <row r="243" spans="1:8" x14ac:dyDescent="0.25">
      <c r="A243" s="30" t="str">
        <f>'Formula for adding in new comp'!A219</f>
        <v>5</v>
      </c>
      <c r="B243" s="30" t="str">
        <f>'Formula for adding in new comp'!B219</f>
        <v>6</v>
      </c>
      <c r="C243" s="30">
        <f>'Formula for adding in new comp'!C219</f>
        <v>0</v>
      </c>
      <c r="D243" s="30">
        <f>'Formula for adding in new comp'!F219</f>
        <v>3</v>
      </c>
      <c r="E243" s="30">
        <f>'Formula for adding in new comp'!I219</f>
        <v>0</v>
      </c>
      <c r="F243" t="str">
        <f t="shared" si="4"/>
        <v>56030</v>
      </c>
      <c r="G243" t="s">
        <v>524</v>
      </c>
      <c r="H243" t="s">
        <v>428</v>
      </c>
    </row>
    <row r="244" spans="1:8" x14ac:dyDescent="0.25">
      <c r="A244" s="30" t="str">
        <f>'Formula for adding in new comp'!A109</f>
        <v>5</v>
      </c>
      <c r="B244" s="30" t="str">
        <f>'Formula for adding in new comp'!B109</f>
        <v>7</v>
      </c>
      <c r="C244" s="30">
        <f>'Formula for adding in new comp'!C109</f>
        <v>0</v>
      </c>
      <c r="D244" s="30">
        <f>'Formula for adding in new comp'!F109</f>
        <v>0</v>
      </c>
      <c r="E244" s="30">
        <f>'Formula for adding in new comp'!I109</f>
        <v>0</v>
      </c>
      <c r="F244" t="str">
        <f t="shared" si="4"/>
        <v>57000</v>
      </c>
      <c r="G244" t="s">
        <v>524</v>
      </c>
      <c r="H244" t="s">
        <v>318</v>
      </c>
    </row>
    <row r="245" spans="1:8" x14ac:dyDescent="0.25">
      <c r="A245" s="30" t="str">
        <f>'Formula for adding in new comp'!A142</f>
        <v>5</v>
      </c>
      <c r="B245" s="30" t="str">
        <f>'Formula for adding in new comp'!B142</f>
        <v>7</v>
      </c>
      <c r="C245" s="30" t="str">
        <f>'Formula for adding in new comp'!C142</f>
        <v>1</v>
      </c>
      <c r="D245" s="30">
        <f>'Formula for adding in new comp'!F142</f>
        <v>0</v>
      </c>
      <c r="E245" s="30">
        <f>'Formula for adding in new comp'!I142</f>
        <v>0</v>
      </c>
      <c r="F245" t="str">
        <f t="shared" si="4"/>
        <v>57100</v>
      </c>
      <c r="G245" t="s">
        <v>525</v>
      </c>
      <c r="H245" t="s">
        <v>351</v>
      </c>
    </row>
    <row r="246" spans="1:8" x14ac:dyDescent="0.25">
      <c r="A246" s="30" t="str">
        <f>'Formula for adding in new comp'!A182</f>
        <v>5</v>
      </c>
      <c r="B246" s="30" t="str">
        <f>'Formula for adding in new comp'!B182</f>
        <v>7</v>
      </c>
      <c r="C246" s="30" t="str">
        <f>'Formula for adding in new comp'!C182</f>
        <v>1</v>
      </c>
      <c r="D246" s="30">
        <f>'Formula for adding in new comp'!F182</f>
        <v>1</v>
      </c>
      <c r="E246" s="30">
        <f>'Formula for adding in new comp'!I182</f>
        <v>0</v>
      </c>
      <c r="F246" t="str">
        <f t="shared" si="4"/>
        <v>57110</v>
      </c>
      <c r="G246" t="s">
        <v>525</v>
      </c>
      <c r="H246" t="s">
        <v>391</v>
      </c>
    </row>
    <row r="247" spans="1:8" x14ac:dyDescent="0.25">
      <c r="A247" s="30" t="str">
        <f>'Formula for adding in new comp'!A217</f>
        <v>5</v>
      </c>
      <c r="B247" s="30" t="str">
        <f>'Formula for adding in new comp'!B217</f>
        <v>7</v>
      </c>
      <c r="C247" s="30" t="str">
        <f>'Formula for adding in new comp'!C217</f>
        <v>1</v>
      </c>
      <c r="D247" s="30">
        <f>'Formula for adding in new comp'!F217</f>
        <v>2</v>
      </c>
      <c r="E247" s="30">
        <f>'Formula for adding in new comp'!I217</f>
        <v>0</v>
      </c>
      <c r="F247" t="str">
        <f t="shared" si="4"/>
        <v>57120</v>
      </c>
      <c r="G247" t="s">
        <v>525</v>
      </c>
      <c r="H247" t="s">
        <v>426</v>
      </c>
    </row>
    <row r="248" spans="1:8" x14ac:dyDescent="0.25">
      <c r="A248" s="30" t="str">
        <f>'Formula for adding in new comp'!A426</f>
        <v>5</v>
      </c>
      <c r="B248" s="30" t="str">
        <f>'Formula for adding in new comp'!B426</f>
        <v>7</v>
      </c>
      <c r="C248" s="30" t="str">
        <f>'Formula for adding in new comp'!C426</f>
        <v>1</v>
      </c>
      <c r="D248" s="30">
        <f>'Formula for adding in new comp'!F426</f>
        <v>1</v>
      </c>
      <c r="E248" s="30">
        <f>'Formula for adding in new comp'!I426</f>
        <v>1</v>
      </c>
      <c r="F248" t="str">
        <f t="shared" si="4"/>
        <v>57111</v>
      </c>
      <c r="G248" t="s">
        <v>525</v>
      </c>
      <c r="H248" t="s">
        <v>205</v>
      </c>
    </row>
    <row r="249" spans="1:8" x14ac:dyDescent="0.25">
      <c r="A249" s="30" t="str">
        <f>'Formula for adding in new comp'!A428</f>
        <v>5</v>
      </c>
      <c r="B249" s="30" t="str">
        <f>'Formula for adding in new comp'!B428</f>
        <v>7</v>
      </c>
      <c r="C249" s="30" t="str">
        <f>'Formula for adding in new comp'!C428</f>
        <v>1</v>
      </c>
      <c r="D249" s="30">
        <f>'Formula for adding in new comp'!F428</f>
        <v>1</v>
      </c>
      <c r="E249" s="30">
        <f>'Formula for adding in new comp'!I428</f>
        <v>2</v>
      </c>
      <c r="F249" t="str">
        <f t="shared" si="4"/>
        <v>57112</v>
      </c>
      <c r="G249" t="s">
        <v>525</v>
      </c>
      <c r="H249" t="s">
        <v>207</v>
      </c>
    </row>
    <row r="250" spans="1:8" x14ac:dyDescent="0.25">
      <c r="A250" s="30" t="str">
        <f>'Formula for adding in new comp'!A427</f>
        <v>5</v>
      </c>
      <c r="B250" s="30" t="str">
        <f>'Formula for adding in new comp'!B427</f>
        <v>7</v>
      </c>
      <c r="C250" s="30" t="str">
        <f>'Formula for adding in new comp'!C427</f>
        <v>1</v>
      </c>
      <c r="D250" s="30">
        <f>'Formula for adding in new comp'!F427</f>
        <v>1</v>
      </c>
      <c r="E250" s="30">
        <f>'Formula for adding in new comp'!I427</f>
        <v>3</v>
      </c>
      <c r="F250" t="str">
        <f t="shared" si="4"/>
        <v>57113</v>
      </c>
      <c r="G250" t="s">
        <v>525</v>
      </c>
      <c r="H250" t="s">
        <v>206</v>
      </c>
    </row>
    <row r="251" spans="1:8" x14ac:dyDescent="0.25">
      <c r="A251" s="30" t="str">
        <f>'Formula for adding in new comp'!A215</f>
        <v>5</v>
      </c>
      <c r="B251" s="30" t="str">
        <f>'Formula for adding in new comp'!B215</f>
        <v>7</v>
      </c>
      <c r="C251" s="30" t="str">
        <f>'Formula for adding in new comp'!C215</f>
        <v>1</v>
      </c>
      <c r="D251" s="30">
        <f>'Formula for adding in new comp'!F215</f>
        <v>2</v>
      </c>
      <c r="E251" s="30">
        <f>'Formula for adding in new comp'!I215</f>
        <v>0</v>
      </c>
      <c r="F251" t="str">
        <f t="shared" si="4"/>
        <v>57120</v>
      </c>
      <c r="G251" t="s">
        <v>525</v>
      </c>
      <c r="H251" t="s">
        <v>424</v>
      </c>
    </row>
    <row r="252" spans="1:8" x14ac:dyDescent="0.25">
      <c r="A252" s="30" t="str">
        <f>'Formula for adding in new comp'!A220</f>
        <v>5</v>
      </c>
      <c r="B252" s="30" t="str">
        <f>'Formula for adding in new comp'!B220</f>
        <v>7</v>
      </c>
      <c r="C252" s="30" t="str">
        <f>'Formula for adding in new comp'!C220</f>
        <v>1</v>
      </c>
      <c r="D252" s="30">
        <f>'Formula for adding in new comp'!F220</f>
        <v>2</v>
      </c>
      <c r="E252" s="30">
        <f>'Formula for adding in new comp'!I220</f>
        <v>0</v>
      </c>
      <c r="F252" t="str">
        <f t="shared" si="4"/>
        <v>57120</v>
      </c>
      <c r="G252" t="s">
        <v>525</v>
      </c>
      <c r="H252" t="s">
        <v>429</v>
      </c>
    </row>
    <row r="253" spans="1:8" x14ac:dyDescent="0.25">
      <c r="A253" s="30" t="str">
        <f>'Formula for adding in new comp'!A144</f>
        <v>5</v>
      </c>
      <c r="B253" s="30" t="str">
        <f>'Formula for adding in new comp'!B144</f>
        <v>8</v>
      </c>
      <c r="C253" s="30">
        <f>'Formula for adding in new comp'!C144</f>
        <v>0</v>
      </c>
      <c r="D253" s="30">
        <f>'Formula for adding in new comp'!F144</f>
        <v>0</v>
      </c>
      <c r="E253" s="30">
        <f>'Formula for adding in new comp'!I144</f>
        <v>0</v>
      </c>
      <c r="F253" t="str">
        <f t="shared" si="4"/>
        <v>58000</v>
      </c>
      <c r="G253" t="s">
        <v>524</v>
      </c>
      <c r="H253" t="s">
        <v>353</v>
      </c>
    </row>
    <row r="254" spans="1:8" x14ac:dyDescent="0.25">
      <c r="A254" s="30" t="str">
        <f>'Formula for adding in new comp'!A167</f>
        <v>5</v>
      </c>
      <c r="B254" s="30" t="str">
        <f>'Formula for adding in new comp'!B167</f>
        <v>8</v>
      </c>
      <c r="C254" s="30" t="str">
        <f>'Formula for adding in new comp'!C167</f>
        <v>1</v>
      </c>
      <c r="D254" s="30">
        <f>'Formula for adding in new comp'!F167</f>
        <v>0</v>
      </c>
      <c r="E254" s="30">
        <f>'Formula for adding in new comp'!I167</f>
        <v>0</v>
      </c>
      <c r="F254" t="str">
        <f t="shared" si="4"/>
        <v>58100</v>
      </c>
      <c r="G254" t="s">
        <v>525</v>
      </c>
      <c r="H254" t="s">
        <v>376</v>
      </c>
    </row>
    <row r="255" spans="1:8" x14ac:dyDescent="0.25">
      <c r="A255" s="30" t="str">
        <f>'Formula for adding in new comp'!A218</f>
        <v>5</v>
      </c>
      <c r="B255" s="30" t="str">
        <f>'Formula for adding in new comp'!B218</f>
        <v>8</v>
      </c>
      <c r="C255" s="30" t="str">
        <f>'Formula for adding in new comp'!C218</f>
        <v>4</v>
      </c>
      <c r="D255" s="30">
        <f>'Formula for adding in new comp'!F218</f>
        <v>0</v>
      </c>
      <c r="E255" s="30">
        <f>'Formula for adding in new comp'!I218</f>
        <v>0</v>
      </c>
      <c r="F255" t="str">
        <f t="shared" si="4"/>
        <v>58400</v>
      </c>
      <c r="G255" t="s">
        <v>525</v>
      </c>
      <c r="H255" t="s">
        <v>427</v>
      </c>
    </row>
    <row r="256" spans="1:8" x14ac:dyDescent="0.25">
      <c r="A256" s="30" t="str">
        <f>'Formula for adding in new comp'!A186</f>
        <v>5</v>
      </c>
      <c r="B256" s="30" t="str">
        <f>'Formula for adding in new comp'!B186</f>
        <v>9</v>
      </c>
      <c r="C256" s="30" t="str">
        <f>'Formula for adding in new comp'!C186</f>
        <v>1</v>
      </c>
      <c r="D256" s="30">
        <f>'Formula for adding in new comp'!F186</f>
        <v>0</v>
      </c>
      <c r="E256" s="30">
        <f>'Formula for adding in new comp'!I186</f>
        <v>0</v>
      </c>
      <c r="F256" t="str">
        <f t="shared" si="4"/>
        <v>59100</v>
      </c>
      <c r="G256" t="s">
        <v>525</v>
      </c>
      <c r="H256" t="s">
        <v>395</v>
      </c>
    </row>
    <row r="257" spans="1:8" x14ac:dyDescent="0.25">
      <c r="A257" s="30" t="str">
        <f>'Formula for adding in new comp'!A260</f>
        <v>6</v>
      </c>
      <c r="B257" s="30" t="str">
        <f>'Formula for adding in new comp'!B260</f>
        <v>10</v>
      </c>
      <c r="C257" s="30" t="str">
        <f>'Formula for adding in new comp'!C260</f>
        <v>1</v>
      </c>
      <c r="D257" s="30">
        <f>'Formula for adding in new comp'!F260</f>
        <v>1</v>
      </c>
      <c r="E257" s="30">
        <f>'Formula for adding in new comp'!I260</f>
        <v>0</v>
      </c>
      <c r="F257" t="str">
        <f t="shared" si="4"/>
        <v>610110</v>
      </c>
      <c r="G257" t="s">
        <v>527</v>
      </c>
      <c r="H257" t="s">
        <v>469</v>
      </c>
    </row>
    <row r="258" spans="1:8" x14ac:dyDescent="0.25">
      <c r="A258" s="30" t="str">
        <f>'Formula for adding in new comp'!A262</f>
        <v>6</v>
      </c>
      <c r="B258" s="30" t="str">
        <f>'Formula for adding in new comp'!B262</f>
        <v>10</v>
      </c>
      <c r="C258" s="30" t="str">
        <f>'Formula for adding in new comp'!C262</f>
        <v>1</v>
      </c>
      <c r="D258" s="30">
        <f>'Formula for adding in new comp'!F262</f>
        <v>1</v>
      </c>
      <c r="E258" s="30">
        <f>'Formula for adding in new comp'!I262</f>
        <v>0</v>
      </c>
      <c r="F258" t="str">
        <f t="shared" ref="F258:F321" si="5">A258&amp;B258&amp;C258&amp;D258&amp;E258</f>
        <v>610110</v>
      </c>
      <c r="G258" t="s">
        <v>527</v>
      </c>
      <c r="H258" t="s">
        <v>471</v>
      </c>
    </row>
    <row r="259" spans="1:8" x14ac:dyDescent="0.25">
      <c r="A259" s="30" t="str">
        <f>'Formula for adding in new comp'!A249</f>
        <v>6</v>
      </c>
      <c r="B259" s="30" t="str">
        <f>'Formula for adding in new comp'!B249</f>
        <v>11</v>
      </c>
      <c r="C259" s="30" t="str">
        <f>'Formula for adding in new comp'!C249</f>
        <v>1</v>
      </c>
      <c r="D259" s="30">
        <f>'Formula for adding in new comp'!F249</f>
        <v>0</v>
      </c>
      <c r="E259" s="30">
        <f>'Formula for adding in new comp'!I249</f>
        <v>0</v>
      </c>
      <c r="F259" t="str">
        <f t="shared" si="5"/>
        <v>611100</v>
      </c>
      <c r="G259" t="s">
        <v>527</v>
      </c>
      <c r="H259" t="s">
        <v>458</v>
      </c>
    </row>
    <row r="260" spans="1:8" x14ac:dyDescent="0.25">
      <c r="A260" s="30" t="str">
        <f>'Formula for adding in new comp'!A48</f>
        <v>6</v>
      </c>
      <c r="B260" s="30" t="str">
        <f>'Formula for adding in new comp'!B48</f>
        <v>3</v>
      </c>
      <c r="C260" s="30">
        <f>'Formula for adding in new comp'!C48</f>
        <v>0</v>
      </c>
      <c r="D260" s="30">
        <f>'Formula for adding in new comp'!F48</f>
        <v>0</v>
      </c>
      <c r="E260" s="30">
        <f>'Formula for adding in new comp'!I48</f>
        <v>0</v>
      </c>
      <c r="F260" t="str">
        <f t="shared" si="5"/>
        <v>63000</v>
      </c>
      <c r="G260" t="s">
        <v>526</v>
      </c>
      <c r="H260" t="s">
        <v>259</v>
      </c>
    </row>
    <row r="261" spans="1:8" x14ac:dyDescent="0.25">
      <c r="A261" s="30" t="str">
        <f>'Formula for adding in new comp'!A62</f>
        <v>6</v>
      </c>
      <c r="B261" s="30" t="str">
        <f>'Formula for adding in new comp'!B62</f>
        <v>3</v>
      </c>
      <c r="C261" s="30" t="str">
        <f>'Formula for adding in new comp'!C62</f>
        <v>1</v>
      </c>
      <c r="D261" s="30">
        <f>'Formula for adding in new comp'!F62</f>
        <v>0</v>
      </c>
      <c r="E261" s="30">
        <f>'Formula for adding in new comp'!I62</f>
        <v>0</v>
      </c>
      <c r="F261" t="str">
        <f t="shared" si="5"/>
        <v>63100</v>
      </c>
      <c r="G261" t="s">
        <v>527</v>
      </c>
      <c r="H261" t="s">
        <v>272</v>
      </c>
    </row>
    <row r="262" spans="1:8" x14ac:dyDescent="0.25">
      <c r="A262" s="30" t="str">
        <f>'Formula for adding in new comp'!A107</f>
        <v>6</v>
      </c>
      <c r="B262" s="30" t="str">
        <f>'Formula for adding in new comp'!B107</f>
        <v>3</v>
      </c>
      <c r="C262" s="30" t="str">
        <f>'Formula for adding in new comp'!C107</f>
        <v>1</v>
      </c>
      <c r="D262" s="30">
        <f>'Formula for adding in new comp'!F107</f>
        <v>1</v>
      </c>
      <c r="E262" s="30">
        <f>'Formula for adding in new comp'!I107</f>
        <v>0</v>
      </c>
      <c r="F262" t="str">
        <f t="shared" si="5"/>
        <v>63110</v>
      </c>
      <c r="G262" t="s">
        <v>527</v>
      </c>
      <c r="H262" t="s">
        <v>316</v>
      </c>
    </row>
    <row r="263" spans="1:8" x14ac:dyDescent="0.25">
      <c r="A263" s="30" t="str">
        <f>'Formula for adding in new comp'!A166</f>
        <v>6</v>
      </c>
      <c r="B263" s="30" t="str">
        <f>'Formula for adding in new comp'!B166</f>
        <v>3</v>
      </c>
      <c r="C263" s="30" t="str">
        <f>'Formula for adding in new comp'!C166</f>
        <v>1</v>
      </c>
      <c r="D263" s="30">
        <f>'Formula for adding in new comp'!F166</f>
        <v>2</v>
      </c>
      <c r="E263" s="30">
        <f>'Formula for adding in new comp'!I166</f>
        <v>0</v>
      </c>
      <c r="F263" t="str">
        <f t="shared" si="5"/>
        <v>63120</v>
      </c>
      <c r="G263" t="s">
        <v>527</v>
      </c>
      <c r="H263" t="s">
        <v>375</v>
      </c>
    </row>
    <row r="264" spans="1:8" x14ac:dyDescent="0.25">
      <c r="A264" s="30" t="str">
        <f>'Formula for adding in new comp'!A423</f>
        <v>6</v>
      </c>
      <c r="B264" s="30" t="str">
        <f>'Formula for adding in new comp'!B423</f>
        <v>3</v>
      </c>
      <c r="C264" s="30" t="str">
        <f>'Formula for adding in new comp'!C423</f>
        <v>1</v>
      </c>
      <c r="D264" s="30">
        <f>'Formula for adding in new comp'!F423</f>
        <v>1</v>
      </c>
      <c r="E264" s="30">
        <f>'Formula for adding in new comp'!I423</f>
        <v>1</v>
      </c>
      <c r="F264" t="str">
        <f t="shared" si="5"/>
        <v>63111</v>
      </c>
      <c r="G264" t="s">
        <v>527</v>
      </c>
      <c r="H264" t="s">
        <v>202</v>
      </c>
    </row>
    <row r="265" spans="1:8" x14ac:dyDescent="0.25">
      <c r="A265" s="30" t="str">
        <f>'Formula for adding in new comp'!A424</f>
        <v>6</v>
      </c>
      <c r="B265" s="30" t="str">
        <f>'Formula for adding in new comp'!B424</f>
        <v>3</v>
      </c>
      <c r="C265" s="30" t="str">
        <f>'Formula for adding in new comp'!C424</f>
        <v>1</v>
      </c>
      <c r="D265" s="30">
        <f>'Formula for adding in new comp'!F424</f>
        <v>1</v>
      </c>
      <c r="E265" s="30">
        <f>'Formula for adding in new comp'!I424</f>
        <v>2</v>
      </c>
      <c r="F265" t="str">
        <f t="shared" si="5"/>
        <v>63112</v>
      </c>
      <c r="G265" t="s">
        <v>527</v>
      </c>
      <c r="H265" t="s">
        <v>203</v>
      </c>
    </row>
    <row r="266" spans="1:8" x14ac:dyDescent="0.25">
      <c r="A266" s="30" t="str">
        <f>'Formula for adding in new comp'!A425</f>
        <v>6</v>
      </c>
      <c r="B266" s="30" t="str">
        <f>'Formula for adding in new comp'!B425</f>
        <v>3</v>
      </c>
      <c r="C266" s="30" t="str">
        <f>'Formula for adding in new comp'!C425</f>
        <v>1</v>
      </c>
      <c r="D266" s="30">
        <f>'Formula for adding in new comp'!F425</f>
        <v>1</v>
      </c>
      <c r="E266" s="30">
        <f>'Formula for adding in new comp'!I425</f>
        <v>3</v>
      </c>
      <c r="F266" t="str">
        <f t="shared" si="5"/>
        <v>63113</v>
      </c>
      <c r="G266" t="s">
        <v>527</v>
      </c>
      <c r="H266" t="s">
        <v>204</v>
      </c>
    </row>
    <row r="267" spans="1:8" x14ac:dyDescent="0.25">
      <c r="A267" s="30" t="str">
        <f>'Formula for adding in new comp'!A162</f>
        <v>6</v>
      </c>
      <c r="B267" s="30" t="str">
        <f>'Formula for adding in new comp'!B162</f>
        <v>3</v>
      </c>
      <c r="C267" s="30" t="str">
        <f>'Formula for adding in new comp'!C162</f>
        <v>1</v>
      </c>
      <c r="D267" s="30">
        <f>'Formula for adding in new comp'!F162</f>
        <v>2</v>
      </c>
      <c r="E267" s="30">
        <f>'Formula for adding in new comp'!I162</f>
        <v>0</v>
      </c>
      <c r="F267" t="str">
        <f t="shared" si="5"/>
        <v>63120</v>
      </c>
      <c r="G267" t="s">
        <v>527</v>
      </c>
      <c r="H267" t="s">
        <v>371</v>
      </c>
    </row>
    <row r="268" spans="1:8" x14ac:dyDescent="0.25">
      <c r="A268" s="30" t="str">
        <f>'Formula for adding in new comp'!A111</f>
        <v>6</v>
      </c>
      <c r="B268" s="30" t="str">
        <f>'Formula for adding in new comp'!B111</f>
        <v>3</v>
      </c>
      <c r="C268" s="30" t="str">
        <f>'Formula for adding in new comp'!C111</f>
        <v>1</v>
      </c>
      <c r="D268" s="30">
        <f>'Formula for adding in new comp'!F111</f>
        <v>1</v>
      </c>
      <c r="E268" s="30">
        <f>'Formula for adding in new comp'!I111</f>
        <v>0</v>
      </c>
      <c r="F268" t="str">
        <f t="shared" si="5"/>
        <v>63110</v>
      </c>
      <c r="G268" t="s">
        <v>527</v>
      </c>
      <c r="H268" t="s">
        <v>320</v>
      </c>
    </row>
    <row r="269" spans="1:8" x14ac:dyDescent="0.25">
      <c r="A269" s="30" t="str">
        <f>'Formula for adding in new comp'!A169</f>
        <v>6</v>
      </c>
      <c r="B269" s="30" t="str">
        <f>'Formula for adding in new comp'!B169</f>
        <v>3</v>
      </c>
      <c r="C269" s="30" t="str">
        <f>'Formula for adding in new comp'!C169</f>
        <v>1</v>
      </c>
      <c r="D269" s="30">
        <f>'Formula for adding in new comp'!F169</f>
        <v>2</v>
      </c>
      <c r="E269" s="30">
        <f>'Formula for adding in new comp'!I169</f>
        <v>0</v>
      </c>
      <c r="F269" t="str">
        <f t="shared" si="5"/>
        <v>63120</v>
      </c>
      <c r="G269" t="s">
        <v>527</v>
      </c>
      <c r="H269" t="s">
        <v>378</v>
      </c>
    </row>
    <row r="270" spans="1:8" x14ac:dyDescent="0.25">
      <c r="A270" s="30" t="str">
        <f>'Formula for adding in new comp'!A298</f>
        <v>6</v>
      </c>
      <c r="B270" s="30" t="str">
        <f>'Formula for adding in new comp'!B298</f>
        <v>3</v>
      </c>
      <c r="C270" s="30" t="str">
        <f>'Formula for adding in new comp'!C298</f>
        <v>1</v>
      </c>
      <c r="D270" s="30">
        <f>'Formula for adding in new comp'!F298</f>
        <v>0</v>
      </c>
      <c r="E270" s="30">
        <f>'Formula for adding in new comp'!I298</f>
        <v>1</v>
      </c>
      <c r="F270" t="str">
        <f t="shared" si="5"/>
        <v>63101</v>
      </c>
      <c r="G270" t="s">
        <v>527</v>
      </c>
      <c r="H270" t="s">
        <v>77</v>
      </c>
    </row>
    <row r="271" spans="1:8" x14ac:dyDescent="0.25">
      <c r="A271" s="30" t="str">
        <f>'Formula for adding in new comp'!A299</f>
        <v>6</v>
      </c>
      <c r="B271" s="30" t="str">
        <f>'Formula for adding in new comp'!B299</f>
        <v>3</v>
      </c>
      <c r="C271" s="30" t="str">
        <f>'Formula for adding in new comp'!C299</f>
        <v>1</v>
      </c>
      <c r="D271" s="30">
        <f>'Formula for adding in new comp'!F299</f>
        <v>0</v>
      </c>
      <c r="E271" s="30">
        <f>'Formula for adding in new comp'!I299</f>
        <v>2</v>
      </c>
      <c r="F271" t="str">
        <f t="shared" si="5"/>
        <v>63102</v>
      </c>
      <c r="G271" t="s">
        <v>527</v>
      </c>
      <c r="H271" t="s">
        <v>78</v>
      </c>
    </row>
    <row r="272" spans="1:8" x14ac:dyDescent="0.25">
      <c r="A272" s="30" t="str">
        <f>'Formula for adding in new comp'!A303</f>
        <v>6</v>
      </c>
      <c r="B272" s="30" t="str">
        <f>'Formula for adding in new comp'!B303</f>
        <v>3</v>
      </c>
      <c r="C272" s="30" t="str">
        <f>'Formula for adding in new comp'!C303</f>
        <v>1</v>
      </c>
      <c r="D272" s="30">
        <f>'Formula for adding in new comp'!F303</f>
        <v>0</v>
      </c>
      <c r="E272" s="30">
        <f>'Formula for adding in new comp'!I303</f>
        <v>3</v>
      </c>
      <c r="F272" t="str">
        <f t="shared" si="5"/>
        <v>63103</v>
      </c>
      <c r="G272" t="s">
        <v>527</v>
      </c>
      <c r="H272" t="s">
        <v>82</v>
      </c>
    </row>
    <row r="273" spans="1:8" x14ac:dyDescent="0.25">
      <c r="A273" s="30" t="str">
        <f>'Formula for adding in new comp'!A83</f>
        <v>6</v>
      </c>
      <c r="B273" s="30" t="str">
        <f>'Formula for adding in new comp'!B83</f>
        <v>3</v>
      </c>
      <c r="C273" s="30" t="str">
        <f>'Formula for adding in new comp'!C83</f>
        <v>2</v>
      </c>
      <c r="D273" s="30">
        <f>'Formula for adding in new comp'!F83</f>
        <v>0</v>
      </c>
      <c r="E273" s="30">
        <f>'Formula for adding in new comp'!I83</f>
        <v>0</v>
      </c>
      <c r="F273" t="str">
        <f t="shared" si="5"/>
        <v>63200</v>
      </c>
      <c r="G273" t="s">
        <v>527</v>
      </c>
      <c r="H273" t="s">
        <v>292</v>
      </c>
    </row>
    <row r="274" spans="1:8" x14ac:dyDescent="0.25">
      <c r="A274" s="30" t="str">
        <f>'Formula for adding in new comp'!A140</f>
        <v>6</v>
      </c>
      <c r="B274" s="30" t="str">
        <f>'Formula for adding in new comp'!B140</f>
        <v>3</v>
      </c>
      <c r="C274" s="30" t="str">
        <f>'Formula for adding in new comp'!C140</f>
        <v>2</v>
      </c>
      <c r="D274" s="30">
        <f>'Formula for adding in new comp'!F140</f>
        <v>1</v>
      </c>
      <c r="E274" s="30">
        <f>'Formula for adding in new comp'!I140</f>
        <v>0</v>
      </c>
      <c r="F274" t="str">
        <f t="shared" si="5"/>
        <v>63210</v>
      </c>
      <c r="G274" t="s">
        <v>527</v>
      </c>
      <c r="H274" t="s">
        <v>349</v>
      </c>
    </row>
    <row r="275" spans="1:8" x14ac:dyDescent="0.25">
      <c r="A275" s="30" t="str">
        <f>'Formula for adding in new comp'!A143</f>
        <v>6</v>
      </c>
      <c r="B275" s="30" t="str">
        <f>'Formula for adding in new comp'!B143</f>
        <v>3</v>
      </c>
      <c r="C275" s="30" t="str">
        <f>'Formula for adding in new comp'!C143</f>
        <v>2</v>
      </c>
      <c r="D275" s="30">
        <f>'Formula for adding in new comp'!F143</f>
        <v>1</v>
      </c>
      <c r="E275" s="30">
        <f>'Formula for adding in new comp'!I143</f>
        <v>0</v>
      </c>
      <c r="F275" t="str">
        <f t="shared" si="5"/>
        <v>63210</v>
      </c>
      <c r="G275" t="s">
        <v>527</v>
      </c>
      <c r="H275" t="s">
        <v>352</v>
      </c>
    </row>
    <row r="276" spans="1:8" x14ac:dyDescent="0.25">
      <c r="A276" s="30" t="str">
        <f>'Formula for adding in new comp'!A328</f>
        <v>6</v>
      </c>
      <c r="B276" s="30" t="str">
        <f>'Formula for adding in new comp'!B328</f>
        <v>3</v>
      </c>
      <c r="C276" s="30" t="str">
        <f>'Formula for adding in new comp'!C328</f>
        <v>2</v>
      </c>
      <c r="D276" s="30">
        <f>'Formula for adding in new comp'!F328</f>
        <v>0</v>
      </c>
      <c r="E276" s="30">
        <f>'Formula for adding in new comp'!I328</f>
        <v>1</v>
      </c>
      <c r="F276" t="str">
        <f t="shared" si="5"/>
        <v>63201</v>
      </c>
      <c r="G276" t="s">
        <v>527</v>
      </c>
      <c r="H276" t="s">
        <v>107</v>
      </c>
    </row>
    <row r="277" spans="1:8" x14ac:dyDescent="0.25">
      <c r="A277" s="30" t="str">
        <f>'Formula for adding in new comp'!A329</f>
        <v>6</v>
      </c>
      <c r="B277" s="30" t="str">
        <f>'Formula for adding in new comp'!B329</f>
        <v>3</v>
      </c>
      <c r="C277" s="30" t="str">
        <f>'Formula for adding in new comp'!C329</f>
        <v>2</v>
      </c>
      <c r="D277" s="30">
        <f>'Formula for adding in new comp'!F329</f>
        <v>0</v>
      </c>
      <c r="E277" s="30">
        <f>'Formula for adding in new comp'!I329</f>
        <v>2</v>
      </c>
      <c r="F277" t="str">
        <f t="shared" si="5"/>
        <v>63202</v>
      </c>
      <c r="G277" t="s">
        <v>527</v>
      </c>
      <c r="H277" t="s">
        <v>108</v>
      </c>
    </row>
    <row r="278" spans="1:8" x14ac:dyDescent="0.25">
      <c r="A278" s="30" t="str">
        <f>'Formula for adding in new comp'!A330</f>
        <v>6</v>
      </c>
      <c r="B278" s="30" t="str">
        <f>'Formula for adding in new comp'!B330</f>
        <v>3</v>
      </c>
      <c r="C278" s="30" t="str">
        <f>'Formula for adding in new comp'!C330</f>
        <v>2</v>
      </c>
      <c r="D278" s="30">
        <f>'Formula for adding in new comp'!F330</f>
        <v>0</v>
      </c>
      <c r="E278" s="30">
        <f>'Formula for adding in new comp'!I330</f>
        <v>3</v>
      </c>
      <c r="F278" t="str">
        <f t="shared" si="5"/>
        <v>63203</v>
      </c>
      <c r="G278" t="s">
        <v>527</v>
      </c>
      <c r="H278" t="s">
        <v>109</v>
      </c>
    </row>
    <row r="279" spans="1:8" x14ac:dyDescent="0.25">
      <c r="A279" s="30" t="str">
        <f>'Formula for adding in new comp'!A108</f>
        <v>6</v>
      </c>
      <c r="B279" s="30" t="str">
        <f>'Formula for adding in new comp'!B108</f>
        <v>3</v>
      </c>
      <c r="C279" s="30" t="str">
        <f>'Formula for adding in new comp'!C108</f>
        <v>3</v>
      </c>
      <c r="D279" s="30">
        <f>'Formula for adding in new comp'!F108</f>
        <v>0</v>
      </c>
      <c r="E279" s="30">
        <f>'Formula for adding in new comp'!I108</f>
        <v>0</v>
      </c>
      <c r="F279" t="str">
        <f t="shared" si="5"/>
        <v>63300</v>
      </c>
      <c r="G279" t="s">
        <v>527</v>
      </c>
      <c r="H279" t="s">
        <v>317</v>
      </c>
    </row>
    <row r="280" spans="1:8" x14ac:dyDescent="0.25">
      <c r="A280" s="30" t="str">
        <f>'Formula for adding in new comp'!A378</f>
        <v>6</v>
      </c>
      <c r="B280" s="30" t="str">
        <f>'Formula for adding in new comp'!B378</f>
        <v>3</v>
      </c>
      <c r="C280" s="30" t="str">
        <f>'Formula for adding in new comp'!C378</f>
        <v>3</v>
      </c>
      <c r="D280" s="30">
        <f>'Formula for adding in new comp'!F378</f>
        <v>0</v>
      </c>
      <c r="E280" s="30">
        <f>'Formula for adding in new comp'!I378</f>
        <v>1</v>
      </c>
      <c r="F280" t="str">
        <f t="shared" si="5"/>
        <v>63301</v>
      </c>
      <c r="G280" t="s">
        <v>527</v>
      </c>
      <c r="H280" t="s">
        <v>157</v>
      </c>
    </row>
    <row r="281" spans="1:8" x14ac:dyDescent="0.25">
      <c r="A281" s="30" t="str">
        <f>'Formula for adding in new comp'!A379</f>
        <v>6</v>
      </c>
      <c r="B281" s="30" t="str">
        <f>'Formula for adding in new comp'!B379</f>
        <v>3</v>
      </c>
      <c r="C281" s="30" t="str">
        <f>'Formula for adding in new comp'!C379</f>
        <v>3</v>
      </c>
      <c r="D281" s="30">
        <f>'Formula for adding in new comp'!F379</f>
        <v>0</v>
      </c>
      <c r="E281" s="30">
        <f>'Formula for adding in new comp'!I379</f>
        <v>2</v>
      </c>
      <c r="F281" t="str">
        <f t="shared" si="5"/>
        <v>63302</v>
      </c>
      <c r="G281" t="s">
        <v>527</v>
      </c>
      <c r="H281" t="s">
        <v>158</v>
      </c>
    </row>
    <row r="282" spans="1:8" x14ac:dyDescent="0.25">
      <c r="A282" s="30" t="str">
        <f>'Formula for adding in new comp'!A380</f>
        <v>6</v>
      </c>
      <c r="B282" s="30" t="str">
        <f>'Formula for adding in new comp'!B380</f>
        <v>3</v>
      </c>
      <c r="C282" s="30" t="str">
        <f>'Formula for adding in new comp'!C380</f>
        <v>3</v>
      </c>
      <c r="D282" s="30">
        <f>'Formula for adding in new comp'!F380</f>
        <v>0</v>
      </c>
      <c r="E282" s="30">
        <f>'Formula for adding in new comp'!I380</f>
        <v>3</v>
      </c>
      <c r="F282" t="str">
        <f t="shared" si="5"/>
        <v>63303</v>
      </c>
      <c r="G282" t="s">
        <v>527</v>
      </c>
      <c r="H282" t="s">
        <v>159</v>
      </c>
    </row>
    <row r="283" spans="1:8" x14ac:dyDescent="0.25">
      <c r="A283" s="30" t="str">
        <f>'Formula for adding in new comp'!A64</f>
        <v>6</v>
      </c>
      <c r="B283" s="30" t="str">
        <f>'Formula for adding in new comp'!B64</f>
        <v>4</v>
      </c>
      <c r="C283" s="30">
        <f>'Formula for adding in new comp'!C64</f>
        <v>0</v>
      </c>
      <c r="D283" s="30">
        <f>'Formula for adding in new comp'!F64</f>
        <v>0</v>
      </c>
      <c r="E283" s="30">
        <f>'Formula for adding in new comp'!I64</f>
        <v>0</v>
      </c>
      <c r="F283" t="str">
        <f t="shared" si="5"/>
        <v>64000</v>
      </c>
      <c r="G283" t="s">
        <v>526</v>
      </c>
      <c r="H283" t="s">
        <v>274</v>
      </c>
    </row>
    <row r="284" spans="1:8" x14ac:dyDescent="0.25">
      <c r="A284" s="30" t="str">
        <f>'Formula for adding in new comp'!A84</f>
        <v>6</v>
      </c>
      <c r="B284" s="30" t="str">
        <f>'Formula for adding in new comp'!B84</f>
        <v>4</v>
      </c>
      <c r="C284" s="30" t="str">
        <f>'Formula for adding in new comp'!C84</f>
        <v>1</v>
      </c>
      <c r="D284" s="30">
        <f>'Formula for adding in new comp'!F84</f>
        <v>0</v>
      </c>
      <c r="E284" s="30">
        <f>'Formula for adding in new comp'!I84</f>
        <v>0</v>
      </c>
      <c r="F284" t="str">
        <f t="shared" si="5"/>
        <v>64100</v>
      </c>
      <c r="G284" t="s">
        <v>527</v>
      </c>
      <c r="H284" t="s">
        <v>293</v>
      </c>
    </row>
    <row r="285" spans="1:8" x14ac:dyDescent="0.25">
      <c r="A285" s="30" t="str">
        <f>'Formula for adding in new comp'!A354</f>
        <v>6</v>
      </c>
      <c r="B285" s="30" t="str">
        <f>'Formula for adding in new comp'!B354</f>
        <v>4</v>
      </c>
      <c r="C285" s="30" t="str">
        <f>'Formula for adding in new comp'!C354</f>
        <v>1</v>
      </c>
      <c r="D285" s="30">
        <f>'Formula for adding in new comp'!F354</f>
        <v>0</v>
      </c>
      <c r="E285" s="30">
        <f>'Formula for adding in new comp'!I354</f>
        <v>1</v>
      </c>
      <c r="F285" t="str">
        <f t="shared" si="5"/>
        <v>64101</v>
      </c>
      <c r="G285" t="s">
        <v>527</v>
      </c>
      <c r="H285" t="s">
        <v>133</v>
      </c>
    </row>
    <row r="286" spans="1:8" x14ac:dyDescent="0.25">
      <c r="A286" s="30" t="str">
        <f>'Formula for adding in new comp'!A355</f>
        <v>6</v>
      </c>
      <c r="B286" s="30" t="str">
        <f>'Formula for adding in new comp'!B355</f>
        <v>4</v>
      </c>
      <c r="C286" s="30" t="str">
        <f>'Formula for adding in new comp'!C355</f>
        <v>1</v>
      </c>
      <c r="D286" s="30">
        <f>'Formula for adding in new comp'!F355</f>
        <v>0</v>
      </c>
      <c r="E286" s="30">
        <f>'Formula for adding in new comp'!I355</f>
        <v>2</v>
      </c>
      <c r="F286" t="str">
        <f t="shared" si="5"/>
        <v>64102</v>
      </c>
      <c r="G286" t="s">
        <v>527</v>
      </c>
      <c r="H286" t="s">
        <v>134</v>
      </c>
    </row>
    <row r="287" spans="1:8" x14ac:dyDescent="0.25">
      <c r="A287" s="30" t="str">
        <f>'Formula for adding in new comp'!A356</f>
        <v>6</v>
      </c>
      <c r="B287" s="30" t="str">
        <f>'Formula for adding in new comp'!B356</f>
        <v>4</v>
      </c>
      <c r="C287" s="30" t="str">
        <f>'Formula for adding in new comp'!C356</f>
        <v>1</v>
      </c>
      <c r="D287" s="30">
        <f>'Formula for adding in new comp'!F356</f>
        <v>0</v>
      </c>
      <c r="E287" s="30">
        <f>'Formula for adding in new comp'!I356</f>
        <v>3</v>
      </c>
      <c r="F287" t="str">
        <f t="shared" si="5"/>
        <v>64103</v>
      </c>
      <c r="G287" t="s">
        <v>527</v>
      </c>
      <c r="H287" t="s">
        <v>135</v>
      </c>
    </row>
    <row r="288" spans="1:8" x14ac:dyDescent="0.25">
      <c r="A288" s="30" t="str">
        <f>'Formula for adding in new comp'!A112</f>
        <v>6</v>
      </c>
      <c r="B288" s="30" t="str">
        <f>'Formula for adding in new comp'!B112</f>
        <v>4</v>
      </c>
      <c r="C288" s="30" t="str">
        <f>'Formula for adding in new comp'!C112</f>
        <v>2</v>
      </c>
      <c r="D288" s="30">
        <f>'Formula for adding in new comp'!F112</f>
        <v>0</v>
      </c>
      <c r="E288" s="30">
        <f>'Formula for adding in new comp'!I112</f>
        <v>0</v>
      </c>
      <c r="F288" t="str">
        <f t="shared" si="5"/>
        <v>64200</v>
      </c>
      <c r="G288" t="s">
        <v>527</v>
      </c>
      <c r="H288" t="s">
        <v>321</v>
      </c>
    </row>
    <row r="289" spans="1:8" x14ac:dyDescent="0.25">
      <c r="A289" s="30" t="str">
        <f>'Formula for adding in new comp'!A399</f>
        <v>6</v>
      </c>
      <c r="B289" s="30" t="str">
        <f>'Formula for adding in new comp'!B399</f>
        <v>4</v>
      </c>
      <c r="C289" s="30" t="str">
        <f>'Formula for adding in new comp'!C399</f>
        <v>2</v>
      </c>
      <c r="D289" s="30">
        <f>'Formula for adding in new comp'!F399</f>
        <v>0</v>
      </c>
      <c r="E289" s="30">
        <f>'Formula for adding in new comp'!I399</f>
        <v>1</v>
      </c>
      <c r="F289" t="str">
        <f t="shared" si="5"/>
        <v>64201</v>
      </c>
      <c r="G289" t="s">
        <v>527</v>
      </c>
      <c r="H289" t="s">
        <v>178</v>
      </c>
    </row>
    <row r="290" spans="1:8" x14ac:dyDescent="0.25">
      <c r="A290" s="30" t="str">
        <f>'Formula for adding in new comp'!A400</f>
        <v>6</v>
      </c>
      <c r="B290" s="30" t="str">
        <f>'Formula for adding in new comp'!B400</f>
        <v>4</v>
      </c>
      <c r="C290" s="30" t="str">
        <f>'Formula for adding in new comp'!C400</f>
        <v>2</v>
      </c>
      <c r="D290" s="30">
        <f>'Formula for adding in new comp'!F400</f>
        <v>0</v>
      </c>
      <c r="E290" s="30">
        <f>'Formula for adding in new comp'!I400</f>
        <v>2</v>
      </c>
      <c r="F290" t="str">
        <f t="shared" si="5"/>
        <v>64202</v>
      </c>
      <c r="G290" t="s">
        <v>527</v>
      </c>
      <c r="H290" t="s">
        <v>179</v>
      </c>
    </row>
    <row r="291" spans="1:8" x14ac:dyDescent="0.25">
      <c r="A291" s="30" t="str">
        <f>'Formula for adding in new comp'!A401</f>
        <v>6</v>
      </c>
      <c r="B291" s="30" t="str">
        <f>'Formula for adding in new comp'!B401</f>
        <v>4</v>
      </c>
      <c r="C291" s="30" t="str">
        <f>'Formula for adding in new comp'!C401</f>
        <v>2</v>
      </c>
      <c r="D291" s="30">
        <f>'Formula for adding in new comp'!F401</f>
        <v>0</v>
      </c>
      <c r="E291" s="30">
        <f>'Formula for adding in new comp'!I401</f>
        <v>3</v>
      </c>
      <c r="F291" t="str">
        <f t="shared" si="5"/>
        <v>64203</v>
      </c>
      <c r="G291" t="s">
        <v>527</v>
      </c>
      <c r="H291" t="s">
        <v>180</v>
      </c>
    </row>
    <row r="292" spans="1:8" x14ac:dyDescent="0.25">
      <c r="A292" s="30" t="str">
        <f>'Formula for adding in new comp'!A110</f>
        <v>6</v>
      </c>
      <c r="B292" s="30" t="str">
        <f>'Formula for adding in new comp'!B110</f>
        <v>4</v>
      </c>
      <c r="C292" s="30">
        <f>'Formula for adding in new comp'!C110</f>
        <v>0</v>
      </c>
      <c r="D292" s="30">
        <f>'Formula for adding in new comp'!F110</f>
        <v>1</v>
      </c>
      <c r="E292" s="30">
        <f>'Formula for adding in new comp'!I110</f>
        <v>0</v>
      </c>
      <c r="F292" t="str">
        <f t="shared" si="5"/>
        <v>64010</v>
      </c>
      <c r="G292" t="s">
        <v>526</v>
      </c>
      <c r="H292" t="s">
        <v>319</v>
      </c>
    </row>
    <row r="293" spans="1:8" x14ac:dyDescent="0.25">
      <c r="A293" s="30" t="str">
        <f>'Formula for adding in new comp'!A420</f>
        <v>6</v>
      </c>
      <c r="B293" s="30" t="str">
        <f>'Formula for adding in new comp'!B420</f>
        <v>4</v>
      </c>
      <c r="C293" s="30">
        <f>'Formula for adding in new comp'!C420</f>
        <v>0</v>
      </c>
      <c r="D293" s="30">
        <f>'Formula for adding in new comp'!F420</f>
        <v>0</v>
      </c>
      <c r="E293" s="30">
        <f>'Formula for adding in new comp'!I420</f>
        <v>1</v>
      </c>
      <c r="F293" t="str">
        <f t="shared" si="5"/>
        <v>64001</v>
      </c>
      <c r="G293" t="s">
        <v>526</v>
      </c>
      <c r="H293" t="s">
        <v>199</v>
      </c>
    </row>
    <row r="294" spans="1:8" x14ac:dyDescent="0.25">
      <c r="A294" s="30" t="str">
        <f>'Formula for adding in new comp'!A421</f>
        <v>6</v>
      </c>
      <c r="B294" s="30" t="str">
        <f>'Formula for adding in new comp'!B421</f>
        <v>4</v>
      </c>
      <c r="C294" s="30">
        <f>'Formula for adding in new comp'!C421</f>
        <v>0</v>
      </c>
      <c r="D294" s="30">
        <f>'Formula for adding in new comp'!F421</f>
        <v>0</v>
      </c>
      <c r="E294" s="30">
        <f>'Formula for adding in new comp'!I421</f>
        <v>2</v>
      </c>
      <c r="F294" t="str">
        <f t="shared" si="5"/>
        <v>64002</v>
      </c>
      <c r="G294" t="s">
        <v>526</v>
      </c>
      <c r="H294" t="s">
        <v>200</v>
      </c>
    </row>
    <row r="295" spans="1:8" x14ac:dyDescent="0.25">
      <c r="A295" s="30" t="str">
        <f>'Formula for adding in new comp'!A422</f>
        <v>6</v>
      </c>
      <c r="B295" s="30" t="str">
        <f>'Formula for adding in new comp'!B422</f>
        <v>4</v>
      </c>
      <c r="C295" s="30">
        <f>'Formula for adding in new comp'!C422</f>
        <v>0</v>
      </c>
      <c r="D295" s="30">
        <f>'Formula for adding in new comp'!F422</f>
        <v>0</v>
      </c>
      <c r="E295" s="30">
        <f>'Formula for adding in new comp'!I422</f>
        <v>3</v>
      </c>
      <c r="F295" t="str">
        <f t="shared" si="5"/>
        <v>64003</v>
      </c>
      <c r="G295" t="s">
        <v>526</v>
      </c>
      <c r="H295" t="s">
        <v>201</v>
      </c>
    </row>
    <row r="296" spans="1:8" x14ac:dyDescent="0.25">
      <c r="A296" s="30" t="str">
        <f>'Formula for adding in new comp'!A87</f>
        <v>6</v>
      </c>
      <c r="B296" s="30" t="str">
        <f>'Formula for adding in new comp'!B87</f>
        <v>5</v>
      </c>
      <c r="C296" s="30">
        <f>'Formula for adding in new comp'!C87</f>
        <v>0</v>
      </c>
      <c r="D296" s="30">
        <f>'Formula for adding in new comp'!F87</f>
        <v>0</v>
      </c>
      <c r="E296" s="30">
        <f>'Formula for adding in new comp'!I87</f>
        <v>0</v>
      </c>
      <c r="F296" t="str">
        <f t="shared" si="5"/>
        <v>65000</v>
      </c>
      <c r="G296" t="s">
        <v>526</v>
      </c>
      <c r="H296" t="s">
        <v>296</v>
      </c>
    </row>
    <row r="297" spans="1:8" x14ac:dyDescent="0.25">
      <c r="A297" s="30" t="str">
        <f>'Formula for adding in new comp'!A113</f>
        <v>6</v>
      </c>
      <c r="B297" s="30" t="str">
        <f>'Formula for adding in new comp'!B113</f>
        <v>5</v>
      </c>
      <c r="C297" s="30" t="str">
        <f>'Formula for adding in new comp'!C113</f>
        <v>1</v>
      </c>
      <c r="D297" s="30">
        <f>'Formula for adding in new comp'!F113</f>
        <v>0</v>
      </c>
      <c r="E297" s="30">
        <f>'Formula for adding in new comp'!I113</f>
        <v>0</v>
      </c>
      <c r="F297" t="str">
        <f t="shared" si="5"/>
        <v>65100</v>
      </c>
      <c r="G297" t="s">
        <v>527</v>
      </c>
      <c r="H297" t="s">
        <v>322</v>
      </c>
    </row>
    <row r="298" spans="1:8" x14ac:dyDescent="0.25">
      <c r="A298" s="30" t="str">
        <f>'Formula for adding in new comp'!A238</f>
        <v>6</v>
      </c>
      <c r="B298" s="30" t="str">
        <f>'Formula for adding in new comp'!B238</f>
        <v>5</v>
      </c>
      <c r="C298" s="30" t="str">
        <f>'Formula for adding in new comp'!C238</f>
        <v>1</v>
      </c>
      <c r="D298" s="30">
        <f>'Formula for adding in new comp'!F238</f>
        <v>1</v>
      </c>
      <c r="E298" s="30">
        <f>'Formula for adding in new comp'!I238</f>
        <v>0</v>
      </c>
      <c r="F298" t="str">
        <f t="shared" si="5"/>
        <v>65110</v>
      </c>
      <c r="G298" t="s">
        <v>527</v>
      </c>
      <c r="H298" t="s">
        <v>447</v>
      </c>
    </row>
    <row r="299" spans="1:8" x14ac:dyDescent="0.25">
      <c r="A299" s="30" t="str">
        <f>'Formula for adding in new comp'!A241</f>
        <v>6</v>
      </c>
      <c r="B299" s="30" t="str">
        <f>'Formula for adding in new comp'!B241</f>
        <v>5</v>
      </c>
      <c r="C299" s="30" t="str">
        <f>'Formula for adding in new comp'!C241</f>
        <v>1</v>
      </c>
      <c r="D299" s="30">
        <f>'Formula for adding in new comp'!F241</f>
        <v>2</v>
      </c>
      <c r="E299" s="30">
        <f>'Formula for adding in new comp'!I241</f>
        <v>0</v>
      </c>
      <c r="F299" t="str">
        <f t="shared" si="5"/>
        <v>65120</v>
      </c>
      <c r="G299" t="s">
        <v>527</v>
      </c>
      <c r="H299" t="s">
        <v>450</v>
      </c>
    </row>
    <row r="300" spans="1:8" x14ac:dyDescent="0.25">
      <c r="A300" s="30" t="str">
        <f>'Formula for adding in new comp'!A244</f>
        <v>6</v>
      </c>
      <c r="B300" s="30" t="str">
        <f>'Formula for adding in new comp'!B244</f>
        <v>5</v>
      </c>
      <c r="C300" s="30" t="str">
        <f>'Formula for adding in new comp'!C244</f>
        <v>1</v>
      </c>
      <c r="D300" s="30">
        <f>'Formula for adding in new comp'!F244</f>
        <v>3</v>
      </c>
      <c r="E300" s="30">
        <f>'Formula for adding in new comp'!I244</f>
        <v>0</v>
      </c>
      <c r="F300" t="str">
        <f t="shared" si="5"/>
        <v>65130</v>
      </c>
      <c r="G300" t="s">
        <v>527</v>
      </c>
      <c r="H300" t="s">
        <v>453</v>
      </c>
    </row>
    <row r="301" spans="1:8" x14ac:dyDescent="0.25">
      <c r="A301" s="30" t="str">
        <f>'Formula for adding in new comp'!A331</f>
        <v>6</v>
      </c>
      <c r="B301" s="30" t="str">
        <f>'Formula for adding in new comp'!B331</f>
        <v>5</v>
      </c>
      <c r="C301" s="30" t="str">
        <f>'Formula for adding in new comp'!C331</f>
        <v>1</v>
      </c>
      <c r="D301" s="30">
        <f>'Formula for adding in new comp'!F331</f>
        <v>1</v>
      </c>
      <c r="E301" s="30">
        <f>'Formula for adding in new comp'!I331</f>
        <v>1</v>
      </c>
      <c r="F301" t="str">
        <f t="shared" si="5"/>
        <v>65111</v>
      </c>
      <c r="G301" t="s">
        <v>527</v>
      </c>
      <c r="H301" t="s">
        <v>110</v>
      </c>
    </row>
    <row r="302" spans="1:8" x14ac:dyDescent="0.25">
      <c r="A302" s="30" t="str">
        <f>'Formula for adding in new comp'!A332</f>
        <v>6</v>
      </c>
      <c r="B302" s="30" t="str">
        <f>'Formula for adding in new comp'!B332</f>
        <v>5</v>
      </c>
      <c r="C302" s="30" t="str">
        <f>'Formula for adding in new comp'!C332</f>
        <v>1</v>
      </c>
      <c r="D302" s="30">
        <f>'Formula for adding in new comp'!F332</f>
        <v>1</v>
      </c>
      <c r="E302" s="30">
        <f>'Formula for adding in new comp'!I332</f>
        <v>2</v>
      </c>
      <c r="F302" t="str">
        <f t="shared" si="5"/>
        <v>65112</v>
      </c>
      <c r="G302" t="s">
        <v>527</v>
      </c>
      <c r="H302" t="s">
        <v>111</v>
      </c>
    </row>
    <row r="303" spans="1:8" x14ac:dyDescent="0.25">
      <c r="A303" s="30" t="str">
        <f>'Formula for adding in new comp'!A333</f>
        <v>6</v>
      </c>
      <c r="B303" s="30" t="str">
        <f>'Formula for adding in new comp'!B333</f>
        <v>5</v>
      </c>
      <c r="C303" s="30" t="str">
        <f>'Formula for adding in new comp'!C333</f>
        <v>1</v>
      </c>
      <c r="D303" s="30">
        <f>'Formula for adding in new comp'!F333</f>
        <v>1</v>
      </c>
      <c r="E303" s="30">
        <f>'Formula for adding in new comp'!I333</f>
        <v>3</v>
      </c>
      <c r="F303" t="str">
        <f t="shared" si="5"/>
        <v>65113</v>
      </c>
      <c r="G303" t="s">
        <v>527</v>
      </c>
      <c r="H303" t="s">
        <v>112</v>
      </c>
    </row>
    <row r="304" spans="1:8" x14ac:dyDescent="0.25">
      <c r="A304" s="30" t="str">
        <f>'Formula for adding in new comp'!A237</f>
        <v>6</v>
      </c>
      <c r="B304" s="30" t="str">
        <f>'Formula for adding in new comp'!B237</f>
        <v>5</v>
      </c>
      <c r="C304" s="30" t="str">
        <f>'Formula for adding in new comp'!C237</f>
        <v>1</v>
      </c>
      <c r="D304" s="30">
        <f>'Formula for adding in new comp'!F237</f>
        <v>2</v>
      </c>
      <c r="E304" s="30">
        <f>'Formula for adding in new comp'!I237</f>
        <v>0</v>
      </c>
      <c r="F304" t="str">
        <f t="shared" si="5"/>
        <v>65120</v>
      </c>
      <c r="G304" t="s">
        <v>527</v>
      </c>
      <c r="H304" t="s">
        <v>446</v>
      </c>
    </row>
    <row r="305" spans="1:8" x14ac:dyDescent="0.25">
      <c r="A305" s="30" t="str">
        <f>'Formula for adding in new comp'!A242</f>
        <v>6</v>
      </c>
      <c r="B305" s="30" t="str">
        <f>'Formula for adding in new comp'!B242</f>
        <v>5</v>
      </c>
      <c r="C305" s="30" t="str">
        <f>'Formula for adding in new comp'!C242</f>
        <v>1</v>
      </c>
      <c r="D305" s="30">
        <f>'Formula for adding in new comp'!F242</f>
        <v>3</v>
      </c>
      <c r="E305" s="30">
        <f>'Formula for adding in new comp'!I242</f>
        <v>0</v>
      </c>
      <c r="F305" t="str">
        <f t="shared" si="5"/>
        <v>65130</v>
      </c>
      <c r="G305" t="s">
        <v>527</v>
      </c>
      <c r="H305" t="s">
        <v>451</v>
      </c>
    </row>
    <row r="306" spans="1:8" x14ac:dyDescent="0.25">
      <c r="A306" s="30" t="str">
        <f>'Formula for adding in new comp'!A334</f>
        <v>6</v>
      </c>
      <c r="B306" s="30" t="str">
        <f>'Formula for adding in new comp'!B334</f>
        <v>5</v>
      </c>
      <c r="C306" s="30" t="str">
        <f>'Formula for adding in new comp'!C334</f>
        <v>1</v>
      </c>
      <c r="D306" s="30">
        <f>'Formula for adding in new comp'!F334</f>
        <v>2</v>
      </c>
      <c r="E306" s="30">
        <f>'Formula for adding in new comp'!I334</f>
        <v>1</v>
      </c>
      <c r="F306" t="str">
        <f t="shared" si="5"/>
        <v>65121</v>
      </c>
      <c r="G306" t="s">
        <v>527</v>
      </c>
      <c r="H306" t="s">
        <v>113</v>
      </c>
    </row>
    <row r="307" spans="1:8" x14ac:dyDescent="0.25">
      <c r="A307" s="30" t="str">
        <f>'Formula for adding in new comp'!A335</f>
        <v>6</v>
      </c>
      <c r="B307" s="30" t="str">
        <f>'Formula for adding in new comp'!B335</f>
        <v>5</v>
      </c>
      <c r="C307" s="30" t="str">
        <f>'Formula for adding in new comp'!C335</f>
        <v>1</v>
      </c>
      <c r="D307" s="30">
        <f>'Formula for adding in new comp'!F335</f>
        <v>2</v>
      </c>
      <c r="E307" s="30">
        <f>'Formula for adding in new comp'!I335</f>
        <v>2</v>
      </c>
      <c r="F307" t="str">
        <f t="shared" si="5"/>
        <v>65122</v>
      </c>
      <c r="G307" t="s">
        <v>527</v>
      </c>
      <c r="H307" t="s">
        <v>114</v>
      </c>
    </row>
    <row r="308" spans="1:8" x14ac:dyDescent="0.25">
      <c r="A308" s="30" t="str">
        <f>'Formula for adding in new comp'!A336</f>
        <v>6</v>
      </c>
      <c r="B308" s="30" t="str">
        <f>'Formula for adding in new comp'!B336</f>
        <v>5</v>
      </c>
      <c r="C308" s="30" t="str">
        <f>'Formula for adding in new comp'!C336</f>
        <v>1</v>
      </c>
      <c r="D308" s="30">
        <f>'Formula for adding in new comp'!F336</f>
        <v>2</v>
      </c>
      <c r="E308" s="30">
        <f>'Formula for adding in new comp'!I336</f>
        <v>3</v>
      </c>
      <c r="F308" t="str">
        <f t="shared" si="5"/>
        <v>65123</v>
      </c>
      <c r="G308" t="s">
        <v>527</v>
      </c>
      <c r="H308" t="s">
        <v>115</v>
      </c>
    </row>
    <row r="309" spans="1:8" x14ac:dyDescent="0.25">
      <c r="A309" s="30" t="str">
        <f>'Formula for adding in new comp'!A239</f>
        <v>6</v>
      </c>
      <c r="B309" s="30" t="str">
        <f>'Formula for adding in new comp'!B239</f>
        <v>5</v>
      </c>
      <c r="C309" s="30" t="str">
        <f>'Formula for adding in new comp'!C239</f>
        <v>1</v>
      </c>
      <c r="D309" s="30">
        <f>'Formula for adding in new comp'!F239</f>
        <v>3</v>
      </c>
      <c r="E309" s="30">
        <f>'Formula for adding in new comp'!I239</f>
        <v>0</v>
      </c>
      <c r="F309" t="str">
        <f t="shared" si="5"/>
        <v>65130</v>
      </c>
      <c r="G309" t="s">
        <v>527</v>
      </c>
      <c r="H309" t="s">
        <v>448</v>
      </c>
    </row>
    <row r="310" spans="1:8" x14ac:dyDescent="0.25">
      <c r="A310" s="30" t="str">
        <f>'Formula for adding in new comp'!A248</f>
        <v>6</v>
      </c>
      <c r="B310" s="30" t="str">
        <f>'Formula for adding in new comp'!B248</f>
        <v>5</v>
      </c>
      <c r="C310" s="30" t="str">
        <f>'Formula for adding in new comp'!C248</f>
        <v>1</v>
      </c>
      <c r="D310" s="30">
        <f>'Formula for adding in new comp'!F248</f>
        <v>3</v>
      </c>
      <c r="E310" s="30">
        <f>'Formula for adding in new comp'!I248</f>
        <v>0</v>
      </c>
      <c r="F310" t="str">
        <f t="shared" si="5"/>
        <v>65130</v>
      </c>
      <c r="G310" t="s">
        <v>527</v>
      </c>
      <c r="H310" t="s">
        <v>457</v>
      </c>
    </row>
    <row r="311" spans="1:8" x14ac:dyDescent="0.25">
      <c r="A311" s="30" t="str">
        <f>'Formula for adding in new comp'!A432</f>
        <v>6</v>
      </c>
      <c r="B311" s="30" t="str">
        <f>'Formula for adding in new comp'!B432</f>
        <v>5</v>
      </c>
      <c r="C311" s="30" t="str">
        <f>'Formula for adding in new comp'!C432</f>
        <v>1</v>
      </c>
      <c r="D311" s="30">
        <f>'Formula for adding in new comp'!F432</f>
        <v>0</v>
      </c>
      <c r="E311" s="30">
        <f>'Formula for adding in new comp'!I432</f>
        <v>1</v>
      </c>
      <c r="F311" t="str">
        <f t="shared" si="5"/>
        <v>65101</v>
      </c>
      <c r="G311" t="s">
        <v>527</v>
      </c>
      <c r="H311" t="s">
        <v>211</v>
      </c>
    </row>
    <row r="312" spans="1:8" x14ac:dyDescent="0.25">
      <c r="A312" s="30" t="str">
        <f>'Formula for adding in new comp'!A433</f>
        <v>6</v>
      </c>
      <c r="B312" s="30" t="str">
        <f>'Formula for adding in new comp'!B433</f>
        <v>5</v>
      </c>
      <c r="C312" s="30" t="str">
        <f>'Formula for adding in new comp'!C433</f>
        <v>1</v>
      </c>
      <c r="D312" s="30">
        <f>'Formula for adding in new comp'!F433</f>
        <v>0</v>
      </c>
      <c r="E312" s="30">
        <f>'Formula for adding in new comp'!I433</f>
        <v>2</v>
      </c>
      <c r="F312" t="str">
        <f t="shared" si="5"/>
        <v>65102</v>
      </c>
      <c r="G312" t="s">
        <v>527</v>
      </c>
      <c r="H312" t="s">
        <v>212</v>
      </c>
    </row>
    <row r="313" spans="1:8" x14ac:dyDescent="0.25">
      <c r="A313" s="30" t="str">
        <f>'Formula for adding in new comp'!A434</f>
        <v>6</v>
      </c>
      <c r="B313" s="30" t="str">
        <f>'Formula for adding in new comp'!B434</f>
        <v>5</v>
      </c>
      <c r="C313" s="30" t="str">
        <f>'Formula for adding in new comp'!C434</f>
        <v>1</v>
      </c>
      <c r="D313" s="30">
        <f>'Formula for adding in new comp'!F434</f>
        <v>0</v>
      </c>
      <c r="E313" s="30">
        <f>'Formula for adding in new comp'!I434</f>
        <v>3</v>
      </c>
      <c r="F313" t="str">
        <f t="shared" si="5"/>
        <v>65103</v>
      </c>
      <c r="G313" t="s">
        <v>527</v>
      </c>
      <c r="H313" t="s">
        <v>213</v>
      </c>
    </row>
    <row r="314" spans="1:8" x14ac:dyDescent="0.25">
      <c r="A314" s="30" t="str">
        <f>'Formula for adding in new comp'!A146</f>
        <v>6</v>
      </c>
      <c r="B314" s="30" t="str">
        <f>'Formula for adding in new comp'!B146</f>
        <v>5</v>
      </c>
      <c r="C314" s="30" t="str">
        <f>'Formula for adding in new comp'!C146</f>
        <v>2</v>
      </c>
      <c r="D314" s="30">
        <f>'Formula for adding in new comp'!F146</f>
        <v>0</v>
      </c>
      <c r="E314" s="30">
        <f>'Formula for adding in new comp'!I146</f>
        <v>0</v>
      </c>
      <c r="F314" t="str">
        <f t="shared" si="5"/>
        <v>65200</v>
      </c>
      <c r="G314" t="s">
        <v>527</v>
      </c>
      <c r="H314" t="s">
        <v>355</v>
      </c>
    </row>
    <row r="315" spans="1:8" x14ac:dyDescent="0.25">
      <c r="A315" s="30" t="str">
        <f>'Formula for adding in new comp'!A396</f>
        <v>6</v>
      </c>
      <c r="B315" s="30" t="str">
        <f>'Formula for adding in new comp'!B396</f>
        <v>5</v>
      </c>
      <c r="C315" s="30" t="str">
        <f>'Formula for adding in new comp'!C396</f>
        <v>2</v>
      </c>
      <c r="D315" s="30">
        <f>'Formula for adding in new comp'!F396</f>
        <v>0</v>
      </c>
      <c r="E315" s="30">
        <f>'Formula for adding in new comp'!I396</f>
        <v>1</v>
      </c>
      <c r="F315" t="str">
        <f t="shared" si="5"/>
        <v>65201</v>
      </c>
      <c r="G315" t="s">
        <v>527</v>
      </c>
      <c r="H315" t="s">
        <v>175</v>
      </c>
    </row>
    <row r="316" spans="1:8" x14ac:dyDescent="0.25">
      <c r="A316" s="30" t="str">
        <f>'Formula for adding in new comp'!A397</f>
        <v>6</v>
      </c>
      <c r="B316" s="30" t="str">
        <f>'Formula for adding in new comp'!B397</f>
        <v>5</v>
      </c>
      <c r="C316" s="30" t="str">
        <f>'Formula for adding in new comp'!C397</f>
        <v>2</v>
      </c>
      <c r="D316" s="30">
        <f>'Formula for adding in new comp'!F397</f>
        <v>0</v>
      </c>
      <c r="E316" s="30">
        <f>'Formula for adding in new comp'!I397</f>
        <v>2</v>
      </c>
      <c r="F316" t="str">
        <f t="shared" si="5"/>
        <v>65202</v>
      </c>
      <c r="G316" t="s">
        <v>527</v>
      </c>
      <c r="H316" t="s">
        <v>176</v>
      </c>
    </row>
    <row r="317" spans="1:8" x14ac:dyDescent="0.25">
      <c r="A317" s="30" t="str">
        <f>'Formula for adding in new comp'!A398</f>
        <v>6</v>
      </c>
      <c r="B317" s="30" t="str">
        <f>'Formula for adding in new comp'!B398</f>
        <v>5</v>
      </c>
      <c r="C317" s="30" t="str">
        <f>'Formula for adding in new comp'!C398</f>
        <v>2</v>
      </c>
      <c r="D317" s="30">
        <f>'Formula for adding in new comp'!F398</f>
        <v>0</v>
      </c>
      <c r="E317" s="30">
        <f>'Formula for adding in new comp'!I398</f>
        <v>3</v>
      </c>
      <c r="F317" t="str">
        <f t="shared" si="5"/>
        <v>65203</v>
      </c>
      <c r="G317" t="s">
        <v>527</v>
      </c>
      <c r="H317" t="s">
        <v>177</v>
      </c>
    </row>
    <row r="318" spans="1:8" x14ac:dyDescent="0.25">
      <c r="A318" s="30" t="str">
        <f>'Formula for adding in new comp'!A115</f>
        <v>6</v>
      </c>
      <c r="B318" s="30" t="str">
        <f>'Formula for adding in new comp'!B115</f>
        <v>6</v>
      </c>
      <c r="C318" s="30">
        <f>'Formula for adding in new comp'!C115</f>
        <v>0</v>
      </c>
      <c r="D318" s="30">
        <f>'Formula for adding in new comp'!F115</f>
        <v>0</v>
      </c>
      <c r="E318" s="30">
        <f>'Formula for adding in new comp'!I115</f>
        <v>0</v>
      </c>
      <c r="F318" t="str">
        <f t="shared" si="5"/>
        <v>66000</v>
      </c>
      <c r="G318" t="s">
        <v>526</v>
      </c>
      <c r="H318" t="s">
        <v>324</v>
      </c>
    </row>
    <row r="319" spans="1:8" x14ac:dyDescent="0.25">
      <c r="A319" s="30" t="str">
        <f>'Formula for adding in new comp'!A147</f>
        <v>6</v>
      </c>
      <c r="B319" s="30" t="str">
        <f>'Formula for adding in new comp'!B147</f>
        <v>6</v>
      </c>
      <c r="C319" s="30" t="str">
        <f>'Formula for adding in new comp'!C147</f>
        <v>1</v>
      </c>
      <c r="D319" s="30">
        <f>'Formula for adding in new comp'!F147</f>
        <v>0</v>
      </c>
      <c r="E319" s="30">
        <f>'Formula for adding in new comp'!I147</f>
        <v>0</v>
      </c>
      <c r="F319" t="str">
        <f t="shared" si="5"/>
        <v>66100</v>
      </c>
      <c r="G319" t="s">
        <v>527</v>
      </c>
      <c r="H319" t="s">
        <v>356</v>
      </c>
    </row>
    <row r="320" spans="1:8" x14ac:dyDescent="0.25">
      <c r="A320" s="30" t="str">
        <f>'Formula for adding in new comp'!A222</f>
        <v>6</v>
      </c>
      <c r="B320" s="30" t="str">
        <f>'Formula for adding in new comp'!B222</f>
        <v>6</v>
      </c>
      <c r="C320" s="30" t="str">
        <f>'Formula for adding in new comp'!C222</f>
        <v>1</v>
      </c>
      <c r="D320" s="30">
        <f>'Formula for adding in new comp'!F222</f>
        <v>1</v>
      </c>
      <c r="E320" s="30">
        <f>'Formula for adding in new comp'!I222</f>
        <v>0</v>
      </c>
      <c r="F320" t="str">
        <f t="shared" si="5"/>
        <v>66110</v>
      </c>
      <c r="G320" t="s">
        <v>527</v>
      </c>
      <c r="H320" t="s">
        <v>431</v>
      </c>
    </row>
    <row r="321" spans="1:8" x14ac:dyDescent="0.25">
      <c r="A321" s="30" t="str">
        <f>'Formula for adding in new comp'!A224</f>
        <v>6</v>
      </c>
      <c r="B321" s="30" t="str">
        <f>'Formula for adding in new comp'!B224</f>
        <v>6</v>
      </c>
      <c r="C321" s="30" t="str">
        <f>'Formula for adding in new comp'!C224</f>
        <v>1</v>
      </c>
      <c r="D321" s="30">
        <f>'Formula for adding in new comp'!F224</f>
        <v>2</v>
      </c>
      <c r="E321" s="30">
        <f>'Formula for adding in new comp'!I224</f>
        <v>0</v>
      </c>
      <c r="F321" t="str">
        <f t="shared" si="5"/>
        <v>66120</v>
      </c>
      <c r="G321" t="s">
        <v>527</v>
      </c>
      <c r="H321" t="s">
        <v>433</v>
      </c>
    </row>
    <row r="322" spans="1:8" x14ac:dyDescent="0.25">
      <c r="A322" s="30" t="str">
        <f>'Formula for adding in new comp'!A257</f>
        <v>6</v>
      </c>
      <c r="B322" s="30" t="str">
        <f>'Formula for adding in new comp'!B257</f>
        <v>6</v>
      </c>
      <c r="C322" s="30" t="str">
        <f>'Formula for adding in new comp'!C257</f>
        <v>1</v>
      </c>
      <c r="D322" s="30">
        <f>'Formula for adding in new comp'!F257</f>
        <v>3</v>
      </c>
      <c r="E322" s="30">
        <f>'Formula for adding in new comp'!I257</f>
        <v>0</v>
      </c>
      <c r="F322" t="str">
        <f t="shared" ref="F322:F385" si="6">A322&amp;B322&amp;C322&amp;D322&amp;E322</f>
        <v>66130</v>
      </c>
      <c r="G322" t="s">
        <v>527</v>
      </c>
      <c r="H322" t="s">
        <v>466</v>
      </c>
    </row>
    <row r="323" spans="1:8" x14ac:dyDescent="0.25">
      <c r="A323" s="30" t="str">
        <f>'Formula for adding in new comp'!A221</f>
        <v>6</v>
      </c>
      <c r="B323" s="30" t="str">
        <f>'Formula for adding in new comp'!B221</f>
        <v>6</v>
      </c>
      <c r="C323" s="30" t="str">
        <f>'Formula for adding in new comp'!C221</f>
        <v>1</v>
      </c>
      <c r="D323" s="30">
        <f>'Formula for adding in new comp'!F221</f>
        <v>2</v>
      </c>
      <c r="E323" s="30">
        <f>'Formula for adding in new comp'!I221</f>
        <v>0</v>
      </c>
      <c r="F323" t="str">
        <f t="shared" si="6"/>
        <v>66120</v>
      </c>
      <c r="G323" t="s">
        <v>527</v>
      </c>
      <c r="H323" t="s">
        <v>430</v>
      </c>
    </row>
    <row r="324" spans="1:8" x14ac:dyDescent="0.25">
      <c r="A324" s="30" t="str">
        <f>'Formula for adding in new comp'!A252</f>
        <v>6</v>
      </c>
      <c r="B324" s="30" t="str">
        <f>'Formula for adding in new comp'!B252</f>
        <v>6</v>
      </c>
      <c r="C324" s="30" t="str">
        <f>'Formula for adding in new comp'!C252</f>
        <v>1</v>
      </c>
      <c r="D324" s="30">
        <f>'Formula for adding in new comp'!F252</f>
        <v>3</v>
      </c>
      <c r="E324" s="30">
        <f>'Formula for adding in new comp'!I252</f>
        <v>0</v>
      </c>
      <c r="F324" t="str">
        <f t="shared" si="6"/>
        <v>66130</v>
      </c>
      <c r="G324" t="s">
        <v>527</v>
      </c>
      <c r="H324" t="s">
        <v>461</v>
      </c>
    </row>
    <row r="325" spans="1:8" x14ac:dyDescent="0.25">
      <c r="A325" s="30" t="str">
        <f>'Formula for adding in new comp'!A251</f>
        <v>6</v>
      </c>
      <c r="B325" s="30" t="str">
        <f>'Formula for adding in new comp'!B251</f>
        <v>6</v>
      </c>
      <c r="C325" s="30" t="str">
        <f>'Formula for adding in new comp'!C251</f>
        <v>1</v>
      </c>
      <c r="D325" s="30">
        <f>'Formula for adding in new comp'!F251</f>
        <v>3</v>
      </c>
      <c r="E325" s="30">
        <f>'Formula for adding in new comp'!I251</f>
        <v>0</v>
      </c>
      <c r="F325" t="str">
        <f t="shared" si="6"/>
        <v>66130</v>
      </c>
      <c r="G325" t="s">
        <v>527</v>
      </c>
      <c r="H325" t="s">
        <v>460</v>
      </c>
    </row>
    <row r="326" spans="1:8" x14ac:dyDescent="0.25">
      <c r="A326" s="30" t="str">
        <f>'Formula for adding in new comp'!A229</f>
        <v>6</v>
      </c>
      <c r="B326" s="30" t="str">
        <f>'Formula for adding in new comp'!B229</f>
        <v>6</v>
      </c>
      <c r="C326" s="30" t="str">
        <f>'Formula for adding in new comp'!C229</f>
        <v>1</v>
      </c>
      <c r="D326" s="30">
        <f>'Formula for adding in new comp'!F229</f>
        <v>2</v>
      </c>
      <c r="E326" s="30">
        <f>'Formula for adding in new comp'!I229</f>
        <v>0</v>
      </c>
      <c r="F326" t="str">
        <f t="shared" si="6"/>
        <v>66120</v>
      </c>
      <c r="G326" t="s">
        <v>527</v>
      </c>
      <c r="H326" t="s">
        <v>438</v>
      </c>
    </row>
    <row r="327" spans="1:8" x14ac:dyDescent="0.25">
      <c r="A327" s="30" t="str">
        <f>'Formula for adding in new comp'!A259</f>
        <v>6</v>
      </c>
      <c r="B327" s="30" t="str">
        <f>'Formula for adding in new comp'!B259</f>
        <v>6</v>
      </c>
      <c r="C327" s="30" t="str">
        <f>'Formula for adding in new comp'!C259</f>
        <v>1</v>
      </c>
      <c r="D327" s="30">
        <f>'Formula for adding in new comp'!F259</f>
        <v>3</v>
      </c>
      <c r="E327" s="30">
        <f>'Formula for adding in new comp'!I259</f>
        <v>0</v>
      </c>
      <c r="F327" t="str">
        <f t="shared" si="6"/>
        <v>66130</v>
      </c>
      <c r="G327" t="s">
        <v>527</v>
      </c>
      <c r="H327" t="s">
        <v>468</v>
      </c>
    </row>
    <row r="328" spans="1:8" x14ac:dyDescent="0.25">
      <c r="A328" s="30" t="str">
        <f>'Formula for adding in new comp'!A171</f>
        <v>6</v>
      </c>
      <c r="B328" s="30" t="str">
        <f>'Formula for adding in new comp'!B171</f>
        <v>6</v>
      </c>
      <c r="C328" s="30" t="str">
        <f>'Formula for adding in new comp'!C171</f>
        <v>2</v>
      </c>
      <c r="D328" s="30">
        <f>'Formula for adding in new comp'!F171</f>
        <v>0</v>
      </c>
      <c r="E328" s="30">
        <f>'Formula for adding in new comp'!I171</f>
        <v>0</v>
      </c>
      <c r="F328" t="str">
        <f t="shared" si="6"/>
        <v>66200</v>
      </c>
      <c r="G328" t="s">
        <v>527</v>
      </c>
      <c r="H328" t="s">
        <v>380</v>
      </c>
    </row>
    <row r="329" spans="1:8" x14ac:dyDescent="0.25">
      <c r="A329" s="30" t="str">
        <f>'Formula for adding in new comp'!A188</f>
        <v>6</v>
      </c>
      <c r="B329" s="30" t="str">
        <f>'Formula for adding in new comp'!B188</f>
        <v>6</v>
      </c>
      <c r="C329" s="30" t="str">
        <f>'Formula for adding in new comp'!C188</f>
        <v>3</v>
      </c>
      <c r="D329" s="30">
        <f>'Formula for adding in new comp'!F188</f>
        <v>0</v>
      </c>
      <c r="E329" s="30">
        <f>'Formula for adding in new comp'!I188</f>
        <v>0</v>
      </c>
      <c r="F329" t="str">
        <f t="shared" si="6"/>
        <v>66300</v>
      </c>
      <c r="G329" t="s">
        <v>527</v>
      </c>
      <c r="H329" t="s">
        <v>397</v>
      </c>
    </row>
    <row r="330" spans="1:8" x14ac:dyDescent="0.25">
      <c r="A330" s="30" t="str">
        <f>'Formula for adding in new comp'!A204</f>
        <v>6</v>
      </c>
      <c r="B330" s="30" t="str">
        <f>'Formula for adding in new comp'!B204</f>
        <v>6</v>
      </c>
      <c r="C330" s="30">
        <f>'Formula for adding in new comp'!C204</f>
        <v>0</v>
      </c>
      <c r="D330" s="30">
        <f>'Formula for adding in new comp'!F204</f>
        <v>1</v>
      </c>
      <c r="E330" s="30">
        <f>'Formula for adding in new comp'!I204</f>
        <v>0</v>
      </c>
      <c r="F330" t="str">
        <f t="shared" si="6"/>
        <v>66010</v>
      </c>
      <c r="G330" t="s">
        <v>526</v>
      </c>
      <c r="H330" t="s">
        <v>413</v>
      </c>
    </row>
    <row r="331" spans="1:8" x14ac:dyDescent="0.25">
      <c r="A331" s="30" t="str">
        <f>'Formula for adding in new comp'!A206</f>
        <v>6</v>
      </c>
      <c r="B331" s="30" t="str">
        <f>'Formula for adding in new comp'!B206</f>
        <v>6</v>
      </c>
      <c r="C331" s="30">
        <f>'Formula for adding in new comp'!C206</f>
        <v>0</v>
      </c>
      <c r="D331" s="30">
        <f>'Formula for adding in new comp'!F206</f>
        <v>2</v>
      </c>
      <c r="E331" s="30">
        <f>'Formula for adding in new comp'!I206</f>
        <v>0</v>
      </c>
      <c r="F331" t="str">
        <f t="shared" si="6"/>
        <v>66020</v>
      </c>
      <c r="G331" t="s">
        <v>526</v>
      </c>
      <c r="H331" t="s">
        <v>415</v>
      </c>
    </row>
    <row r="332" spans="1:8" x14ac:dyDescent="0.25">
      <c r="A332" s="30" t="str">
        <f>'Formula for adding in new comp'!A205</f>
        <v>6</v>
      </c>
      <c r="B332" s="30" t="str">
        <f>'Formula for adding in new comp'!B205</f>
        <v>6</v>
      </c>
      <c r="C332" s="30">
        <f>'Formula for adding in new comp'!C205</f>
        <v>0</v>
      </c>
      <c r="D332" s="30">
        <f>'Formula for adding in new comp'!F205</f>
        <v>2</v>
      </c>
      <c r="E332" s="30">
        <f>'Formula for adding in new comp'!I205</f>
        <v>0</v>
      </c>
      <c r="F332" t="str">
        <f t="shared" si="6"/>
        <v>66020</v>
      </c>
      <c r="G332" t="s">
        <v>526</v>
      </c>
      <c r="H332" t="s">
        <v>414</v>
      </c>
    </row>
    <row r="333" spans="1:8" x14ac:dyDescent="0.25">
      <c r="A333" s="30" t="str">
        <f>'Formula for adding in new comp'!A209</f>
        <v>6</v>
      </c>
      <c r="B333" s="30" t="str">
        <f>'Formula for adding in new comp'!B209</f>
        <v>6</v>
      </c>
      <c r="C333" s="30">
        <f>'Formula for adding in new comp'!C209</f>
        <v>0</v>
      </c>
      <c r="D333" s="30">
        <f>'Formula for adding in new comp'!F209</f>
        <v>2</v>
      </c>
      <c r="E333" s="30">
        <f>'Formula for adding in new comp'!I209</f>
        <v>0</v>
      </c>
      <c r="F333" t="str">
        <f t="shared" si="6"/>
        <v>66020</v>
      </c>
      <c r="G333" t="s">
        <v>526</v>
      </c>
      <c r="H333" t="s">
        <v>418</v>
      </c>
    </row>
    <row r="334" spans="1:8" x14ac:dyDescent="0.25">
      <c r="A334" s="30" t="str">
        <f>'Formula for adding in new comp'!A150</f>
        <v>6</v>
      </c>
      <c r="B334" s="30" t="str">
        <f>'Formula for adding in new comp'!B150</f>
        <v>7</v>
      </c>
      <c r="C334" s="30">
        <f>'Formula for adding in new comp'!C150</f>
        <v>0</v>
      </c>
      <c r="D334" s="30">
        <f>'Formula for adding in new comp'!F150</f>
        <v>0</v>
      </c>
      <c r="E334" s="30">
        <f>'Formula for adding in new comp'!I150</f>
        <v>0</v>
      </c>
      <c r="F334" t="str">
        <f t="shared" si="6"/>
        <v>67000</v>
      </c>
      <c r="G334" t="s">
        <v>526</v>
      </c>
      <c r="H334" t="s">
        <v>359</v>
      </c>
    </row>
    <row r="335" spans="1:8" x14ac:dyDescent="0.25">
      <c r="A335" s="30" t="str">
        <f>'Formula for adding in new comp'!A172</f>
        <v>6</v>
      </c>
      <c r="B335" s="30" t="str">
        <f>'Formula for adding in new comp'!B172</f>
        <v>7</v>
      </c>
      <c r="C335" s="30" t="str">
        <f>'Formula for adding in new comp'!C172</f>
        <v>1</v>
      </c>
      <c r="D335" s="30">
        <f>'Formula for adding in new comp'!F172</f>
        <v>0</v>
      </c>
      <c r="E335" s="30">
        <f>'Formula for adding in new comp'!I172</f>
        <v>0</v>
      </c>
      <c r="F335" t="str">
        <f t="shared" si="6"/>
        <v>67100</v>
      </c>
      <c r="G335" t="s">
        <v>527</v>
      </c>
      <c r="H335" t="s">
        <v>381</v>
      </c>
    </row>
    <row r="336" spans="1:8" x14ac:dyDescent="0.25">
      <c r="A336" s="30" t="str">
        <f>'Formula for adding in new comp'!A207</f>
        <v>6</v>
      </c>
      <c r="B336" s="30" t="str">
        <f>'Formula for adding in new comp'!B207</f>
        <v>7</v>
      </c>
      <c r="C336" s="30" t="str">
        <f>'Formula for adding in new comp'!C207</f>
        <v>1</v>
      </c>
      <c r="D336" s="30">
        <f>'Formula for adding in new comp'!F207</f>
        <v>1</v>
      </c>
      <c r="E336" s="30">
        <f>'Formula for adding in new comp'!I207</f>
        <v>0</v>
      </c>
      <c r="F336" t="str">
        <f t="shared" si="6"/>
        <v>67110</v>
      </c>
      <c r="G336" t="s">
        <v>527</v>
      </c>
      <c r="H336" t="s">
        <v>416</v>
      </c>
    </row>
    <row r="337" spans="1:8" x14ac:dyDescent="0.25">
      <c r="A337" s="30" t="str">
        <f>'Formula for adding in new comp'!A245</f>
        <v>6</v>
      </c>
      <c r="B337" s="30" t="str">
        <f>'Formula for adding in new comp'!B245</f>
        <v>7</v>
      </c>
      <c r="C337" s="30" t="str">
        <f>'Formula for adding in new comp'!C245</f>
        <v>1</v>
      </c>
      <c r="D337" s="30">
        <f>'Formula for adding in new comp'!F245</f>
        <v>2</v>
      </c>
      <c r="E337" s="30">
        <f>'Formula for adding in new comp'!I245</f>
        <v>0</v>
      </c>
      <c r="F337" t="str">
        <f t="shared" si="6"/>
        <v>67120</v>
      </c>
      <c r="G337" t="s">
        <v>527</v>
      </c>
      <c r="H337" t="s">
        <v>454</v>
      </c>
    </row>
    <row r="338" spans="1:8" x14ac:dyDescent="0.25">
      <c r="A338" s="30" t="str">
        <f>'Formula for adding in new comp'!A263</f>
        <v>6</v>
      </c>
      <c r="B338" s="30" t="str">
        <f>'Formula for adding in new comp'!B263</f>
        <v>7</v>
      </c>
      <c r="C338" s="30" t="str">
        <f>'Formula for adding in new comp'!C263</f>
        <v>1</v>
      </c>
      <c r="D338" s="30">
        <f>'Formula for adding in new comp'!F263</f>
        <v>3</v>
      </c>
      <c r="E338" s="30">
        <f>'Formula for adding in new comp'!I263</f>
        <v>0</v>
      </c>
      <c r="F338" t="str">
        <f t="shared" si="6"/>
        <v>67130</v>
      </c>
      <c r="G338" t="s">
        <v>527</v>
      </c>
      <c r="H338" t="s">
        <v>472</v>
      </c>
    </row>
    <row r="339" spans="1:8" x14ac:dyDescent="0.25">
      <c r="A339" s="30" t="str">
        <f>'Formula for adding in new comp'!A280</f>
        <v>6</v>
      </c>
      <c r="B339" s="30" t="str">
        <f>'Formula for adding in new comp'!B280</f>
        <v>7</v>
      </c>
      <c r="C339" s="30" t="str">
        <f>'Formula for adding in new comp'!C280</f>
        <v>1</v>
      </c>
      <c r="D339" s="30">
        <f>'Formula for adding in new comp'!F280</f>
        <v>4</v>
      </c>
      <c r="E339" s="30">
        <f>'Formula for adding in new comp'!I280</f>
        <v>0</v>
      </c>
      <c r="F339" t="str">
        <f t="shared" si="6"/>
        <v>67140</v>
      </c>
      <c r="G339" t="s">
        <v>527</v>
      </c>
      <c r="H339" t="s">
        <v>489</v>
      </c>
    </row>
    <row r="340" spans="1:8" x14ac:dyDescent="0.25">
      <c r="A340" s="30" t="str">
        <f>'Formula for adding in new comp'!A279</f>
        <v>6</v>
      </c>
      <c r="B340" s="30" t="str">
        <f>'Formula for adding in new comp'!B279</f>
        <v>7</v>
      </c>
      <c r="C340" s="30" t="str">
        <f>'Formula for adding in new comp'!C279</f>
        <v>1</v>
      </c>
      <c r="D340" s="30">
        <f>'Formula for adding in new comp'!F279</f>
        <v>4</v>
      </c>
      <c r="E340" s="30">
        <f>'Formula for adding in new comp'!I279</f>
        <v>0</v>
      </c>
      <c r="F340" t="str">
        <f t="shared" si="6"/>
        <v>67140</v>
      </c>
      <c r="G340" t="s">
        <v>527</v>
      </c>
      <c r="H340" t="s">
        <v>488</v>
      </c>
    </row>
    <row r="341" spans="1:8" x14ac:dyDescent="0.25">
      <c r="A341" s="30" t="str">
        <f>'Formula for adding in new comp'!A210</f>
        <v>6</v>
      </c>
      <c r="B341" s="30" t="str">
        <f>'Formula for adding in new comp'!B210</f>
        <v>7</v>
      </c>
      <c r="C341" s="30" t="str">
        <f>'Formula for adding in new comp'!C210</f>
        <v>1</v>
      </c>
      <c r="D341" s="30">
        <f>'Formula for adding in new comp'!F210</f>
        <v>1</v>
      </c>
      <c r="E341" s="30">
        <f>'Formula for adding in new comp'!I210</f>
        <v>0</v>
      </c>
      <c r="F341" t="str">
        <f t="shared" si="6"/>
        <v>67110</v>
      </c>
      <c r="G341" t="s">
        <v>527</v>
      </c>
      <c r="H341" t="s">
        <v>419</v>
      </c>
    </row>
    <row r="342" spans="1:8" x14ac:dyDescent="0.25">
      <c r="A342" s="30" t="str">
        <f>'Formula for adding in new comp'!A226</f>
        <v>6</v>
      </c>
      <c r="B342" s="30" t="str">
        <f>'Formula for adding in new comp'!B226</f>
        <v>7</v>
      </c>
      <c r="C342" s="30" t="str">
        <f>'Formula for adding in new comp'!C226</f>
        <v>4</v>
      </c>
      <c r="D342" s="30">
        <f>'Formula for adding in new comp'!F226</f>
        <v>0</v>
      </c>
      <c r="E342" s="30">
        <f>'Formula for adding in new comp'!I226</f>
        <v>0</v>
      </c>
      <c r="F342" t="str">
        <f t="shared" si="6"/>
        <v>67400</v>
      </c>
      <c r="G342" t="s">
        <v>527</v>
      </c>
      <c r="H342" t="s">
        <v>435</v>
      </c>
    </row>
    <row r="343" spans="1:8" x14ac:dyDescent="0.25">
      <c r="A343" s="30" t="str">
        <f>'Formula for adding in new comp'!A254</f>
        <v>6</v>
      </c>
      <c r="B343" s="30" t="str">
        <f>'Formula for adding in new comp'!B254</f>
        <v>7</v>
      </c>
      <c r="C343" s="30" t="str">
        <f>'Formula for adding in new comp'!C254</f>
        <v>4</v>
      </c>
      <c r="D343" s="30">
        <f>'Formula for adding in new comp'!F254</f>
        <v>1</v>
      </c>
      <c r="E343" s="30">
        <f>'Formula for adding in new comp'!I254</f>
        <v>0</v>
      </c>
      <c r="F343" t="str">
        <f t="shared" si="6"/>
        <v>67410</v>
      </c>
      <c r="G343" t="s">
        <v>527</v>
      </c>
      <c r="H343" t="s">
        <v>463</v>
      </c>
    </row>
    <row r="344" spans="1:8" x14ac:dyDescent="0.25">
      <c r="A344" s="30" t="str">
        <f>'Formula for adding in new comp'!A258</f>
        <v>6</v>
      </c>
      <c r="B344" s="30" t="str">
        <f>'Formula for adding in new comp'!B258</f>
        <v>7</v>
      </c>
      <c r="C344" s="30" t="str">
        <f>'Formula for adding in new comp'!C258</f>
        <v>4</v>
      </c>
      <c r="D344" s="30">
        <f>'Formula for adding in new comp'!F258</f>
        <v>1</v>
      </c>
      <c r="E344" s="30">
        <f>'Formula for adding in new comp'!I258</f>
        <v>0</v>
      </c>
      <c r="F344" t="str">
        <f t="shared" si="6"/>
        <v>67410</v>
      </c>
      <c r="G344" t="s">
        <v>527</v>
      </c>
      <c r="H344" t="s">
        <v>467</v>
      </c>
    </row>
    <row r="345" spans="1:8" x14ac:dyDescent="0.25">
      <c r="A345" s="30" t="str">
        <f>'Formula for adding in new comp'!A353</f>
        <v>6</v>
      </c>
      <c r="B345" s="30" t="str">
        <f>'Formula for adding in new comp'!B353</f>
        <v>7</v>
      </c>
      <c r="C345" s="30" t="str">
        <f>'Formula for adding in new comp'!C353</f>
        <v>4</v>
      </c>
      <c r="D345" s="30">
        <f>'Formula for adding in new comp'!F353</f>
        <v>0</v>
      </c>
      <c r="E345" s="30">
        <f>'Formula for adding in new comp'!I353</f>
        <v>1</v>
      </c>
      <c r="F345" t="str">
        <f t="shared" si="6"/>
        <v>67401</v>
      </c>
      <c r="G345" t="s">
        <v>527</v>
      </c>
      <c r="H345" t="s">
        <v>132</v>
      </c>
    </row>
    <row r="346" spans="1:8" x14ac:dyDescent="0.25">
      <c r="A346" s="30" t="str">
        <f>'Formula for adding in new comp'!A247</f>
        <v>6</v>
      </c>
      <c r="B346" s="30" t="str">
        <f>'Formula for adding in new comp'!B247</f>
        <v>7</v>
      </c>
      <c r="C346" s="30" t="str">
        <f>'Formula for adding in new comp'!C247</f>
        <v>5</v>
      </c>
      <c r="D346" s="30">
        <f>'Formula for adding in new comp'!F247</f>
        <v>0</v>
      </c>
      <c r="E346" s="30">
        <f>'Formula for adding in new comp'!I247</f>
        <v>0</v>
      </c>
      <c r="F346" t="str">
        <f t="shared" si="6"/>
        <v>67500</v>
      </c>
      <c r="G346" t="s">
        <v>527</v>
      </c>
      <c r="H346" t="s">
        <v>456</v>
      </c>
    </row>
    <row r="347" spans="1:8" x14ac:dyDescent="0.25">
      <c r="A347" s="30" t="str">
        <f>'Formula for adding in new comp'!A191</f>
        <v>6</v>
      </c>
      <c r="B347" s="30" t="str">
        <f>'Formula for adding in new comp'!B191</f>
        <v>7</v>
      </c>
      <c r="C347" s="30">
        <f>'Formula for adding in new comp'!C191</f>
        <v>0</v>
      </c>
      <c r="D347" s="30">
        <f>'Formula for adding in new comp'!F191</f>
        <v>1</v>
      </c>
      <c r="E347" s="30">
        <f>'Formula for adding in new comp'!I191</f>
        <v>0</v>
      </c>
      <c r="F347" t="str">
        <f t="shared" si="6"/>
        <v>67010</v>
      </c>
      <c r="G347" t="s">
        <v>526</v>
      </c>
      <c r="H347" t="s">
        <v>400</v>
      </c>
    </row>
    <row r="348" spans="1:8" x14ac:dyDescent="0.25">
      <c r="A348" s="30" t="str">
        <f>'Formula for adding in new comp'!A228</f>
        <v>6</v>
      </c>
      <c r="B348" s="30" t="str">
        <f>'Formula for adding in new comp'!B228</f>
        <v>7</v>
      </c>
      <c r="C348" s="30">
        <f>'Formula for adding in new comp'!C228</f>
        <v>0</v>
      </c>
      <c r="D348" s="30">
        <f>'Formula for adding in new comp'!F228</f>
        <v>2</v>
      </c>
      <c r="E348" s="30">
        <f>'Formula for adding in new comp'!I228</f>
        <v>0</v>
      </c>
      <c r="F348" t="str">
        <f t="shared" si="6"/>
        <v>67020</v>
      </c>
      <c r="G348" t="s">
        <v>526</v>
      </c>
      <c r="H348" t="s">
        <v>437</v>
      </c>
    </row>
    <row r="349" spans="1:8" x14ac:dyDescent="0.25">
      <c r="A349" s="30" t="str">
        <f>'Formula for adding in new comp'!A225</f>
        <v>6</v>
      </c>
      <c r="B349" s="30" t="str">
        <f>'Formula for adding in new comp'!B225</f>
        <v>7</v>
      </c>
      <c r="C349" s="30">
        <f>'Formula for adding in new comp'!C225</f>
        <v>0</v>
      </c>
      <c r="D349" s="30">
        <f>'Formula for adding in new comp'!F225</f>
        <v>2</v>
      </c>
      <c r="E349" s="30">
        <f>'Formula for adding in new comp'!I225</f>
        <v>0</v>
      </c>
      <c r="F349" t="str">
        <f t="shared" si="6"/>
        <v>67020</v>
      </c>
      <c r="G349" t="s">
        <v>526</v>
      </c>
      <c r="H349" t="s">
        <v>434</v>
      </c>
    </row>
    <row r="350" spans="1:8" x14ac:dyDescent="0.25">
      <c r="A350" s="30" t="str">
        <f>'Formula for adding in new comp'!A256</f>
        <v>6</v>
      </c>
      <c r="B350" s="30" t="str">
        <f>'Formula for adding in new comp'!B256</f>
        <v>7</v>
      </c>
      <c r="C350" s="30">
        <f>'Formula for adding in new comp'!C256</f>
        <v>0</v>
      </c>
      <c r="D350" s="30">
        <f>'Formula for adding in new comp'!F256</f>
        <v>3</v>
      </c>
      <c r="E350" s="30">
        <f>'Formula for adding in new comp'!I256</f>
        <v>0</v>
      </c>
      <c r="F350" t="str">
        <f t="shared" si="6"/>
        <v>67030</v>
      </c>
      <c r="G350" t="s">
        <v>526</v>
      </c>
      <c r="H350" t="s">
        <v>465</v>
      </c>
    </row>
    <row r="351" spans="1:8" x14ac:dyDescent="0.25">
      <c r="A351" s="30" t="str">
        <f>'Formula for adding in new comp'!A274</f>
        <v>6</v>
      </c>
      <c r="B351" s="30" t="str">
        <f>'Formula for adding in new comp'!B274</f>
        <v>7</v>
      </c>
      <c r="C351" s="30">
        <f>'Formula for adding in new comp'!C274</f>
        <v>0</v>
      </c>
      <c r="D351" s="30">
        <f>'Formula for adding in new comp'!F274</f>
        <v>4</v>
      </c>
      <c r="E351" s="30">
        <f>'Formula for adding in new comp'!I274</f>
        <v>0</v>
      </c>
      <c r="F351" t="str">
        <f t="shared" si="6"/>
        <v>67040</v>
      </c>
      <c r="G351" t="s">
        <v>526</v>
      </c>
      <c r="H351" t="s">
        <v>483</v>
      </c>
    </row>
    <row r="352" spans="1:8" x14ac:dyDescent="0.25">
      <c r="A352" s="30" t="str">
        <f>'Formula for adding in new comp'!A253</f>
        <v>6</v>
      </c>
      <c r="B352" s="30" t="str">
        <f>'Formula for adding in new comp'!B253</f>
        <v>7</v>
      </c>
      <c r="C352" s="30">
        <f>'Formula for adding in new comp'!C253</f>
        <v>0</v>
      </c>
      <c r="D352" s="30">
        <f>'Formula for adding in new comp'!F253</f>
        <v>3</v>
      </c>
      <c r="E352" s="30">
        <f>'Formula for adding in new comp'!I253</f>
        <v>0</v>
      </c>
      <c r="F352" t="str">
        <f t="shared" si="6"/>
        <v>67030</v>
      </c>
      <c r="G352" t="s">
        <v>526</v>
      </c>
      <c r="H352" t="s">
        <v>462</v>
      </c>
    </row>
    <row r="353" spans="1:8" x14ac:dyDescent="0.25">
      <c r="A353" s="30" t="str">
        <f>'Formula for adding in new comp'!A273</f>
        <v>6</v>
      </c>
      <c r="B353" s="30" t="str">
        <f>'Formula for adding in new comp'!B273</f>
        <v>7</v>
      </c>
      <c r="C353" s="30">
        <f>'Formula for adding in new comp'!C273</f>
        <v>0</v>
      </c>
      <c r="D353" s="30">
        <f>'Formula for adding in new comp'!F273</f>
        <v>4</v>
      </c>
      <c r="E353" s="30">
        <f>'Formula for adding in new comp'!I273</f>
        <v>0</v>
      </c>
      <c r="F353" t="str">
        <f t="shared" si="6"/>
        <v>67040</v>
      </c>
      <c r="G353" t="s">
        <v>526</v>
      </c>
      <c r="H353" t="s">
        <v>482</v>
      </c>
    </row>
    <row r="354" spans="1:8" x14ac:dyDescent="0.25">
      <c r="A354" s="30" t="str">
        <f>'Formula for adding in new comp'!A272</f>
        <v>6</v>
      </c>
      <c r="B354" s="30" t="str">
        <f>'Formula for adding in new comp'!B272</f>
        <v>7</v>
      </c>
      <c r="C354" s="30">
        <f>'Formula for adding in new comp'!C272</f>
        <v>0</v>
      </c>
      <c r="D354" s="30">
        <f>'Formula for adding in new comp'!F272</f>
        <v>4</v>
      </c>
      <c r="E354" s="30">
        <f>'Formula for adding in new comp'!I272</f>
        <v>0</v>
      </c>
      <c r="F354" t="str">
        <f t="shared" si="6"/>
        <v>67040</v>
      </c>
      <c r="G354" t="s">
        <v>526</v>
      </c>
      <c r="H354" t="s">
        <v>481</v>
      </c>
    </row>
    <row r="355" spans="1:8" x14ac:dyDescent="0.25">
      <c r="A355" s="30" t="str">
        <f>'Formula for adding in new comp'!A193</f>
        <v>6</v>
      </c>
      <c r="B355" s="30" t="str">
        <f>'Formula for adding in new comp'!B193</f>
        <v>7</v>
      </c>
      <c r="C355" s="30">
        <f>'Formula for adding in new comp'!C193</f>
        <v>0</v>
      </c>
      <c r="D355" s="30">
        <f>'Formula for adding in new comp'!F193</f>
        <v>1</v>
      </c>
      <c r="E355" s="30">
        <f>'Formula for adding in new comp'!I193</f>
        <v>0</v>
      </c>
      <c r="F355" t="str">
        <f t="shared" si="6"/>
        <v>67010</v>
      </c>
      <c r="G355" t="s">
        <v>526</v>
      </c>
      <c r="H355" t="s">
        <v>402</v>
      </c>
    </row>
    <row r="356" spans="1:8" x14ac:dyDescent="0.25">
      <c r="A356" s="30" t="str">
        <f>'Formula for adding in new comp'!A231</f>
        <v>6</v>
      </c>
      <c r="B356" s="30" t="str">
        <f>'Formula for adding in new comp'!B231</f>
        <v>7</v>
      </c>
      <c r="C356" s="30">
        <f>'Formula for adding in new comp'!C231</f>
        <v>0</v>
      </c>
      <c r="D356" s="30">
        <f>'Formula for adding in new comp'!F231</f>
        <v>2</v>
      </c>
      <c r="E356" s="30">
        <f>'Formula for adding in new comp'!I231</f>
        <v>0</v>
      </c>
      <c r="F356" t="str">
        <f t="shared" si="6"/>
        <v>67020</v>
      </c>
      <c r="G356" t="s">
        <v>526</v>
      </c>
      <c r="H356" t="s">
        <v>440</v>
      </c>
    </row>
    <row r="357" spans="1:8" x14ac:dyDescent="0.25">
      <c r="A357" s="30" t="str">
        <f>'Formula for adding in new comp'!A230</f>
        <v>6</v>
      </c>
      <c r="B357" s="30" t="str">
        <f>'Formula for adding in new comp'!B230</f>
        <v>8</v>
      </c>
      <c r="C357" s="30" t="str">
        <f>'Formula for adding in new comp'!C230</f>
        <v>1</v>
      </c>
      <c r="D357" s="30">
        <f>'Formula for adding in new comp'!F230</f>
        <v>1</v>
      </c>
      <c r="E357" s="30">
        <f>'Formula for adding in new comp'!I230</f>
        <v>0</v>
      </c>
      <c r="F357" t="str">
        <f t="shared" si="6"/>
        <v>68110</v>
      </c>
      <c r="G357" t="s">
        <v>527</v>
      </c>
      <c r="H357" t="s">
        <v>439</v>
      </c>
    </row>
    <row r="358" spans="1:8" x14ac:dyDescent="0.25">
      <c r="A358" s="30" t="str">
        <f>'Formula for adding in new comp'!A211</f>
        <v>6</v>
      </c>
      <c r="B358" s="30" t="str">
        <f>'Formula for adding in new comp'!B211</f>
        <v>8</v>
      </c>
      <c r="C358" s="30">
        <f>'Formula for adding in new comp'!C211</f>
        <v>0</v>
      </c>
      <c r="D358" s="30">
        <f>'Formula for adding in new comp'!F211</f>
        <v>1</v>
      </c>
      <c r="E358" s="30">
        <f>'Formula for adding in new comp'!I211</f>
        <v>0</v>
      </c>
      <c r="F358" t="str">
        <f t="shared" si="6"/>
        <v>68010</v>
      </c>
      <c r="G358" t="s">
        <v>526</v>
      </c>
      <c r="H358" t="s">
        <v>420</v>
      </c>
    </row>
    <row r="359" spans="1:8" x14ac:dyDescent="0.25">
      <c r="A359" s="30" t="str">
        <f>'Formula for adding in new comp'!A195</f>
        <v>6</v>
      </c>
      <c r="B359" s="30" t="str">
        <f>'Formula for adding in new comp'!B195</f>
        <v>9</v>
      </c>
      <c r="C359" s="30">
        <f>'Formula for adding in new comp'!C195</f>
        <v>0</v>
      </c>
      <c r="D359" s="30">
        <f>'Formula for adding in new comp'!F195</f>
        <v>0</v>
      </c>
      <c r="E359" s="30">
        <f>'Formula for adding in new comp'!I195</f>
        <v>0</v>
      </c>
      <c r="F359" t="str">
        <f t="shared" si="6"/>
        <v>69000</v>
      </c>
      <c r="G359" t="s">
        <v>526</v>
      </c>
      <c r="H359" t="s">
        <v>404</v>
      </c>
    </row>
    <row r="360" spans="1:8" x14ac:dyDescent="0.25">
      <c r="A360" s="30" t="str">
        <f>'Formula for adding in new comp'!A265</f>
        <v>6</v>
      </c>
      <c r="B360" s="30" t="str">
        <f>'Formula for adding in new comp'!B265</f>
        <v>9</v>
      </c>
      <c r="C360" s="30" t="str">
        <f>'Formula for adding in new comp'!C265</f>
        <v>1</v>
      </c>
      <c r="D360" s="30">
        <f>'Formula for adding in new comp'!F265</f>
        <v>2</v>
      </c>
      <c r="E360" s="30">
        <f>'Formula for adding in new comp'!I265</f>
        <v>0</v>
      </c>
      <c r="F360" t="str">
        <f t="shared" si="6"/>
        <v>69120</v>
      </c>
      <c r="G360" t="s">
        <v>527</v>
      </c>
      <c r="H360" t="s">
        <v>474</v>
      </c>
    </row>
    <row r="361" spans="1:8" x14ac:dyDescent="0.25">
      <c r="A361" s="30" t="str">
        <f>'Formula for adding in new comp'!A264</f>
        <v>6</v>
      </c>
      <c r="B361" s="30" t="str">
        <f>'Formula for adding in new comp'!B264</f>
        <v>9</v>
      </c>
      <c r="C361" s="30" t="str">
        <f>'Formula for adding in new comp'!C264</f>
        <v>1</v>
      </c>
      <c r="D361" s="30">
        <f>'Formula for adding in new comp'!F264</f>
        <v>2</v>
      </c>
      <c r="E361" s="30">
        <f>'Formula for adding in new comp'!I264</f>
        <v>0</v>
      </c>
      <c r="F361" t="str">
        <f t="shared" si="6"/>
        <v>69120</v>
      </c>
      <c r="G361" t="s">
        <v>527</v>
      </c>
      <c r="H361" t="s">
        <v>473</v>
      </c>
    </row>
    <row r="362" spans="1:8" x14ac:dyDescent="0.25">
      <c r="A362" s="30" t="str">
        <f>'Formula for adding in new comp'!A68</f>
        <v>7</v>
      </c>
      <c r="B362" s="30" t="str">
        <f>'Formula for adding in new comp'!B68</f>
        <v>3</v>
      </c>
      <c r="C362" s="30">
        <f>'Formula for adding in new comp'!C68</f>
        <v>0</v>
      </c>
      <c r="D362" s="30">
        <f>'Formula for adding in new comp'!F68</f>
        <v>0</v>
      </c>
      <c r="E362" s="30">
        <f>'Formula for adding in new comp'!I68</f>
        <v>0</v>
      </c>
      <c r="F362" t="str">
        <f t="shared" si="6"/>
        <v>73000</v>
      </c>
      <c r="G362" t="s">
        <v>526</v>
      </c>
      <c r="H362" t="s">
        <v>278</v>
      </c>
    </row>
    <row r="363" spans="1:8" x14ac:dyDescent="0.25">
      <c r="A363" s="30" t="str">
        <f>'Formula for adding in new comp'!A90</f>
        <v>7</v>
      </c>
      <c r="B363" s="30" t="str">
        <f>'Formula for adding in new comp'!B90</f>
        <v>3</v>
      </c>
      <c r="C363" s="30" t="str">
        <f>'Formula for adding in new comp'!C90</f>
        <v>1</v>
      </c>
      <c r="D363" s="30">
        <f>'Formula for adding in new comp'!F90</f>
        <v>0</v>
      </c>
      <c r="E363" s="30">
        <f>'Formula for adding in new comp'!I90</f>
        <v>0</v>
      </c>
      <c r="F363" t="str">
        <f t="shared" si="6"/>
        <v>73100</v>
      </c>
      <c r="G363" t="s">
        <v>527</v>
      </c>
      <c r="H363" t="s">
        <v>299</v>
      </c>
    </row>
    <row r="364" spans="1:8" x14ac:dyDescent="0.25">
      <c r="A364" s="30" t="str">
        <f>'Formula for adding in new comp'!A337</f>
        <v>7</v>
      </c>
      <c r="B364" s="30" t="str">
        <f>'Formula for adding in new comp'!B337</f>
        <v>3</v>
      </c>
      <c r="C364" s="30" t="str">
        <f>'Formula for adding in new comp'!C337</f>
        <v>1</v>
      </c>
      <c r="D364" s="30">
        <f>'Formula for adding in new comp'!F337</f>
        <v>0</v>
      </c>
      <c r="E364" s="30">
        <f>'Formula for adding in new comp'!I337</f>
        <v>1</v>
      </c>
      <c r="F364" t="str">
        <f t="shared" si="6"/>
        <v>73101</v>
      </c>
      <c r="G364" t="s">
        <v>527</v>
      </c>
      <c r="H364" t="s">
        <v>116</v>
      </c>
    </row>
    <row r="365" spans="1:8" x14ac:dyDescent="0.25">
      <c r="A365" s="30" t="str">
        <f>'Formula for adding in new comp'!A94</f>
        <v>7</v>
      </c>
      <c r="B365" s="30" t="str">
        <f>'Formula for adding in new comp'!B94</f>
        <v>4</v>
      </c>
      <c r="C365" s="30">
        <f>'Formula for adding in new comp'!C94</f>
        <v>0</v>
      </c>
      <c r="D365" s="30">
        <f>'Formula for adding in new comp'!F94</f>
        <v>0</v>
      </c>
      <c r="E365" s="30">
        <f>'Formula for adding in new comp'!I94</f>
        <v>0</v>
      </c>
      <c r="F365" t="str">
        <f t="shared" si="6"/>
        <v>74000</v>
      </c>
      <c r="G365" t="s">
        <v>526</v>
      </c>
      <c r="H365" t="s">
        <v>303</v>
      </c>
    </row>
    <row r="366" spans="1:8" x14ac:dyDescent="0.25">
      <c r="A366" s="30" t="str">
        <f>'Formula for adding in new comp'!A119</f>
        <v>7</v>
      </c>
      <c r="B366" s="30" t="str">
        <f>'Formula for adding in new comp'!B119</f>
        <v>4</v>
      </c>
      <c r="C366" s="30" t="str">
        <f>'Formula for adding in new comp'!C119</f>
        <v>1</v>
      </c>
      <c r="D366" s="30">
        <f>'Formula for adding in new comp'!F119</f>
        <v>0</v>
      </c>
      <c r="E366" s="30">
        <f>'Formula for adding in new comp'!I119</f>
        <v>0</v>
      </c>
      <c r="F366" t="str">
        <f t="shared" si="6"/>
        <v>74100</v>
      </c>
      <c r="G366" t="s">
        <v>527</v>
      </c>
      <c r="H366" t="s">
        <v>328</v>
      </c>
    </row>
    <row r="367" spans="1:8" x14ac:dyDescent="0.25">
      <c r="A367" s="30" t="str">
        <f>'Formula for adding in new comp'!A340</f>
        <v>7</v>
      </c>
      <c r="B367" s="30" t="str">
        <f>'Formula for adding in new comp'!B340</f>
        <v>4</v>
      </c>
      <c r="C367" s="30" t="str">
        <f>'Formula for adding in new comp'!C340</f>
        <v>1</v>
      </c>
      <c r="D367" s="30">
        <f>'Formula for adding in new comp'!F340</f>
        <v>0</v>
      </c>
      <c r="E367" s="30">
        <f>'Formula for adding in new comp'!I340</f>
        <v>1</v>
      </c>
      <c r="F367" t="str">
        <f t="shared" si="6"/>
        <v>74101</v>
      </c>
      <c r="G367" t="s">
        <v>527</v>
      </c>
      <c r="H367" t="s">
        <v>119</v>
      </c>
    </row>
    <row r="368" spans="1:8" x14ac:dyDescent="0.25">
      <c r="A368" s="30" t="str">
        <f>'Formula for adding in new comp'!A341</f>
        <v>7</v>
      </c>
      <c r="B368" s="30" t="str">
        <f>'Formula for adding in new comp'!B341</f>
        <v>4</v>
      </c>
      <c r="C368" s="30" t="str">
        <f>'Formula for adding in new comp'!C341</f>
        <v>1</v>
      </c>
      <c r="D368" s="30">
        <f>'Formula for adding in new comp'!F341</f>
        <v>0</v>
      </c>
      <c r="E368" s="30">
        <f>'Formula for adding in new comp'!I341</f>
        <v>2</v>
      </c>
      <c r="F368" t="str">
        <f t="shared" si="6"/>
        <v>74102</v>
      </c>
      <c r="G368" t="s">
        <v>527</v>
      </c>
      <c r="H368" t="s">
        <v>120</v>
      </c>
    </row>
    <row r="369" spans="1:8" x14ac:dyDescent="0.25">
      <c r="A369" s="30" t="str">
        <f>'Formula for adding in new comp'!A342</f>
        <v>7</v>
      </c>
      <c r="B369" s="30" t="str">
        <f>'Formula for adding in new comp'!B342</f>
        <v>4</v>
      </c>
      <c r="C369" s="30" t="str">
        <f>'Formula for adding in new comp'!C342</f>
        <v>1</v>
      </c>
      <c r="D369" s="30">
        <f>'Formula for adding in new comp'!F342</f>
        <v>0</v>
      </c>
      <c r="E369" s="30">
        <f>'Formula for adding in new comp'!I342</f>
        <v>3</v>
      </c>
      <c r="F369" t="str">
        <f t="shared" si="6"/>
        <v>74103</v>
      </c>
      <c r="G369" t="s">
        <v>527</v>
      </c>
      <c r="H369" t="s">
        <v>121</v>
      </c>
    </row>
    <row r="370" spans="1:8" x14ac:dyDescent="0.25">
      <c r="A370" s="30" t="str">
        <f>'Formula for adding in new comp'!A151</f>
        <v>7</v>
      </c>
      <c r="B370" s="30" t="str">
        <f>'Formula for adding in new comp'!B151</f>
        <v>4</v>
      </c>
      <c r="C370" s="30" t="str">
        <f>'Formula for adding in new comp'!C151</f>
        <v>2</v>
      </c>
      <c r="D370" s="30">
        <f>'Formula for adding in new comp'!F151</f>
        <v>0</v>
      </c>
      <c r="E370" s="30">
        <f>'Formula for adding in new comp'!I151</f>
        <v>0</v>
      </c>
      <c r="F370" t="str">
        <f t="shared" si="6"/>
        <v>74200</v>
      </c>
      <c r="G370" t="s">
        <v>527</v>
      </c>
      <c r="H370" t="s">
        <v>360</v>
      </c>
    </row>
    <row r="371" spans="1:8" x14ac:dyDescent="0.25">
      <c r="A371" s="30" t="str">
        <f>'Formula for adding in new comp'!A343</f>
        <v>7</v>
      </c>
      <c r="B371" s="30" t="str">
        <f>'Formula for adding in new comp'!B343</f>
        <v>4</v>
      </c>
      <c r="C371" s="30" t="str">
        <f>'Formula for adding in new comp'!C343</f>
        <v>2</v>
      </c>
      <c r="D371" s="30">
        <f>'Formula for adding in new comp'!F343</f>
        <v>0</v>
      </c>
      <c r="E371" s="30">
        <f>'Formula for adding in new comp'!I343</f>
        <v>1</v>
      </c>
      <c r="F371" t="str">
        <f t="shared" si="6"/>
        <v>74201</v>
      </c>
      <c r="G371" t="s">
        <v>527</v>
      </c>
      <c r="H371" t="s">
        <v>122</v>
      </c>
    </row>
    <row r="372" spans="1:8" x14ac:dyDescent="0.25">
      <c r="A372" s="30" t="str">
        <f>'Formula for adding in new comp'!A338</f>
        <v>7</v>
      </c>
      <c r="B372" s="30" t="str">
        <f>'Formula for adding in new comp'!B338</f>
        <v>4</v>
      </c>
      <c r="C372" s="30" t="str">
        <f>'Formula for adding in new comp'!C338</f>
        <v>2</v>
      </c>
      <c r="D372" s="30">
        <f>'Formula for adding in new comp'!F338</f>
        <v>0</v>
      </c>
      <c r="E372" s="30">
        <f>'Formula for adding in new comp'!I338</f>
        <v>2</v>
      </c>
      <c r="F372" t="str">
        <f t="shared" si="6"/>
        <v>74202</v>
      </c>
      <c r="G372" t="s">
        <v>527</v>
      </c>
      <c r="H372" t="s">
        <v>117</v>
      </c>
    </row>
    <row r="373" spans="1:8" x14ac:dyDescent="0.25">
      <c r="A373" s="30" t="str">
        <f>'Formula for adding in new comp'!A339</f>
        <v>7</v>
      </c>
      <c r="B373" s="30" t="str">
        <f>'Formula for adding in new comp'!B339</f>
        <v>4</v>
      </c>
      <c r="C373" s="30" t="str">
        <f>'Formula for adding in new comp'!C339</f>
        <v>2</v>
      </c>
      <c r="D373" s="30">
        <f>'Formula for adding in new comp'!F339</f>
        <v>0</v>
      </c>
      <c r="E373" s="30">
        <f>'Formula for adding in new comp'!I339</f>
        <v>3</v>
      </c>
      <c r="F373" t="str">
        <f t="shared" si="6"/>
        <v>74203</v>
      </c>
      <c r="G373" t="s">
        <v>527</v>
      </c>
      <c r="H373" t="s">
        <v>118</v>
      </c>
    </row>
    <row r="374" spans="1:8" x14ac:dyDescent="0.25">
      <c r="A374" s="30" t="str">
        <f>'Formula for adding in new comp'!A155</f>
        <v>7</v>
      </c>
      <c r="B374" s="30" t="str">
        <f>'Formula for adding in new comp'!B155</f>
        <v>6</v>
      </c>
      <c r="C374" s="30">
        <f>'Formula for adding in new comp'!C155</f>
        <v>0</v>
      </c>
      <c r="D374" s="30">
        <f>'Formula for adding in new comp'!F155</f>
        <v>0</v>
      </c>
      <c r="E374" s="30">
        <f>'Formula for adding in new comp'!I155</f>
        <v>0</v>
      </c>
      <c r="F374" t="str">
        <f t="shared" si="6"/>
        <v>76000</v>
      </c>
      <c r="G374" t="s">
        <v>526</v>
      </c>
      <c r="H374" t="s">
        <v>364</v>
      </c>
    </row>
    <row r="375" spans="1:8" x14ac:dyDescent="0.25">
      <c r="A375" s="30" t="str">
        <f>'Formula for adding in new comp'!A173</f>
        <v>7</v>
      </c>
      <c r="B375" s="30" t="str">
        <f>'Formula for adding in new comp'!B173</f>
        <v>6</v>
      </c>
      <c r="C375" s="30" t="str">
        <f>'Formula for adding in new comp'!C173</f>
        <v>1</v>
      </c>
      <c r="D375" s="30">
        <f>'Formula for adding in new comp'!F173</f>
        <v>0</v>
      </c>
      <c r="E375" s="30">
        <f>'Formula for adding in new comp'!I173</f>
        <v>0</v>
      </c>
      <c r="F375" t="str">
        <f t="shared" si="6"/>
        <v>76100</v>
      </c>
      <c r="G375" t="s">
        <v>527</v>
      </c>
      <c r="H375" t="s">
        <v>382</v>
      </c>
    </row>
    <row r="376" spans="1:8" x14ac:dyDescent="0.25">
      <c r="A376" s="30" t="str">
        <f>'Formula for adding in new comp'!A282</f>
        <v>7</v>
      </c>
      <c r="B376" s="30" t="str">
        <f>'Formula for adding in new comp'!B282</f>
        <v>6</v>
      </c>
      <c r="C376" s="30" t="str">
        <f>'Formula for adding in new comp'!C282</f>
        <v>1</v>
      </c>
      <c r="D376" s="30">
        <f>'Formula for adding in new comp'!F282</f>
        <v>4</v>
      </c>
      <c r="E376" s="30">
        <f>'Formula for adding in new comp'!I282</f>
        <v>0</v>
      </c>
      <c r="F376" t="str">
        <f t="shared" si="6"/>
        <v>76140</v>
      </c>
      <c r="G376" t="s">
        <v>527</v>
      </c>
      <c r="H376" t="s">
        <v>491</v>
      </c>
    </row>
    <row r="377" spans="1:8" x14ac:dyDescent="0.25">
      <c r="A377" s="30" t="str">
        <f>'Formula for adding in new comp'!A281</f>
        <v>7</v>
      </c>
      <c r="B377" s="30" t="str">
        <f>'Formula for adding in new comp'!B281</f>
        <v>6</v>
      </c>
      <c r="C377" s="30" t="str">
        <f>'Formula for adding in new comp'!C281</f>
        <v>1</v>
      </c>
      <c r="D377" s="30">
        <f>'Formula for adding in new comp'!F281</f>
        <v>4</v>
      </c>
      <c r="E377" s="30">
        <f>'Formula for adding in new comp'!I281</f>
        <v>0</v>
      </c>
      <c r="F377" t="str">
        <f t="shared" si="6"/>
        <v>76140</v>
      </c>
      <c r="G377" t="s">
        <v>527</v>
      </c>
      <c r="H377" t="s">
        <v>490</v>
      </c>
    </row>
    <row r="378" spans="1:8" x14ac:dyDescent="0.25">
      <c r="A378" s="30" t="str">
        <f>'Formula for adding in new comp'!A175</f>
        <v>7</v>
      </c>
      <c r="B378" s="30" t="str">
        <f>'Formula for adding in new comp'!B175</f>
        <v>7</v>
      </c>
      <c r="C378" s="30">
        <f>'Formula for adding in new comp'!C175</f>
        <v>0</v>
      </c>
      <c r="D378" s="30">
        <f>'Formula for adding in new comp'!F175</f>
        <v>0</v>
      </c>
      <c r="E378" s="30">
        <f>'Formula for adding in new comp'!I175</f>
        <v>0</v>
      </c>
      <c r="F378" t="str">
        <f t="shared" si="6"/>
        <v>77000</v>
      </c>
      <c r="G378" t="s">
        <v>526</v>
      </c>
      <c r="H378" t="s">
        <v>384</v>
      </c>
    </row>
    <row r="379" spans="1:8" x14ac:dyDescent="0.25">
      <c r="A379" s="30" t="str">
        <f>'Formula for adding in new comp'!A196</f>
        <v>7</v>
      </c>
      <c r="B379" s="30" t="str">
        <f>'Formula for adding in new comp'!B196</f>
        <v>7</v>
      </c>
      <c r="C379" s="30" t="str">
        <f>'Formula for adding in new comp'!C196</f>
        <v>1</v>
      </c>
      <c r="D379" s="30">
        <f>'Formula for adding in new comp'!F196</f>
        <v>0</v>
      </c>
      <c r="E379" s="30">
        <f>'Formula for adding in new comp'!I196</f>
        <v>0</v>
      </c>
      <c r="F379" t="str">
        <f t="shared" si="6"/>
        <v>77100</v>
      </c>
      <c r="G379" t="s">
        <v>527</v>
      </c>
      <c r="H379" t="s">
        <v>405</v>
      </c>
    </row>
    <row r="380" spans="1:8" x14ac:dyDescent="0.25">
      <c r="A380" s="30" t="str">
        <f>'Formula for adding in new comp'!A278</f>
        <v>7</v>
      </c>
      <c r="B380" s="30" t="str">
        <f>'Formula for adding in new comp'!B278</f>
        <v>7</v>
      </c>
      <c r="C380" s="30" t="str">
        <f>'Formula for adding in new comp'!C278</f>
        <v>1</v>
      </c>
      <c r="D380" s="30">
        <f>'Formula for adding in new comp'!F278</f>
        <v>3</v>
      </c>
      <c r="E380" s="30">
        <f>'Formula for adding in new comp'!I278</f>
        <v>0</v>
      </c>
      <c r="F380" t="str">
        <f t="shared" si="6"/>
        <v>77130</v>
      </c>
      <c r="G380" t="s">
        <v>527</v>
      </c>
      <c r="H380" t="s">
        <v>487</v>
      </c>
    </row>
    <row r="381" spans="1:8" x14ac:dyDescent="0.25">
      <c r="A381" s="30" t="str">
        <f>'Formula for adding in new comp'!A261</f>
        <v>7</v>
      </c>
      <c r="B381" s="30" t="str">
        <f>'Formula for adding in new comp'!B261</f>
        <v>7</v>
      </c>
      <c r="C381" s="30" t="str">
        <f>'Formula for adding in new comp'!C261</f>
        <v>1</v>
      </c>
      <c r="D381" s="30">
        <f>'Formula for adding in new comp'!F261</f>
        <v>2</v>
      </c>
      <c r="E381" s="30">
        <f>'Formula for adding in new comp'!I261</f>
        <v>0</v>
      </c>
      <c r="F381" t="str">
        <f t="shared" si="6"/>
        <v>77120</v>
      </c>
      <c r="G381" t="s">
        <v>527</v>
      </c>
      <c r="H381" t="s">
        <v>470</v>
      </c>
    </row>
    <row r="382" spans="1:8" x14ac:dyDescent="0.25">
      <c r="A382" s="30" t="str">
        <f>'Formula for adding in new comp'!A276</f>
        <v>7</v>
      </c>
      <c r="B382" s="30" t="str">
        <f>'Formula for adding in new comp'!B276</f>
        <v>7</v>
      </c>
      <c r="C382" s="30" t="str">
        <f>'Formula for adding in new comp'!C276</f>
        <v>1</v>
      </c>
      <c r="D382" s="30">
        <f>'Formula for adding in new comp'!F276</f>
        <v>3</v>
      </c>
      <c r="E382" s="30">
        <f>'Formula for adding in new comp'!I276</f>
        <v>0</v>
      </c>
      <c r="F382" t="str">
        <f t="shared" si="6"/>
        <v>77130</v>
      </c>
      <c r="G382" t="s">
        <v>527</v>
      </c>
      <c r="H382" t="s">
        <v>485</v>
      </c>
    </row>
    <row r="383" spans="1:8" x14ac:dyDescent="0.25">
      <c r="A383" s="30" t="str">
        <f>'Formula for adding in new comp'!A344</f>
        <v>7</v>
      </c>
      <c r="B383" s="30" t="str">
        <f>'Formula for adding in new comp'!B344</f>
        <v>7</v>
      </c>
      <c r="C383" s="30" t="str">
        <f>'Formula for adding in new comp'!C344</f>
        <v>1</v>
      </c>
      <c r="D383" s="30">
        <f>'Formula for adding in new comp'!F344</f>
        <v>2</v>
      </c>
      <c r="E383" s="30">
        <f>'Formula for adding in new comp'!I344</f>
        <v>1</v>
      </c>
      <c r="F383" t="str">
        <f t="shared" si="6"/>
        <v>77121</v>
      </c>
      <c r="G383" t="s">
        <v>527</v>
      </c>
      <c r="H383" t="s">
        <v>123</v>
      </c>
    </row>
    <row r="384" spans="1:8" x14ac:dyDescent="0.25">
      <c r="A384" s="30" t="str">
        <f>'Formula for adding in new comp'!A345</f>
        <v>7</v>
      </c>
      <c r="B384" s="30" t="str">
        <f>'Formula for adding in new comp'!B345</f>
        <v>7</v>
      </c>
      <c r="C384" s="30" t="str">
        <f>'Formula for adding in new comp'!C345</f>
        <v>1</v>
      </c>
      <c r="D384" s="30">
        <f>'Formula for adding in new comp'!F345</f>
        <v>2</v>
      </c>
      <c r="E384" s="30">
        <f>'Formula for adding in new comp'!I345</f>
        <v>2</v>
      </c>
      <c r="F384" t="str">
        <f t="shared" si="6"/>
        <v>77122</v>
      </c>
      <c r="G384" t="s">
        <v>527</v>
      </c>
      <c r="H384" t="s">
        <v>124</v>
      </c>
    </row>
    <row r="385" spans="1:8" x14ac:dyDescent="0.25">
      <c r="A385" s="30" t="str">
        <f>'Formula for adding in new comp'!A346</f>
        <v>7</v>
      </c>
      <c r="B385" s="30" t="str">
        <f>'Formula for adding in new comp'!B346</f>
        <v>7</v>
      </c>
      <c r="C385" s="30" t="str">
        <f>'Formula for adding in new comp'!C346</f>
        <v>1</v>
      </c>
      <c r="D385" s="30">
        <f>'Formula for adding in new comp'!F346</f>
        <v>2</v>
      </c>
      <c r="E385" s="30">
        <f>'Formula for adding in new comp'!I346</f>
        <v>3</v>
      </c>
      <c r="F385" t="str">
        <f t="shared" si="6"/>
        <v>77123</v>
      </c>
      <c r="G385" t="s">
        <v>527</v>
      </c>
      <c r="H385" t="s">
        <v>125</v>
      </c>
    </row>
    <row r="386" spans="1:8" x14ac:dyDescent="0.25">
      <c r="A386" s="30" t="str">
        <f>'Formula for adding in new comp'!A275</f>
        <v>7</v>
      </c>
      <c r="B386" s="30" t="str">
        <f>'Formula for adding in new comp'!B275</f>
        <v>7</v>
      </c>
      <c r="C386" s="30" t="str">
        <f>'Formula for adding in new comp'!C275</f>
        <v>1</v>
      </c>
      <c r="D386" s="30">
        <f>'Formula for adding in new comp'!F275</f>
        <v>3</v>
      </c>
      <c r="E386" s="30">
        <f>'Formula for adding in new comp'!I275</f>
        <v>0</v>
      </c>
      <c r="F386" t="str">
        <f t="shared" ref="F386:F435" si="7">A386&amp;B386&amp;C386&amp;D386&amp;E386</f>
        <v>77130</v>
      </c>
      <c r="G386" t="s">
        <v>527</v>
      </c>
      <c r="H386" t="s">
        <v>484</v>
      </c>
    </row>
    <row r="387" spans="1:8" x14ac:dyDescent="0.25">
      <c r="A387" s="30" t="str">
        <f>'Formula for adding in new comp'!A288</f>
        <v>7</v>
      </c>
      <c r="B387" s="30" t="str">
        <f>'Formula for adding in new comp'!B288</f>
        <v>7</v>
      </c>
      <c r="C387" s="30" t="str">
        <f>'Formula for adding in new comp'!C288</f>
        <v>1</v>
      </c>
      <c r="D387" s="30">
        <f>'Formula for adding in new comp'!F288</f>
        <v>4</v>
      </c>
      <c r="E387" s="30">
        <f>'Formula for adding in new comp'!I288</f>
        <v>0</v>
      </c>
      <c r="F387" t="str">
        <f t="shared" si="7"/>
        <v>77140</v>
      </c>
      <c r="G387" t="s">
        <v>527</v>
      </c>
      <c r="H387" t="s">
        <v>497</v>
      </c>
    </row>
    <row r="388" spans="1:8" x14ac:dyDescent="0.25">
      <c r="A388" s="30" t="str">
        <f>'Formula for adding in new comp'!A199</f>
        <v>7</v>
      </c>
      <c r="B388" s="30" t="str">
        <f>'Formula for adding in new comp'!B199</f>
        <v>8</v>
      </c>
      <c r="C388" s="30">
        <f>'Formula for adding in new comp'!C199</f>
        <v>0</v>
      </c>
      <c r="D388" s="30">
        <f>'Formula for adding in new comp'!F199</f>
        <v>0</v>
      </c>
      <c r="E388" s="30">
        <f>'Formula for adding in new comp'!I199</f>
        <v>0</v>
      </c>
      <c r="F388" t="str">
        <f t="shared" si="7"/>
        <v>78000</v>
      </c>
      <c r="G388" t="s">
        <v>526</v>
      </c>
      <c r="H388" t="s">
        <v>408</v>
      </c>
    </row>
    <row r="389" spans="1:8" x14ac:dyDescent="0.25">
      <c r="A389" s="30" t="str">
        <f>'Formula for adding in new comp'!A213</f>
        <v>7</v>
      </c>
      <c r="B389" s="30" t="str">
        <f>'Formula for adding in new comp'!B213</f>
        <v>8</v>
      </c>
      <c r="C389" s="30" t="str">
        <f>'Formula for adding in new comp'!C213</f>
        <v>1</v>
      </c>
      <c r="D389" s="30">
        <f>'Formula for adding in new comp'!F213</f>
        <v>0</v>
      </c>
      <c r="E389" s="30">
        <f>'Formula for adding in new comp'!I213</f>
        <v>0</v>
      </c>
      <c r="F389" t="str">
        <f t="shared" si="7"/>
        <v>78100</v>
      </c>
      <c r="G389" t="s">
        <v>527</v>
      </c>
      <c r="H389" t="s">
        <v>422</v>
      </c>
    </row>
    <row r="390" spans="1:8" x14ac:dyDescent="0.25">
      <c r="A390" s="30" t="str">
        <f>'Formula for adding in new comp'!A267</f>
        <v>7</v>
      </c>
      <c r="B390" s="30" t="str">
        <f>'Formula for adding in new comp'!B267</f>
        <v>8</v>
      </c>
      <c r="C390" s="30" t="str">
        <f>'Formula for adding in new comp'!C267</f>
        <v>1</v>
      </c>
      <c r="D390" s="30">
        <f>'Formula for adding in new comp'!F267</f>
        <v>1</v>
      </c>
      <c r="E390" s="30">
        <f>'Formula for adding in new comp'!I267</f>
        <v>0</v>
      </c>
      <c r="F390" t="str">
        <f t="shared" si="7"/>
        <v>78110</v>
      </c>
      <c r="G390" t="s">
        <v>527</v>
      </c>
      <c r="H390" t="s">
        <v>476</v>
      </c>
    </row>
    <row r="391" spans="1:8" x14ac:dyDescent="0.25">
      <c r="A391" s="30" t="str">
        <f>'Formula for adding in new comp'!A270</f>
        <v>7</v>
      </c>
      <c r="B391" s="30" t="str">
        <f>'Formula for adding in new comp'!B270</f>
        <v>8</v>
      </c>
      <c r="C391" s="30" t="str">
        <f>'Formula for adding in new comp'!C270</f>
        <v>1</v>
      </c>
      <c r="D391" s="30">
        <f>'Formula for adding in new comp'!F270</f>
        <v>2</v>
      </c>
      <c r="E391" s="30">
        <f>'Formula for adding in new comp'!I270</f>
        <v>0</v>
      </c>
      <c r="F391" t="str">
        <f t="shared" si="7"/>
        <v>78120</v>
      </c>
      <c r="G391" t="s">
        <v>527</v>
      </c>
      <c r="H391" t="s">
        <v>479</v>
      </c>
    </row>
    <row r="392" spans="1:8" x14ac:dyDescent="0.25">
      <c r="A392" s="30" t="str">
        <f>'Formula for adding in new comp'!A285</f>
        <v>7</v>
      </c>
      <c r="B392" s="30" t="str">
        <f>'Formula for adding in new comp'!B285</f>
        <v>8</v>
      </c>
      <c r="C392" s="30" t="str">
        <f>'Formula for adding in new comp'!C285</f>
        <v>1</v>
      </c>
      <c r="D392" s="30">
        <f>'Formula for adding in new comp'!F285</f>
        <v>3</v>
      </c>
      <c r="E392" s="30">
        <f>'Formula for adding in new comp'!I285</f>
        <v>0</v>
      </c>
      <c r="F392" t="str">
        <f t="shared" si="7"/>
        <v>78130</v>
      </c>
      <c r="G392" t="s">
        <v>527</v>
      </c>
      <c r="H392" t="s">
        <v>494</v>
      </c>
    </row>
    <row r="393" spans="1:8" x14ac:dyDescent="0.25">
      <c r="A393" s="30" t="str">
        <f>'Formula for adding in new comp'!A268</f>
        <v>7</v>
      </c>
      <c r="B393" s="30" t="str">
        <f>'Formula for adding in new comp'!B268</f>
        <v>8</v>
      </c>
      <c r="C393" s="30" t="str">
        <f>'Formula for adding in new comp'!C268</f>
        <v>1</v>
      </c>
      <c r="D393" s="30">
        <f>'Formula for adding in new comp'!F268</f>
        <v>2</v>
      </c>
      <c r="E393" s="30">
        <f>'Formula for adding in new comp'!I268</f>
        <v>0</v>
      </c>
      <c r="F393" t="str">
        <f t="shared" si="7"/>
        <v>78120</v>
      </c>
      <c r="G393" t="s">
        <v>527</v>
      </c>
      <c r="H393" t="s">
        <v>477</v>
      </c>
    </row>
    <row r="394" spans="1:8" x14ac:dyDescent="0.25">
      <c r="A394" s="30" t="str">
        <f>'Formula for adding in new comp'!A284</f>
        <v>7</v>
      </c>
      <c r="B394" s="30" t="str">
        <f>'Formula for adding in new comp'!B284</f>
        <v>8</v>
      </c>
      <c r="C394" s="30" t="str">
        <f>'Formula for adding in new comp'!C284</f>
        <v>1</v>
      </c>
      <c r="D394" s="30">
        <f>'Formula for adding in new comp'!F284</f>
        <v>3</v>
      </c>
      <c r="E394" s="30">
        <f>'Formula for adding in new comp'!I284</f>
        <v>0</v>
      </c>
      <c r="F394" t="str">
        <f t="shared" si="7"/>
        <v>78130</v>
      </c>
      <c r="G394" t="s">
        <v>527</v>
      </c>
      <c r="H394" t="s">
        <v>493</v>
      </c>
    </row>
    <row r="395" spans="1:8" x14ac:dyDescent="0.25">
      <c r="A395" s="30" t="str">
        <f>'Formula for adding in new comp'!A283</f>
        <v>7</v>
      </c>
      <c r="B395" s="30" t="str">
        <f>'Formula for adding in new comp'!B283</f>
        <v>8</v>
      </c>
      <c r="C395" s="30" t="str">
        <f>'Formula for adding in new comp'!C283</f>
        <v>1</v>
      </c>
      <c r="D395" s="30">
        <f>'Formula for adding in new comp'!F283</f>
        <v>3</v>
      </c>
      <c r="E395" s="30">
        <f>'Formula for adding in new comp'!I283</f>
        <v>0</v>
      </c>
      <c r="F395" t="str">
        <f t="shared" si="7"/>
        <v>78130</v>
      </c>
      <c r="G395" t="s">
        <v>527</v>
      </c>
      <c r="H395" t="s">
        <v>492</v>
      </c>
    </row>
    <row r="396" spans="1:8" x14ac:dyDescent="0.25">
      <c r="A396" s="30" t="str">
        <f>'Formula for adding in new comp'!A289</f>
        <v>7</v>
      </c>
      <c r="B396" s="30" t="str">
        <f>'Formula for adding in new comp'!B289</f>
        <v>8</v>
      </c>
      <c r="C396" s="30" t="str">
        <f>'Formula for adding in new comp'!C289</f>
        <v>1</v>
      </c>
      <c r="D396" s="30">
        <f>'Formula for adding in new comp'!F289</f>
        <v>4</v>
      </c>
      <c r="E396" s="30">
        <f>'Formula for adding in new comp'!I289</f>
        <v>0</v>
      </c>
      <c r="F396" t="str">
        <f t="shared" si="7"/>
        <v>78140</v>
      </c>
      <c r="G396" t="s">
        <v>527</v>
      </c>
      <c r="H396" t="s">
        <v>498</v>
      </c>
    </row>
    <row r="397" spans="1:8" x14ac:dyDescent="0.25">
      <c r="A397" s="30" t="str">
        <f>'Formula for adding in new comp'!A271</f>
        <v>7</v>
      </c>
      <c r="B397" s="30" t="str">
        <f>'Formula for adding in new comp'!B271</f>
        <v>8</v>
      </c>
      <c r="C397" s="30" t="str">
        <f>'Formula for adding in new comp'!C271</f>
        <v>1</v>
      </c>
      <c r="D397" s="30">
        <f>'Formula for adding in new comp'!F271</f>
        <v>2</v>
      </c>
      <c r="E397" s="30">
        <f>'Formula for adding in new comp'!I271</f>
        <v>0</v>
      </c>
      <c r="F397" t="str">
        <f t="shared" si="7"/>
        <v>78120</v>
      </c>
      <c r="G397" t="s">
        <v>527</v>
      </c>
      <c r="H397" t="s">
        <v>480</v>
      </c>
    </row>
    <row r="398" spans="1:8" x14ac:dyDescent="0.25">
      <c r="A398" s="30" t="str">
        <f>'Formula for adding in new comp'!A286</f>
        <v>7</v>
      </c>
      <c r="B398" s="30" t="str">
        <f>'Formula for adding in new comp'!B286</f>
        <v>8</v>
      </c>
      <c r="C398" s="30" t="str">
        <f>'Formula for adding in new comp'!C286</f>
        <v>1</v>
      </c>
      <c r="D398" s="30">
        <f>'Formula for adding in new comp'!F286</f>
        <v>3</v>
      </c>
      <c r="E398" s="30">
        <f>'Formula for adding in new comp'!I286</f>
        <v>0</v>
      </c>
      <c r="F398" t="str">
        <f t="shared" si="7"/>
        <v>78130</v>
      </c>
      <c r="G398" t="s">
        <v>527</v>
      </c>
      <c r="H398" t="s">
        <v>495</v>
      </c>
    </row>
    <row r="399" spans="1:8" x14ac:dyDescent="0.25">
      <c r="A399" s="30" t="str">
        <f>'Formula for adding in new comp'!A233</f>
        <v>7</v>
      </c>
      <c r="B399" s="30" t="str">
        <f>'Formula for adding in new comp'!B233</f>
        <v>8</v>
      </c>
      <c r="C399" s="30">
        <f>'Formula for adding in new comp'!C233</f>
        <v>0</v>
      </c>
      <c r="D399" s="30">
        <f>'Formula for adding in new comp'!F233</f>
        <v>1</v>
      </c>
      <c r="E399" s="30">
        <f>'Formula for adding in new comp'!I233</f>
        <v>0</v>
      </c>
      <c r="F399" t="str">
        <f t="shared" si="7"/>
        <v>78010</v>
      </c>
      <c r="G399" t="s">
        <v>526</v>
      </c>
      <c r="H399" t="s">
        <v>442</v>
      </c>
    </row>
    <row r="400" spans="1:8" x14ac:dyDescent="0.25">
      <c r="A400" s="30" t="str">
        <f>'Formula for adding in new comp'!A235</f>
        <v>7</v>
      </c>
      <c r="B400" s="30" t="str">
        <f>'Formula for adding in new comp'!B235</f>
        <v>8</v>
      </c>
      <c r="C400" s="30">
        <f>'Formula for adding in new comp'!C235</f>
        <v>0</v>
      </c>
      <c r="D400" s="30">
        <f>'Formula for adding in new comp'!F235</f>
        <v>1</v>
      </c>
      <c r="E400" s="30">
        <f>'Formula for adding in new comp'!I235</f>
        <v>0</v>
      </c>
      <c r="F400" t="str">
        <f t="shared" si="7"/>
        <v>78010</v>
      </c>
      <c r="G400" t="s">
        <v>526</v>
      </c>
      <c r="H400" t="s">
        <v>444</v>
      </c>
    </row>
    <row r="401" spans="1:8" x14ac:dyDescent="0.25">
      <c r="A401" s="30" t="str">
        <f>'Formula for adding in new comp'!A300</f>
        <v>7</v>
      </c>
      <c r="B401" s="30" t="str">
        <f>'Formula for adding in new comp'!B300</f>
        <v>8</v>
      </c>
      <c r="C401" s="30">
        <f>'Formula for adding in new comp'!C300</f>
        <v>0</v>
      </c>
      <c r="D401" s="30">
        <f>'Formula for adding in new comp'!F300</f>
        <v>0</v>
      </c>
      <c r="E401" s="30">
        <f>'Formula for adding in new comp'!I300</f>
        <v>1</v>
      </c>
      <c r="F401" t="str">
        <f t="shared" si="7"/>
        <v>78001</v>
      </c>
      <c r="G401" t="s">
        <v>526</v>
      </c>
      <c r="H401" t="s">
        <v>79</v>
      </c>
    </row>
    <row r="402" spans="1:8" x14ac:dyDescent="0.25">
      <c r="A402" s="30" t="str">
        <f>'Formula for adding in new comp'!A301</f>
        <v>7</v>
      </c>
      <c r="B402" s="30" t="str">
        <f>'Formula for adding in new comp'!B301</f>
        <v>8</v>
      </c>
      <c r="C402" s="30">
        <f>'Formula for adding in new comp'!C301</f>
        <v>0</v>
      </c>
      <c r="D402" s="30">
        <f>'Formula for adding in new comp'!F301</f>
        <v>0</v>
      </c>
      <c r="E402" s="30">
        <f>'Formula for adding in new comp'!I301</f>
        <v>2</v>
      </c>
      <c r="F402" t="str">
        <f t="shared" si="7"/>
        <v>78002</v>
      </c>
      <c r="G402" t="s">
        <v>526</v>
      </c>
      <c r="H402" t="s">
        <v>80</v>
      </c>
    </row>
    <row r="403" spans="1:8" x14ac:dyDescent="0.25">
      <c r="A403" s="30" t="str">
        <f>'Formula for adding in new comp'!A302</f>
        <v>7</v>
      </c>
      <c r="B403" s="30" t="str">
        <f>'Formula for adding in new comp'!B302</f>
        <v>8</v>
      </c>
      <c r="C403" s="30">
        <f>'Formula for adding in new comp'!C302</f>
        <v>0</v>
      </c>
      <c r="D403" s="30">
        <f>'Formula for adding in new comp'!F302</f>
        <v>0</v>
      </c>
      <c r="E403" s="30">
        <f>'Formula for adding in new comp'!I302</f>
        <v>3</v>
      </c>
      <c r="F403" t="str">
        <f t="shared" si="7"/>
        <v>78003</v>
      </c>
      <c r="G403" t="s">
        <v>526</v>
      </c>
      <c r="H403" t="s">
        <v>81</v>
      </c>
    </row>
    <row r="404" spans="1:8" x14ac:dyDescent="0.25">
      <c r="A404" s="30" t="str">
        <f>'Formula for adding in new comp'!A101</f>
        <v>8</v>
      </c>
      <c r="B404" s="30" t="str">
        <f>'Formula for adding in new comp'!B101</f>
        <v>3</v>
      </c>
      <c r="C404" s="30">
        <f>'Formula for adding in new comp'!C101</f>
        <v>0</v>
      </c>
      <c r="D404" s="30">
        <f>'Formula for adding in new comp'!F101</f>
        <v>0</v>
      </c>
      <c r="E404" s="30">
        <f>'Formula for adding in new comp'!I101</f>
        <v>0</v>
      </c>
      <c r="F404" t="str">
        <f t="shared" si="7"/>
        <v>83000</v>
      </c>
      <c r="G404" t="s">
        <v>526</v>
      </c>
      <c r="H404" t="s">
        <v>310</v>
      </c>
    </row>
    <row r="405" spans="1:8" x14ac:dyDescent="0.25">
      <c r="A405" s="30" t="str">
        <f>'Formula for adding in new comp'!A130</f>
        <v>8</v>
      </c>
      <c r="B405" s="30" t="str">
        <f>'Formula for adding in new comp'!B130</f>
        <v>3</v>
      </c>
      <c r="C405" s="30" t="str">
        <f>'Formula for adding in new comp'!C130</f>
        <v>1</v>
      </c>
      <c r="D405" s="30">
        <f>'Formula for adding in new comp'!F130</f>
        <v>0</v>
      </c>
      <c r="E405" s="30">
        <f>'Formula for adding in new comp'!I130</f>
        <v>0</v>
      </c>
      <c r="F405" t="str">
        <f t="shared" si="7"/>
        <v>83100</v>
      </c>
      <c r="G405" t="s">
        <v>527</v>
      </c>
      <c r="H405" t="s">
        <v>339</v>
      </c>
    </row>
    <row r="406" spans="1:8" x14ac:dyDescent="0.25">
      <c r="A406" s="30" t="str">
        <f>'Formula for adding in new comp'!A135</f>
        <v>8</v>
      </c>
      <c r="B406" s="30" t="str">
        <f>'Formula for adding in new comp'!B135</f>
        <v>4</v>
      </c>
      <c r="C406" s="30">
        <f>'Formula for adding in new comp'!C135</f>
        <v>0</v>
      </c>
      <c r="D406" s="30">
        <f>'Formula for adding in new comp'!F135</f>
        <v>0</v>
      </c>
      <c r="E406" s="30">
        <f>'Formula for adding in new comp'!I135</f>
        <v>0</v>
      </c>
      <c r="F406" t="str">
        <f t="shared" si="7"/>
        <v>84000</v>
      </c>
      <c r="G406" t="s">
        <v>526</v>
      </c>
      <c r="H406" t="s">
        <v>344</v>
      </c>
    </row>
    <row r="407" spans="1:8" x14ac:dyDescent="0.25">
      <c r="A407" s="30" t="str">
        <f>'Formula for adding in new comp'!A163</f>
        <v>8</v>
      </c>
      <c r="B407" s="30" t="str">
        <f>'Formula for adding in new comp'!B163</f>
        <v>5</v>
      </c>
      <c r="C407" s="30">
        <f>'Formula for adding in new comp'!C163</f>
        <v>0</v>
      </c>
      <c r="D407" s="30">
        <f>'Formula for adding in new comp'!F163</f>
        <v>0</v>
      </c>
      <c r="E407" s="30">
        <f>'Formula for adding in new comp'!I163</f>
        <v>0</v>
      </c>
      <c r="F407" t="str">
        <f t="shared" si="7"/>
        <v>85000</v>
      </c>
      <c r="G407" t="s">
        <v>526</v>
      </c>
      <c r="H407" t="s">
        <v>372</v>
      </c>
    </row>
    <row r="408" spans="1:8" x14ac:dyDescent="0.25">
      <c r="A408" s="30" t="str">
        <f>'Formula for adding in new comp'!A179</f>
        <v>8</v>
      </c>
      <c r="B408" s="30" t="str">
        <f>'Formula for adding in new comp'!B179</f>
        <v>5</v>
      </c>
      <c r="C408" s="30" t="str">
        <f>'Formula for adding in new comp'!C179</f>
        <v>1</v>
      </c>
      <c r="D408" s="30">
        <f>'Formula for adding in new comp'!F179</f>
        <v>0</v>
      </c>
      <c r="E408" s="30">
        <f>'Formula for adding in new comp'!I179</f>
        <v>0</v>
      </c>
      <c r="F408" t="str">
        <f t="shared" si="7"/>
        <v>85100</v>
      </c>
      <c r="G408" t="s">
        <v>527</v>
      </c>
      <c r="H408" t="s">
        <v>388</v>
      </c>
    </row>
    <row r="409" spans="1:8" x14ac:dyDescent="0.25">
      <c r="A409" s="30" t="str">
        <f>'Formula for adding in new comp'!A306</f>
        <v>8</v>
      </c>
      <c r="B409" s="30" t="str">
        <f>'Formula for adding in new comp'!B306</f>
        <v>5</v>
      </c>
      <c r="C409" s="30">
        <f>'Formula for adding in new comp'!C306</f>
        <v>0</v>
      </c>
      <c r="D409" s="30">
        <f>'Formula for adding in new comp'!F306</f>
        <v>0</v>
      </c>
      <c r="E409" s="30">
        <f>'Formula for adding in new comp'!I306</f>
        <v>1</v>
      </c>
      <c r="F409" t="str">
        <f t="shared" si="7"/>
        <v>85001</v>
      </c>
      <c r="G409" t="s">
        <v>526</v>
      </c>
      <c r="H409" t="s">
        <v>85</v>
      </c>
    </row>
    <row r="410" spans="1:8" x14ac:dyDescent="0.25">
      <c r="A410" s="30" t="str">
        <f>'Formula for adding in new comp'!A305</f>
        <v>8</v>
      </c>
      <c r="B410" s="30" t="str">
        <f>'Formula for adding in new comp'!B305</f>
        <v>5</v>
      </c>
      <c r="C410" s="30">
        <f>'Formula for adding in new comp'!C305</f>
        <v>0</v>
      </c>
      <c r="D410" s="30">
        <f>'Formula for adding in new comp'!F305</f>
        <v>0</v>
      </c>
      <c r="E410" s="30">
        <f>'Formula for adding in new comp'!I305</f>
        <v>2</v>
      </c>
      <c r="F410" t="str">
        <f t="shared" si="7"/>
        <v>85002</v>
      </c>
      <c r="G410" t="s">
        <v>526</v>
      </c>
      <c r="H410" t="s">
        <v>84</v>
      </c>
    </row>
    <row r="411" spans="1:8" x14ac:dyDescent="0.25">
      <c r="A411" s="30" t="str">
        <f>'Formula for adding in new comp'!A304</f>
        <v>8</v>
      </c>
      <c r="B411" s="30" t="str">
        <f>'Formula for adding in new comp'!B304</f>
        <v>5</v>
      </c>
      <c r="C411" s="30">
        <f>'Formula for adding in new comp'!C304</f>
        <v>0</v>
      </c>
      <c r="D411" s="30">
        <f>'Formula for adding in new comp'!F304</f>
        <v>0</v>
      </c>
      <c r="E411" s="30">
        <f>'Formula for adding in new comp'!I304</f>
        <v>3</v>
      </c>
      <c r="F411" t="str">
        <f t="shared" si="7"/>
        <v>85003</v>
      </c>
      <c r="G411" t="s">
        <v>526</v>
      </c>
      <c r="H411" t="s">
        <v>83</v>
      </c>
    </row>
    <row r="412" spans="1:8" x14ac:dyDescent="0.25">
      <c r="A412" s="30" t="str">
        <f>'Formula for adding in new comp'!A184</f>
        <v>8</v>
      </c>
      <c r="B412" s="30" t="str">
        <f>'Formula for adding in new comp'!B184</f>
        <v>6</v>
      </c>
      <c r="C412" s="30">
        <f>'Formula for adding in new comp'!C184</f>
        <v>0</v>
      </c>
      <c r="D412" s="30">
        <f>'Formula for adding in new comp'!F184</f>
        <v>0</v>
      </c>
      <c r="E412" s="30">
        <f>'Formula for adding in new comp'!I184</f>
        <v>0</v>
      </c>
      <c r="F412" t="str">
        <f t="shared" si="7"/>
        <v>86000</v>
      </c>
      <c r="G412" t="s">
        <v>526</v>
      </c>
      <c r="H412" t="s">
        <v>393</v>
      </c>
    </row>
    <row r="413" spans="1:8" x14ac:dyDescent="0.25">
      <c r="A413" s="30" t="str">
        <f>'Formula for adding in new comp'!A203</f>
        <v>8</v>
      </c>
      <c r="B413" s="30" t="str">
        <f>'Formula for adding in new comp'!B203</f>
        <v>7</v>
      </c>
      <c r="C413" s="30">
        <f>'Formula for adding in new comp'!C203</f>
        <v>0</v>
      </c>
      <c r="D413" s="30">
        <f>'Formula for adding in new comp'!F203</f>
        <v>0</v>
      </c>
      <c r="E413" s="30">
        <f>'Formula for adding in new comp'!I203</f>
        <v>0</v>
      </c>
      <c r="F413" t="str">
        <f t="shared" si="7"/>
        <v>87000</v>
      </c>
      <c r="G413" t="s">
        <v>526</v>
      </c>
      <c r="H413" t="s">
        <v>412</v>
      </c>
    </row>
    <row r="414" spans="1:8" x14ac:dyDescent="0.25">
      <c r="A414" s="30" t="str">
        <f>'Formula for adding in new comp'!A223</f>
        <v>8</v>
      </c>
      <c r="B414" s="30" t="str">
        <f>'Formula for adding in new comp'!B223</f>
        <v>8</v>
      </c>
      <c r="C414" s="30">
        <f>'Formula for adding in new comp'!C223</f>
        <v>0</v>
      </c>
      <c r="D414" s="30">
        <f>'Formula for adding in new comp'!F223</f>
        <v>0</v>
      </c>
      <c r="E414" s="30">
        <f>'Formula for adding in new comp'!I223</f>
        <v>0</v>
      </c>
      <c r="F414" t="str">
        <f t="shared" si="7"/>
        <v>88000</v>
      </c>
      <c r="G414" t="s">
        <v>526</v>
      </c>
      <c r="H414" t="s">
        <v>432</v>
      </c>
    </row>
    <row r="415" spans="1:8" x14ac:dyDescent="0.25">
      <c r="A415" s="30" t="str">
        <f>'Formula for adding in new comp'!A243</f>
        <v>8</v>
      </c>
      <c r="B415" s="30" t="str">
        <f>'Formula for adding in new comp'!B243</f>
        <v>8</v>
      </c>
      <c r="C415" s="30" t="str">
        <f>'Formula for adding in new comp'!C243</f>
        <v>1</v>
      </c>
      <c r="D415" s="30">
        <f>'Formula for adding in new comp'!F243</f>
        <v>0</v>
      </c>
      <c r="E415" s="30">
        <f>'Formula for adding in new comp'!I243</f>
        <v>0</v>
      </c>
      <c r="F415" t="str">
        <f t="shared" si="7"/>
        <v>88100</v>
      </c>
      <c r="G415" t="s">
        <v>527</v>
      </c>
      <c r="H415" t="s">
        <v>452</v>
      </c>
    </row>
    <row r="416" spans="1:8" x14ac:dyDescent="0.25">
      <c r="A416" s="30" t="str">
        <f>'Formula for adding in new comp'!A246</f>
        <v>8</v>
      </c>
      <c r="B416" s="30" t="str">
        <f>'Formula for adding in new comp'!B246</f>
        <v>9</v>
      </c>
      <c r="C416" s="30">
        <f>'Formula for adding in new comp'!C246</f>
        <v>0</v>
      </c>
      <c r="D416" s="30">
        <f>'Formula for adding in new comp'!F246</f>
        <v>0</v>
      </c>
      <c r="E416" s="30">
        <f>'Formula for adding in new comp'!I246</f>
        <v>0</v>
      </c>
      <c r="F416" t="str">
        <f t="shared" si="7"/>
        <v>89000</v>
      </c>
      <c r="G416" t="s">
        <v>526</v>
      </c>
      <c r="H416" t="s">
        <v>455</v>
      </c>
    </row>
    <row r="417" spans="1:17" x14ac:dyDescent="0.25">
      <c r="A417" s="30" t="str">
        <f>'Formula for adding in new comp'!A255</f>
        <v>8</v>
      </c>
      <c r="B417" s="30" t="str">
        <f>'Formula for adding in new comp'!B255</f>
        <v>9</v>
      </c>
      <c r="C417" s="30" t="str">
        <f>'Formula for adding in new comp'!C255</f>
        <v>1</v>
      </c>
      <c r="D417" s="30">
        <f>'Formula for adding in new comp'!F255</f>
        <v>0</v>
      </c>
      <c r="E417" s="30">
        <f>'Formula for adding in new comp'!I255</f>
        <v>0</v>
      </c>
      <c r="F417" t="str">
        <f t="shared" si="7"/>
        <v>89100</v>
      </c>
      <c r="G417" t="s">
        <v>527</v>
      </c>
      <c r="H417" t="s">
        <v>464</v>
      </c>
    </row>
    <row r="418" spans="1:17" x14ac:dyDescent="0.25">
      <c r="A418" s="30" t="str">
        <f>'Formula for adding in new comp'!A292</f>
        <v>8</v>
      </c>
      <c r="B418" s="30" t="str">
        <f>'Formula for adding in new comp'!B292</f>
        <v>9</v>
      </c>
      <c r="C418" s="30" t="str">
        <f>'Formula for adding in new comp'!C292</f>
        <v>1</v>
      </c>
      <c r="D418" s="30">
        <f>'Formula for adding in new comp'!F292</f>
        <v>3</v>
      </c>
      <c r="E418" s="30">
        <f>'Formula for adding in new comp'!I292</f>
        <v>0</v>
      </c>
      <c r="F418" t="str">
        <f t="shared" si="7"/>
        <v>89130</v>
      </c>
      <c r="G418" t="s">
        <v>527</v>
      </c>
      <c r="H418" t="s">
        <v>501</v>
      </c>
    </row>
    <row r="419" spans="1:17" x14ac:dyDescent="0.25">
      <c r="A419" s="30" t="str">
        <f>'Formula for adding in new comp'!A291</f>
        <v>8</v>
      </c>
      <c r="B419" s="30" t="str">
        <f>'Formula for adding in new comp'!B291</f>
        <v>9</v>
      </c>
      <c r="C419" s="30" t="str">
        <f>'Formula for adding in new comp'!C291</f>
        <v>1</v>
      </c>
      <c r="D419" s="30">
        <f>'Formula for adding in new comp'!F291</f>
        <v>3</v>
      </c>
      <c r="E419" s="30">
        <f>'Formula for adding in new comp'!I291</f>
        <v>0</v>
      </c>
      <c r="F419" t="str">
        <f t="shared" si="7"/>
        <v>89130</v>
      </c>
      <c r="G419" t="s">
        <v>527</v>
      </c>
      <c r="H419" t="s">
        <v>500</v>
      </c>
    </row>
    <row r="420" spans="1:17" x14ac:dyDescent="0.25">
      <c r="A420" s="30" t="str">
        <f>'Formula for adding in new comp'!A290</f>
        <v>8</v>
      </c>
      <c r="B420" s="30" t="str">
        <f>'Formula for adding in new comp'!B290</f>
        <v>9</v>
      </c>
      <c r="C420" s="30" t="str">
        <f>'Formula for adding in new comp'!C290</f>
        <v>1</v>
      </c>
      <c r="D420" s="30">
        <f>'Formula for adding in new comp'!F290</f>
        <v>3</v>
      </c>
      <c r="E420" s="30">
        <f>'Formula for adding in new comp'!I290</f>
        <v>0</v>
      </c>
      <c r="F420" t="str">
        <f t="shared" si="7"/>
        <v>89130</v>
      </c>
      <c r="G420" t="s">
        <v>527</v>
      </c>
      <c r="H420" t="s">
        <v>499</v>
      </c>
    </row>
    <row r="421" spans="1:17" x14ac:dyDescent="0.25">
      <c r="A421" s="30" t="str">
        <f>'Formula for adding in new comp'!A295</f>
        <v>8</v>
      </c>
      <c r="B421" s="30" t="str">
        <f>'Formula for adding in new comp'!B295</f>
        <v>9</v>
      </c>
      <c r="C421" s="30" t="str">
        <f>'Formula for adding in new comp'!C295</f>
        <v>1</v>
      </c>
      <c r="D421" s="30">
        <f>'Formula for adding in new comp'!F295</f>
        <v>4</v>
      </c>
      <c r="E421" s="30">
        <f>'Formula for adding in new comp'!I295</f>
        <v>0</v>
      </c>
      <c r="F421" t="str">
        <f t="shared" si="7"/>
        <v>89140</v>
      </c>
      <c r="G421" t="s">
        <v>527</v>
      </c>
      <c r="H421" t="s">
        <v>504</v>
      </c>
    </row>
    <row r="422" spans="1:17" x14ac:dyDescent="0.25">
      <c r="A422" s="30" t="str">
        <f>'Formula for adding in new comp'!A269</f>
        <v>9</v>
      </c>
      <c r="B422" s="30" t="str">
        <f>'Formula for adding in new comp'!B269</f>
        <v>10</v>
      </c>
      <c r="C422" s="30">
        <f>'Formula for adding in new comp'!C269</f>
        <v>0</v>
      </c>
      <c r="D422" s="30">
        <f>'Formula for adding in new comp'!F269</f>
        <v>0</v>
      </c>
      <c r="E422" s="30">
        <f>'Formula for adding in new comp'!I269</f>
        <v>0</v>
      </c>
      <c r="F422" t="str">
        <f t="shared" si="7"/>
        <v>910000</v>
      </c>
      <c r="G422" t="s">
        <v>526</v>
      </c>
      <c r="H422" t="s">
        <v>478</v>
      </c>
    </row>
    <row r="423" spans="1:17" x14ac:dyDescent="0.25">
      <c r="A423" s="30" t="str">
        <f>'Formula for adding in new comp'!A277</f>
        <v>9</v>
      </c>
      <c r="B423" s="30" t="str">
        <f>'Formula for adding in new comp'!B277</f>
        <v>10</v>
      </c>
      <c r="C423" s="30" t="str">
        <f>'Formula for adding in new comp'!C277</f>
        <v>1</v>
      </c>
      <c r="D423" s="30">
        <f>'Formula for adding in new comp'!F277</f>
        <v>0</v>
      </c>
      <c r="E423" s="30">
        <f>'Formula for adding in new comp'!I277</f>
        <v>0</v>
      </c>
      <c r="F423" t="str">
        <f t="shared" si="7"/>
        <v>910100</v>
      </c>
      <c r="G423" t="s">
        <v>527</v>
      </c>
      <c r="H423" t="s">
        <v>486</v>
      </c>
      <c r="O423" t="s">
        <v>22</v>
      </c>
      <c r="Q423" s="7" t="s">
        <v>22</v>
      </c>
    </row>
    <row r="424" spans="1:17" x14ac:dyDescent="0.25">
      <c r="A424" s="30" t="str">
        <f>'Formula for adding in new comp'!A296</f>
        <v>9</v>
      </c>
      <c r="B424" s="30" t="str">
        <f>'Formula for adding in new comp'!B296</f>
        <v>10</v>
      </c>
      <c r="C424" s="30" t="str">
        <f>'Formula for adding in new comp'!C296</f>
        <v>1</v>
      </c>
      <c r="D424" s="30">
        <f>'Formula for adding in new comp'!F296</f>
        <v>4</v>
      </c>
      <c r="E424" s="30">
        <f>'Formula for adding in new comp'!I296</f>
        <v>0</v>
      </c>
      <c r="F424" t="str">
        <f t="shared" si="7"/>
        <v>910140</v>
      </c>
      <c r="G424" t="s">
        <v>527</v>
      </c>
      <c r="H424" t="s">
        <v>505</v>
      </c>
    </row>
    <row r="425" spans="1:17" x14ac:dyDescent="0.25">
      <c r="A425" s="30" t="str">
        <f>'Formula for adding in new comp'!A145</f>
        <v>9</v>
      </c>
      <c r="B425" s="30" t="str">
        <f>'Formula for adding in new comp'!B145</f>
        <v>3</v>
      </c>
      <c r="C425" s="30">
        <f>'Formula for adding in new comp'!C145</f>
        <v>0</v>
      </c>
      <c r="D425" s="30">
        <f>'Formula for adding in new comp'!F145</f>
        <v>0</v>
      </c>
      <c r="E425" s="30">
        <f>'Formula for adding in new comp'!I145</f>
        <v>0</v>
      </c>
      <c r="F425" t="str">
        <f t="shared" si="7"/>
        <v>93000</v>
      </c>
      <c r="G425" t="s">
        <v>526</v>
      </c>
      <c r="H425" t="s">
        <v>354</v>
      </c>
    </row>
    <row r="426" spans="1:17" x14ac:dyDescent="0.25">
      <c r="A426" s="30" t="str">
        <f>'Formula for adding in new comp'!A168</f>
        <v>9</v>
      </c>
      <c r="B426" s="30" t="str">
        <f>'Formula for adding in new comp'!B168</f>
        <v>3</v>
      </c>
      <c r="C426" s="30" t="str">
        <f>'Formula for adding in new comp'!C168</f>
        <v>1</v>
      </c>
      <c r="D426" s="30">
        <f>'Formula for adding in new comp'!F168</f>
        <v>0</v>
      </c>
      <c r="E426" s="30">
        <f>'Formula for adding in new comp'!I168</f>
        <v>0</v>
      </c>
      <c r="F426" t="str">
        <f t="shared" si="7"/>
        <v>93100</v>
      </c>
      <c r="G426" t="s">
        <v>527</v>
      </c>
      <c r="H426" t="s">
        <v>377</v>
      </c>
    </row>
    <row r="427" spans="1:17" x14ac:dyDescent="0.25">
      <c r="A427" s="30" t="str">
        <f>'Formula for adding in new comp'!A170</f>
        <v>9</v>
      </c>
      <c r="B427" s="30" t="str">
        <f>'Formula for adding in new comp'!B170</f>
        <v>4</v>
      </c>
      <c r="C427" s="30">
        <f>'Formula for adding in new comp'!C170</f>
        <v>0</v>
      </c>
      <c r="D427" s="30">
        <f>'Formula for adding in new comp'!F170</f>
        <v>0</v>
      </c>
      <c r="E427" s="30">
        <f>'Formula for adding in new comp'!I170</f>
        <v>0</v>
      </c>
      <c r="F427" t="str">
        <f t="shared" si="7"/>
        <v>94000</v>
      </c>
      <c r="G427" t="s">
        <v>526</v>
      </c>
      <c r="H427" t="s">
        <v>379</v>
      </c>
    </row>
    <row r="428" spans="1:17" x14ac:dyDescent="0.25">
      <c r="A428" s="30" t="str">
        <f>'Formula for adding in new comp'!A187</f>
        <v>9</v>
      </c>
      <c r="B428" s="30" t="str">
        <f>'Formula for adding in new comp'!B187</f>
        <v>4</v>
      </c>
      <c r="C428" s="30" t="str">
        <f>'Formula for adding in new comp'!C187</f>
        <v>1</v>
      </c>
      <c r="D428" s="30">
        <f>'Formula for adding in new comp'!F187</f>
        <v>0</v>
      </c>
      <c r="E428" s="30">
        <f>'Formula for adding in new comp'!I187</f>
        <v>0</v>
      </c>
      <c r="F428" t="str">
        <f t="shared" si="7"/>
        <v>94100</v>
      </c>
      <c r="G428" t="s">
        <v>527</v>
      </c>
      <c r="H428" t="s">
        <v>396</v>
      </c>
    </row>
    <row r="429" spans="1:17" x14ac:dyDescent="0.25">
      <c r="A429" s="30" t="str">
        <f>'Formula for adding in new comp'!A208</f>
        <v>9</v>
      </c>
      <c r="B429" s="30" t="str">
        <f>'Formula for adding in new comp'!B208</f>
        <v>6</v>
      </c>
      <c r="C429" s="30">
        <f>'Formula for adding in new comp'!C208</f>
        <v>0</v>
      </c>
      <c r="D429" s="30">
        <f>'Formula for adding in new comp'!F208</f>
        <v>0</v>
      </c>
      <c r="E429" s="30">
        <f>'Formula for adding in new comp'!I208</f>
        <v>0</v>
      </c>
      <c r="F429" t="str">
        <f t="shared" si="7"/>
        <v>96000</v>
      </c>
      <c r="G429" t="s">
        <v>526</v>
      </c>
      <c r="H429" t="s">
        <v>417</v>
      </c>
    </row>
    <row r="430" spans="1:17" x14ac:dyDescent="0.25">
      <c r="A430" s="30" t="str">
        <f>'Formula for adding in new comp'!A227</f>
        <v>9</v>
      </c>
      <c r="B430" s="30" t="str">
        <f>'Formula for adding in new comp'!B227</f>
        <v>6</v>
      </c>
      <c r="C430" s="30" t="str">
        <f>'Formula for adding in new comp'!C227</f>
        <v>1</v>
      </c>
      <c r="D430" s="30">
        <f>'Formula for adding in new comp'!F227</f>
        <v>0</v>
      </c>
      <c r="E430" s="30">
        <f>'Formula for adding in new comp'!I227</f>
        <v>0</v>
      </c>
      <c r="F430" t="str">
        <f t="shared" si="7"/>
        <v>96100</v>
      </c>
      <c r="G430" t="s">
        <v>527</v>
      </c>
      <c r="H430" t="s">
        <v>436</v>
      </c>
    </row>
    <row r="431" spans="1:17" x14ac:dyDescent="0.25">
      <c r="A431" s="30" t="str">
        <f>'Formula for adding in new comp'!A266</f>
        <v>9</v>
      </c>
      <c r="B431" s="30" t="str">
        <f>'Formula for adding in new comp'!B266</f>
        <v>9</v>
      </c>
      <c r="C431" s="30" t="str">
        <f>'Formula for adding in new comp'!C266</f>
        <v>1</v>
      </c>
      <c r="D431" s="30">
        <f>'Formula for adding in new comp'!F266</f>
        <v>0</v>
      </c>
      <c r="E431" s="30">
        <f>'Formula for adding in new comp'!I266</f>
        <v>0</v>
      </c>
      <c r="F431" t="str">
        <f t="shared" si="7"/>
        <v>99100</v>
      </c>
      <c r="G431" t="s">
        <v>527</v>
      </c>
      <c r="H431" t="s">
        <v>475</v>
      </c>
    </row>
    <row r="432" spans="1:17" x14ac:dyDescent="0.25">
      <c r="A432" s="30" t="str">
        <f>'Formula for adding in new comp'!A287</f>
        <v>10</v>
      </c>
      <c r="B432" s="30" t="str">
        <f>'Formula for adding in new comp'!B287</f>
        <v>10</v>
      </c>
      <c r="C432" s="30" t="str">
        <f>'Formula for adding in new comp'!C287</f>
        <v>1</v>
      </c>
      <c r="D432" s="30">
        <f>'Formula for adding in new comp'!F287</f>
        <v>0</v>
      </c>
      <c r="E432" s="30">
        <f>'Formula for adding in new comp'!I287</f>
        <v>0</v>
      </c>
      <c r="F432" t="str">
        <f t="shared" si="7"/>
        <v>1010100</v>
      </c>
      <c r="G432" t="s">
        <v>527</v>
      </c>
      <c r="H432" t="s">
        <v>496</v>
      </c>
    </row>
    <row r="433" spans="1:8" x14ac:dyDescent="0.25">
      <c r="A433" s="30" t="str">
        <f>'Formula for adding in new comp'!A250</f>
        <v>10</v>
      </c>
      <c r="B433" s="30" t="str">
        <f>'Formula for adding in new comp'!B250</f>
        <v>7</v>
      </c>
      <c r="C433" s="30">
        <f>'Formula for adding in new comp'!C250</f>
        <v>0</v>
      </c>
      <c r="D433" s="30">
        <f>'Formula for adding in new comp'!F250</f>
        <v>0</v>
      </c>
      <c r="E433" s="30">
        <f>'Formula for adding in new comp'!I250</f>
        <v>0</v>
      </c>
      <c r="F433" t="str">
        <f t="shared" si="7"/>
        <v>107000</v>
      </c>
      <c r="G433" t="s">
        <v>526</v>
      </c>
      <c r="H433" t="s">
        <v>459</v>
      </c>
    </row>
    <row r="434" spans="1:8" x14ac:dyDescent="0.25">
      <c r="A434" s="30" t="str">
        <f>'Formula for adding in new comp'!A293</f>
        <v>11</v>
      </c>
      <c r="B434" s="30" t="str">
        <f>'Formula for adding in new comp'!B293</f>
        <v>11</v>
      </c>
      <c r="C434" s="30">
        <f>'Formula for adding in new comp'!C293</f>
        <v>0</v>
      </c>
      <c r="D434" s="30">
        <f>'Formula for adding in new comp'!F293</f>
        <v>1</v>
      </c>
      <c r="E434" s="30">
        <f>'Formula for adding in new comp'!I293</f>
        <v>0</v>
      </c>
      <c r="F434" t="str">
        <f t="shared" si="7"/>
        <v>1111010</v>
      </c>
      <c r="G434" t="s">
        <v>526</v>
      </c>
      <c r="H434" t="s">
        <v>502</v>
      </c>
    </row>
    <row r="435" spans="1:8" x14ac:dyDescent="0.25">
      <c r="A435" s="30" t="str">
        <f>'Formula for adding in new comp'!A294</f>
        <v>11</v>
      </c>
      <c r="B435" s="30" t="str">
        <f>'Formula for adding in new comp'!B294</f>
        <v>11</v>
      </c>
      <c r="C435" s="30">
        <f>'Formula for adding in new comp'!C294</f>
        <v>0</v>
      </c>
      <c r="D435" s="30">
        <f>'Formula for adding in new comp'!F294</f>
        <v>1</v>
      </c>
      <c r="E435" s="30">
        <f>'Formula for adding in new comp'!I294</f>
        <v>0</v>
      </c>
      <c r="F435" t="str">
        <f t="shared" si="7"/>
        <v>1111010</v>
      </c>
      <c r="G435" t="s">
        <v>526</v>
      </c>
      <c r="H435" t="s">
        <v>503</v>
      </c>
    </row>
  </sheetData>
  <autoFilter ref="H1:H443" xr:uid="{320F9931-7E13-4FED-9AB8-DD83E038190A}"/>
  <sortState xmlns:xlrd2="http://schemas.microsoft.com/office/spreadsheetml/2017/richdata2" ref="A2:H432">
    <sortCondition ref="H1"/>
  </sortState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7E2C-866E-4E02-ACF6-5352950F7E77}">
  <dimension ref="A1:Z740"/>
  <sheetViews>
    <sheetView topLeftCell="A31" workbookViewId="0">
      <selection activeCell="B50" sqref="B50"/>
    </sheetView>
  </sheetViews>
  <sheetFormatPr defaultRowHeight="15" outlineLevelCol="1" x14ac:dyDescent="0.25"/>
  <cols>
    <col min="1" max="3" width="11" style="30" customWidth="1"/>
    <col min="4" max="5" width="11" style="33" customWidth="1" outlineLevel="1"/>
    <col min="6" max="6" width="13.7109375" style="30" customWidth="1"/>
    <col min="7" max="8" width="11" style="33" customWidth="1" outlineLevel="1"/>
    <col min="9" max="9" width="11" style="30" customWidth="1"/>
    <col min="10" max="13" width="9.140625" style="30"/>
    <col min="14" max="14" width="39.28515625" style="30" bestFit="1" customWidth="1"/>
    <col min="15" max="17" width="9.140625" style="30"/>
    <col min="18" max="18" width="13.28515625" style="30" customWidth="1"/>
    <col min="19" max="16384" width="9.140625" style="30"/>
  </cols>
  <sheetData>
    <row r="1" spans="1:26" x14ac:dyDescent="0.25">
      <c r="A1" s="28" t="s">
        <v>512</v>
      </c>
      <c r="B1" s="28" t="s">
        <v>15</v>
      </c>
      <c r="C1" s="28" t="s">
        <v>16</v>
      </c>
      <c r="D1" s="29" t="s">
        <v>20</v>
      </c>
      <c r="E1" s="29" t="s">
        <v>513</v>
      </c>
      <c r="F1" s="28" t="s">
        <v>514</v>
      </c>
      <c r="G1" s="29" t="s">
        <v>516</v>
      </c>
      <c r="H1" s="29" t="s">
        <v>517</v>
      </c>
      <c r="I1" s="28" t="s">
        <v>515</v>
      </c>
      <c r="J1" s="28" t="s">
        <v>17</v>
      </c>
      <c r="N1" s="34" t="s">
        <v>518</v>
      </c>
    </row>
    <row r="2" spans="1:26" x14ac:dyDescent="0.25">
      <c r="A2" s="30" t="str">
        <f>IFERROR(LEFT(R2,FIND(")",R2)-1),0)</f>
        <v>2</v>
      </c>
      <c r="B2" s="30" t="str">
        <f>IFERROR(LEFT(S2,FIND(")",S2)-1),0)</f>
        <v>1</v>
      </c>
      <c r="C2" s="30" t="str">
        <f>IFERROR(LEFT(T2,FIND(")",T2)-1),0)</f>
        <v>1</v>
      </c>
      <c r="D2" s="31">
        <f>IFERROR(LEFT(U2,FIND(")",U2)-1),0)</f>
        <v>0</v>
      </c>
      <c r="E2" s="31">
        <f>IFERROR(LEFT(V2,FIND(")",V2)-1),0)</f>
        <v>0</v>
      </c>
      <c r="F2" s="32">
        <f>SUM(D2:E2)</f>
        <v>0</v>
      </c>
      <c r="G2" s="31">
        <f>IFERROR(LEFT(X2,FIND(")",X2)-1),0)</f>
        <v>0</v>
      </c>
      <c r="H2" s="31">
        <f>IFERROR(LEFT(Y2,FIND(")",Y2)-1),0)</f>
        <v>0</v>
      </c>
      <c r="I2" s="32">
        <f>SUM(G2:H2)</f>
        <v>0</v>
      </c>
      <c r="N2" s="30" t="s">
        <v>508</v>
      </c>
      <c r="R2" s="32" t="str">
        <f t="shared" ref="R2:Z5" si="0">IFERROR(MID($N2,SEARCH(A$1&amp;"(",$N2)+LEN(A$1)+1,LEN($N2)),0)</f>
        <v>2)Hex(1)Fuc(1)</v>
      </c>
      <c r="S2" s="32" t="str">
        <f t="shared" si="0"/>
        <v>1)Fuc(1)</v>
      </c>
      <c r="T2" s="32" t="str">
        <f t="shared" si="0"/>
        <v>1)</v>
      </c>
      <c r="U2" s="32">
        <f t="shared" si="0"/>
        <v>0</v>
      </c>
      <c r="V2" s="32">
        <f t="shared" si="0"/>
        <v>0</v>
      </c>
      <c r="W2" s="32">
        <f t="shared" si="0"/>
        <v>0</v>
      </c>
      <c r="X2" s="32">
        <f t="shared" si="0"/>
        <v>0</v>
      </c>
      <c r="Y2" s="32">
        <f t="shared" si="0"/>
        <v>0</v>
      </c>
      <c r="Z2" s="32">
        <f t="shared" si="0"/>
        <v>0</v>
      </c>
    </row>
    <row r="3" spans="1:26" x14ac:dyDescent="0.25">
      <c r="A3" s="30" t="str">
        <f t="shared" ref="A3:A5" si="1">IFERROR(LEFT(R3,FIND(")",R3)-1),0)</f>
        <v>2</v>
      </c>
      <c r="B3" s="30" t="str">
        <f t="shared" ref="B3:B5" si="2">IFERROR(LEFT(S3,FIND(")",S3)-1),0)</f>
        <v>2</v>
      </c>
      <c r="C3" s="30" t="str">
        <f t="shared" ref="C3:C5" si="3">IFERROR(LEFT(T3,FIND(")",T3)-1),0)</f>
        <v>1</v>
      </c>
      <c r="D3" s="31">
        <f t="shared" ref="D3:D5" si="4">IFERROR(LEFT(U3,FIND(")",U3)-1),0)</f>
        <v>0</v>
      </c>
      <c r="E3" s="31" t="str">
        <f t="shared" ref="E3:E5" si="5">IFERROR(LEFT(V3,FIND(")",V3)-1),0)</f>
        <v>1</v>
      </c>
      <c r="F3" s="32">
        <f t="shared" ref="F3:F5" si="6">SUM(D3:E3)</f>
        <v>0</v>
      </c>
      <c r="G3" s="31">
        <f t="shared" ref="G3:G5" si="7">IFERROR(LEFT(X3,FIND(")",X3)-1),0)</f>
        <v>0</v>
      </c>
      <c r="H3" s="31">
        <f t="shared" ref="H3:H5" si="8">IFERROR(LEFT(Y3,FIND(")",Y3)-1),0)</f>
        <v>0</v>
      </c>
      <c r="I3" s="32">
        <f t="shared" ref="I3:I5" si="9">SUM(G3:H3)</f>
        <v>0</v>
      </c>
      <c r="N3" s="30" t="s">
        <v>509</v>
      </c>
      <c r="R3" s="32" t="str">
        <f t="shared" si="0"/>
        <v>2)Hex(2)Fuc(1)NeuGc(1)Phos(3)</v>
      </c>
      <c r="S3" s="32" t="str">
        <f t="shared" si="0"/>
        <v>2)Fuc(1)NeuGc(1)Phos(3)</v>
      </c>
      <c r="T3" s="32" t="str">
        <f t="shared" si="0"/>
        <v>1)NeuGc(1)Phos(3)</v>
      </c>
      <c r="U3" s="32">
        <f t="shared" si="0"/>
        <v>0</v>
      </c>
      <c r="V3" s="32" t="str">
        <f t="shared" si="0"/>
        <v>1)Phos(3)</v>
      </c>
      <c r="W3" s="32">
        <f t="shared" si="0"/>
        <v>0</v>
      </c>
      <c r="X3" s="32">
        <f t="shared" si="0"/>
        <v>0</v>
      </c>
      <c r="Y3" s="32">
        <f t="shared" si="0"/>
        <v>0</v>
      </c>
      <c r="Z3" s="32">
        <f t="shared" si="0"/>
        <v>0</v>
      </c>
    </row>
    <row r="4" spans="1:26" x14ac:dyDescent="0.25">
      <c r="A4" s="30" t="str">
        <f t="shared" si="1"/>
        <v>2</v>
      </c>
      <c r="B4" s="30" t="str">
        <f t="shared" si="2"/>
        <v>3</v>
      </c>
      <c r="C4" s="30" t="str">
        <f t="shared" si="3"/>
        <v>1</v>
      </c>
      <c r="D4" s="31" t="str">
        <f t="shared" si="4"/>
        <v>1</v>
      </c>
      <c r="E4" s="31">
        <f t="shared" si="5"/>
        <v>0</v>
      </c>
      <c r="F4" s="32">
        <f>SUM(D4:E4)</f>
        <v>0</v>
      </c>
      <c r="G4" s="31">
        <f t="shared" si="7"/>
        <v>0</v>
      </c>
      <c r="H4" s="31">
        <f t="shared" si="8"/>
        <v>0</v>
      </c>
      <c r="I4" s="32">
        <f t="shared" si="9"/>
        <v>0</v>
      </c>
      <c r="N4" s="30" t="s">
        <v>510</v>
      </c>
      <c r="R4" s="32" t="str">
        <f t="shared" si="0"/>
        <v>2)Hex(3)Fuc(1)NeuAc(1)</v>
      </c>
      <c r="S4" s="32" t="str">
        <f t="shared" si="0"/>
        <v>3)Fuc(1)NeuAc(1)</v>
      </c>
      <c r="T4" s="32" t="str">
        <f t="shared" si="0"/>
        <v>1)NeuAc(1)</v>
      </c>
      <c r="U4" s="32" t="str">
        <f t="shared" si="0"/>
        <v>1)</v>
      </c>
      <c r="V4" s="32">
        <f t="shared" si="0"/>
        <v>0</v>
      </c>
      <c r="W4" s="32">
        <f t="shared" si="0"/>
        <v>0</v>
      </c>
      <c r="X4" s="32">
        <f t="shared" si="0"/>
        <v>0</v>
      </c>
      <c r="Y4" s="32">
        <f t="shared" si="0"/>
        <v>0</v>
      </c>
      <c r="Z4" s="32">
        <f t="shared" si="0"/>
        <v>0</v>
      </c>
    </row>
    <row r="5" spans="1:26" x14ac:dyDescent="0.25">
      <c r="A5" s="30" t="str">
        <f t="shared" si="1"/>
        <v>10</v>
      </c>
      <c r="B5" s="30" t="str">
        <f t="shared" si="2"/>
        <v>4</v>
      </c>
      <c r="C5" s="30" t="str">
        <f t="shared" si="3"/>
        <v>1</v>
      </c>
      <c r="D5" s="31" t="str">
        <f t="shared" si="4"/>
        <v>1</v>
      </c>
      <c r="E5" s="31">
        <f t="shared" si="5"/>
        <v>0</v>
      </c>
      <c r="F5" s="32">
        <f t="shared" si="6"/>
        <v>0</v>
      </c>
      <c r="G5" s="31">
        <f t="shared" si="7"/>
        <v>0</v>
      </c>
      <c r="H5" s="31">
        <f t="shared" si="8"/>
        <v>0</v>
      </c>
      <c r="I5" s="32">
        <f t="shared" si="9"/>
        <v>0</v>
      </c>
      <c r="N5" s="30" t="s">
        <v>511</v>
      </c>
      <c r="R5" s="32" t="str">
        <f t="shared" si="0"/>
        <v>10)Hex(4)Fuc(1)NeuAc(1)</v>
      </c>
      <c r="S5" s="32" t="str">
        <f t="shared" si="0"/>
        <v>4)Fuc(1)NeuAc(1)</v>
      </c>
      <c r="T5" s="32" t="str">
        <f t="shared" si="0"/>
        <v>1)NeuAc(1)</v>
      </c>
      <c r="U5" s="32" t="str">
        <f t="shared" si="0"/>
        <v>1)</v>
      </c>
      <c r="V5" s="32">
        <f t="shared" si="0"/>
        <v>0</v>
      </c>
      <c r="W5" s="32">
        <f t="shared" si="0"/>
        <v>0</v>
      </c>
      <c r="X5" s="32">
        <f t="shared" si="0"/>
        <v>0</v>
      </c>
      <c r="Y5" s="32">
        <f t="shared" si="0"/>
        <v>0</v>
      </c>
      <c r="Z5" s="32">
        <f t="shared" si="0"/>
        <v>0</v>
      </c>
    </row>
    <row r="8" spans="1:26" x14ac:dyDescent="0.25">
      <c r="A8" s="30" t="str">
        <f>IFERROR(LEFT(R8,FIND(")",R8)-1),0)</f>
        <v>1</v>
      </c>
      <c r="B8" s="30">
        <f>IFERROR(LEFT(S8,FIND(")",S8)-1),0)</f>
        <v>0</v>
      </c>
      <c r="C8" s="30">
        <f>IFERROR(LEFT(T8,FIND(")",T8)-1),0)</f>
        <v>0</v>
      </c>
      <c r="D8" s="31">
        <f>VALUE(IFERROR(LEFT(U8,FIND(")",U8)-1),0))</f>
        <v>0</v>
      </c>
      <c r="E8" s="31">
        <f>VALUE(IFERROR(LEFT(V8,FIND(")",V8)-1),0))</f>
        <v>0</v>
      </c>
      <c r="F8" s="32">
        <f>SUM(D8:E8)</f>
        <v>0</v>
      </c>
      <c r="G8" s="31">
        <f>VALUE(IFERROR(LEFT(X8,FIND(")",X8)-1),0))</f>
        <v>0</v>
      </c>
      <c r="H8" s="31">
        <f>VALUE(IFERROR(LEFT(Y8,FIND(")",Y8)-1),0))</f>
        <v>0</v>
      </c>
      <c r="I8" s="32">
        <f>SUM(G8:H8)</f>
        <v>0</v>
      </c>
      <c r="N8" t="s">
        <v>223</v>
      </c>
      <c r="R8" s="32" t="str">
        <f t="shared" ref="R8:Z11" si="10">IFERROR(MID($N8,SEARCH(A$1&amp;"(",$N8)+LEN(A$1)+1,LEN($N8)),0)</f>
        <v>1)</v>
      </c>
      <c r="S8" s="32">
        <f t="shared" si="10"/>
        <v>0</v>
      </c>
      <c r="T8" s="32">
        <f t="shared" si="10"/>
        <v>0</v>
      </c>
      <c r="U8" s="32">
        <f t="shared" si="10"/>
        <v>0</v>
      </c>
      <c r="V8" s="32">
        <f t="shared" si="10"/>
        <v>0</v>
      </c>
      <c r="W8" s="32">
        <f t="shared" si="10"/>
        <v>0</v>
      </c>
      <c r="X8" s="32">
        <f t="shared" si="10"/>
        <v>0</v>
      </c>
      <c r="Y8" s="32">
        <f t="shared" si="10"/>
        <v>0</v>
      </c>
      <c r="Z8" s="32">
        <f t="shared" si="10"/>
        <v>0</v>
      </c>
    </row>
    <row r="9" spans="1:26" x14ac:dyDescent="0.25">
      <c r="A9" s="30" t="str">
        <f t="shared" ref="A9:A73" si="11">IFERROR(LEFT(R9,FIND(")",R9)-1),0)</f>
        <v>2</v>
      </c>
      <c r="B9" s="30">
        <f t="shared" ref="B9:B73" si="12">IFERROR(LEFT(S9,FIND(")",S9)-1),0)</f>
        <v>0</v>
      </c>
      <c r="C9" s="30">
        <f t="shared" ref="C9:C73" si="13">IFERROR(LEFT(T9,FIND(")",T9)-1),0)</f>
        <v>0</v>
      </c>
      <c r="D9" s="31">
        <f t="shared" ref="D9:D73" si="14">VALUE(IFERROR(LEFT(U9,FIND(")",U9)-1),0))</f>
        <v>0</v>
      </c>
      <c r="E9" s="31">
        <f t="shared" ref="E9:E73" si="15">VALUE(IFERROR(LEFT(V9,FIND(")",V9)-1),0))</f>
        <v>0</v>
      </c>
      <c r="F9" s="32">
        <f t="shared" ref="F9:F73" si="16">SUM(D9:E9)</f>
        <v>0</v>
      </c>
      <c r="G9" s="31">
        <f t="shared" ref="G9:G73" si="17">VALUE(IFERROR(LEFT(X9,FIND(")",X9)-1),0))</f>
        <v>0</v>
      </c>
      <c r="H9" s="31">
        <f t="shared" ref="H9:H73" si="18">VALUE(IFERROR(LEFT(Y9,FIND(")",Y9)-1),0))</f>
        <v>0</v>
      </c>
      <c r="I9" s="32">
        <f t="shared" ref="I9:I73" si="19">SUM(G9:H9)</f>
        <v>0</v>
      </c>
      <c r="N9" t="s">
        <v>224</v>
      </c>
      <c r="R9" s="32" t="str">
        <f t="shared" si="10"/>
        <v>2)</v>
      </c>
      <c r="S9" s="32">
        <f t="shared" si="10"/>
        <v>0</v>
      </c>
      <c r="T9" s="32">
        <f t="shared" si="10"/>
        <v>0</v>
      </c>
      <c r="U9" s="32">
        <f t="shared" si="10"/>
        <v>0</v>
      </c>
      <c r="V9" s="32">
        <f t="shared" si="10"/>
        <v>0</v>
      </c>
      <c r="W9" s="32">
        <f t="shared" si="10"/>
        <v>0</v>
      </c>
      <c r="X9" s="32">
        <f t="shared" si="10"/>
        <v>0</v>
      </c>
      <c r="Y9" s="32">
        <f t="shared" si="10"/>
        <v>0</v>
      </c>
      <c r="Z9" s="32">
        <f t="shared" si="10"/>
        <v>0</v>
      </c>
    </row>
    <row r="10" spans="1:26" x14ac:dyDescent="0.25">
      <c r="A10" s="30" t="str">
        <f t="shared" si="11"/>
        <v>2</v>
      </c>
      <c r="B10" s="30" t="str">
        <f t="shared" si="12"/>
        <v>1</v>
      </c>
      <c r="C10" s="30">
        <f t="shared" si="13"/>
        <v>0</v>
      </c>
      <c r="D10" s="31">
        <f t="shared" si="14"/>
        <v>0</v>
      </c>
      <c r="E10" s="31">
        <f t="shared" si="15"/>
        <v>0</v>
      </c>
      <c r="F10" s="32">
        <f t="shared" si="16"/>
        <v>0</v>
      </c>
      <c r="G10" s="31">
        <f t="shared" si="17"/>
        <v>0</v>
      </c>
      <c r="H10" s="31">
        <f t="shared" si="18"/>
        <v>0</v>
      </c>
      <c r="I10" s="32">
        <f t="shared" si="19"/>
        <v>0</v>
      </c>
      <c r="N10" t="s">
        <v>225</v>
      </c>
      <c r="R10" s="32" t="str">
        <f t="shared" si="10"/>
        <v>2)Hex(1)</v>
      </c>
      <c r="S10" s="32" t="str">
        <f t="shared" si="10"/>
        <v>1)</v>
      </c>
      <c r="T10" s="32">
        <f t="shared" si="10"/>
        <v>0</v>
      </c>
      <c r="U10" s="32">
        <f t="shared" si="10"/>
        <v>0</v>
      </c>
      <c r="V10" s="32">
        <f t="shared" si="10"/>
        <v>0</v>
      </c>
      <c r="W10" s="32">
        <f t="shared" si="10"/>
        <v>0</v>
      </c>
      <c r="X10" s="32">
        <f t="shared" si="10"/>
        <v>0</v>
      </c>
      <c r="Y10" s="32">
        <f t="shared" si="10"/>
        <v>0</v>
      </c>
      <c r="Z10" s="32">
        <f t="shared" si="10"/>
        <v>0</v>
      </c>
    </row>
    <row r="11" spans="1:26" x14ac:dyDescent="0.25">
      <c r="A11" s="30" t="str">
        <f t="shared" si="11"/>
        <v>2</v>
      </c>
      <c r="B11" s="30" t="str">
        <f t="shared" si="12"/>
        <v>2</v>
      </c>
      <c r="C11" s="30">
        <f t="shared" si="13"/>
        <v>0</v>
      </c>
      <c r="D11" s="31">
        <f t="shared" si="14"/>
        <v>0</v>
      </c>
      <c r="E11" s="31">
        <f t="shared" si="15"/>
        <v>0</v>
      </c>
      <c r="F11" s="32">
        <f>SUM(D11:E11)</f>
        <v>0</v>
      </c>
      <c r="G11" s="31">
        <f t="shared" si="17"/>
        <v>0</v>
      </c>
      <c r="H11" s="31">
        <f t="shared" si="18"/>
        <v>0</v>
      </c>
      <c r="I11" s="32">
        <f t="shared" si="19"/>
        <v>0</v>
      </c>
      <c r="N11" t="s">
        <v>226</v>
      </c>
      <c r="R11" s="32" t="str">
        <f t="shared" si="10"/>
        <v>2)Hex(2)</v>
      </c>
      <c r="S11" s="32" t="str">
        <f t="shared" si="10"/>
        <v>2)</v>
      </c>
      <c r="T11" s="32">
        <f t="shared" si="10"/>
        <v>0</v>
      </c>
      <c r="U11" s="32">
        <f t="shared" si="10"/>
        <v>0</v>
      </c>
      <c r="V11" s="32">
        <f t="shared" si="10"/>
        <v>0</v>
      </c>
      <c r="W11" s="32">
        <f t="shared" si="10"/>
        <v>0</v>
      </c>
      <c r="X11" s="32">
        <f t="shared" si="10"/>
        <v>0</v>
      </c>
      <c r="Y11" s="32">
        <f t="shared" si="10"/>
        <v>0</v>
      </c>
      <c r="Z11" s="32">
        <f t="shared" si="10"/>
        <v>0</v>
      </c>
    </row>
    <row r="12" spans="1:26" x14ac:dyDescent="0.25">
      <c r="A12" s="30" t="str">
        <f t="shared" si="11"/>
        <v>1</v>
      </c>
      <c r="B12" s="30">
        <f t="shared" si="12"/>
        <v>0</v>
      </c>
      <c r="C12" s="30" t="str">
        <f t="shared" si="13"/>
        <v>1</v>
      </c>
      <c r="D12" s="31">
        <f t="shared" si="14"/>
        <v>0</v>
      </c>
      <c r="E12" s="31">
        <f t="shared" si="15"/>
        <v>0</v>
      </c>
      <c r="F12" s="32">
        <f t="shared" si="16"/>
        <v>0</v>
      </c>
      <c r="G12" s="31">
        <f t="shared" si="17"/>
        <v>0</v>
      </c>
      <c r="H12" s="31">
        <f t="shared" si="18"/>
        <v>0</v>
      </c>
      <c r="I12" s="32">
        <f t="shared" si="19"/>
        <v>0</v>
      </c>
      <c r="N12" t="s">
        <v>74</v>
      </c>
      <c r="R12" s="32" t="str">
        <f t="shared" ref="R12:R76" si="20">IFERROR(MID($N12,SEARCH(A$1&amp;"(",$N12)+LEN(A$1)+1,LEN($N12)),0)</f>
        <v>1)Fuc(1)</v>
      </c>
      <c r="S12" s="32">
        <f t="shared" ref="S12:S76" si="21">IFERROR(MID($N12,SEARCH(B$1&amp;"(",$N12)+LEN(B$1)+1,LEN($N12)),0)</f>
        <v>0</v>
      </c>
      <c r="T12" s="32" t="str">
        <f t="shared" ref="T12:T76" si="22">IFERROR(MID($N12,SEARCH(C$1&amp;"(",$N12)+LEN(C$1)+1,LEN($N12)),0)</f>
        <v>1)</v>
      </c>
      <c r="U12" s="32">
        <f t="shared" ref="U12:U76" si="23">IFERROR(MID($N12,SEARCH(D$1&amp;"(",$N12)+LEN(D$1)+1,LEN($N12)),0)</f>
        <v>0</v>
      </c>
      <c r="V12" s="32">
        <f t="shared" ref="V12:V76" si="24">IFERROR(MID($N12,SEARCH(E$1&amp;"(",$N12)+LEN(E$1)+1,LEN($N12)),0)</f>
        <v>0</v>
      </c>
      <c r="W12" s="32">
        <f t="shared" ref="W12:W76" si="25">IFERROR(MID($N12,SEARCH(F$1&amp;"(",$N12)+LEN(F$1)+1,LEN($N12)),0)</f>
        <v>0</v>
      </c>
      <c r="X12" s="32">
        <f t="shared" ref="X12:X76" si="26">IFERROR(MID($N12,SEARCH(G$1&amp;"(",$N12)+LEN(G$1)+1,LEN($N12)),0)</f>
        <v>0</v>
      </c>
      <c r="Y12" s="32">
        <f t="shared" ref="Y12:Y76" si="27">IFERROR(MID($N12,SEARCH(H$1&amp;"(",$N12)+LEN(H$1)+1,LEN($N12)),0)</f>
        <v>0</v>
      </c>
      <c r="Z12" s="32">
        <f t="shared" ref="Z12:Z76" si="28">IFERROR(MID($N12,SEARCH(I$1&amp;"(",$N12)+LEN(I$1)+1,LEN($N12)),0)</f>
        <v>0</v>
      </c>
    </row>
    <row r="13" spans="1:26" x14ac:dyDescent="0.25">
      <c r="A13" s="30" t="str">
        <f t="shared" si="11"/>
        <v>2</v>
      </c>
      <c r="B13" s="30">
        <f t="shared" si="12"/>
        <v>0</v>
      </c>
      <c r="C13" s="30" t="str">
        <f t="shared" si="13"/>
        <v>1</v>
      </c>
      <c r="D13" s="31">
        <f t="shared" si="14"/>
        <v>0</v>
      </c>
      <c r="E13" s="31">
        <f t="shared" si="15"/>
        <v>0</v>
      </c>
      <c r="F13" s="32">
        <f t="shared" si="16"/>
        <v>0</v>
      </c>
      <c r="G13" s="31">
        <f t="shared" si="17"/>
        <v>0</v>
      </c>
      <c r="H13" s="31">
        <f t="shared" si="18"/>
        <v>0</v>
      </c>
      <c r="I13" s="32">
        <f t="shared" si="19"/>
        <v>0</v>
      </c>
      <c r="N13" t="s">
        <v>227</v>
      </c>
      <c r="R13" s="32" t="str">
        <f t="shared" si="20"/>
        <v>2)Fuc(1)</v>
      </c>
      <c r="S13" s="32">
        <f t="shared" si="21"/>
        <v>0</v>
      </c>
      <c r="T13" s="32" t="str">
        <f t="shared" si="22"/>
        <v>1)</v>
      </c>
      <c r="U13" s="32">
        <f t="shared" si="23"/>
        <v>0</v>
      </c>
      <c r="V13" s="32">
        <f t="shared" si="24"/>
        <v>0</v>
      </c>
      <c r="W13" s="32">
        <f t="shared" si="25"/>
        <v>0</v>
      </c>
      <c r="X13" s="32">
        <f t="shared" si="26"/>
        <v>0</v>
      </c>
      <c r="Y13" s="32">
        <f t="shared" si="27"/>
        <v>0</v>
      </c>
      <c r="Z13" s="32">
        <f t="shared" si="28"/>
        <v>0</v>
      </c>
    </row>
    <row r="14" spans="1:26" x14ac:dyDescent="0.25">
      <c r="A14" s="30" t="str">
        <f t="shared" si="11"/>
        <v>2</v>
      </c>
      <c r="B14" s="30" t="str">
        <f t="shared" si="12"/>
        <v>1</v>
      </c>
      <c r="C14" s="30" t="str">
        <f t="shared" si="13"/>
        <v>1</v>
      </c>
      <c r="D14" s="31">
        <f t="shared" si="14"/>
        <v>0</v>
      </c>
      <c r="E14" s="31">
        <f t="shared" si="15"/>
        <v>0</v>
      </c>
      <c r="F14" s="32">
        <f t="shared" si="16"/>
        <v>0</v>
      </c>
      <c r="G14" s="31">
        <f t="shared" si="17"/>
        <v>0</v>
      </c>
      <c r="H14" s="31">
        <f t="shared" si="18"/>
        <v>0</v>
      </c>
      <c r="I14" s="32">
        <f t="shared" si="19"/>
        <v>0</v>
      </c>
      <c r="N14" t="s">
        <v>228</v>
      </c>
      <c r="R14" s="32" t="str">
        <f>IFERROR(MID($N14,SEARCH(A$1&amp;"(",$N14)+LEN(A$1)+1,LEN($N14)),0)</f>
        <v>2)Hex(1)Fuc(1)</v>
      </c>
      <c r="S14" s="32" t="str">
        <f t="shared" si="21"/>
        <v>1)Fuc(1)</v>
      </c>
      <c r="T14" s="32" t="str">
        <f t="shared" si="22"/>
        <v>1)</v>
      </c>
      <c r="U14" s="32">
        <f t="shared" si="23"/>
        <v>0</v>
      </c>
      <c r="V14" s="32">
        <f t="shared" si="24"/>
        <v>0</v>
      </c>
      <c r="W14" s="32">
        <f t="shared" si="25"/>
        <v>0</v>
      </c>
      <c r="X14" s="32">
        <f t="shared" si="26"/>
        <v>0</v>
      </c>
      <c r="Y14" s="32">
        <f t="shared" si="27"/>
        <v>0</v>
      </c>
      <c r="Z14" s="32">
        <f t="shared" si="28"/>
        <v>0</v>
      </c>
    </row>
    <row r="15" spans="1:26" x14ac:dyDescent="0.25">
      <c r="A15" s="30" t="str">
        <f t="shared" si="11"/>
        <v>2</v>
      </c>
      <c r="B15" s="30" t="str">
        <f t="shared" si="12"/>
        <v>2</v>
      </c>
      <c r="C15" s="30" t="str">
        <f t="shared" si="13"/>
        <v>1</v>
      </c>
      <c r="D15" s="31">
        <f t="shared" si="14"/>
        <v>0</v>
      </c>
      <c r="E15" s="31">
        <f t="shared" si="15"/>
        <v>0</v>
      </c>
      <c r="F15" s="32">
        <f t="shared" si="16"/>
        <v>0</v>
      </c>
      <c r="G15" s="31">
        <f t="shared" si="17"/>
        <v>0</v>
      </c>
      <c r="H15" s="31">
        <f t="shared" si="18"/>
        <v>0</v>
      </c>
      <c r="I15" s="32">
        <f t="shared" si="19"/>
        <v>0</v>
      </c>
      <c r="N15" t="s">
        <v>229</v>
      </c>
      <c r="R15" s="32" t="str">
        <f t="shared" si="20"/>
        <v>2)Hex(2)Fuc(1)</v>
      </c>
      <c r="S15" s="32" t="str">
        <f t="shared" si="21"/>
        <v>2)Fuc(1)</v>
      </c>
      <c r="T15" s="32" t="str">
        <f t="shared" si="22"/>
        <v>1)</v>
      </c>
      <c r="U15" s="32">
        <f t="shared" si="23"/>
        <v>0</v>
      </c>
      <c r="V15" s="32">
        <f t="shared" si="24"/>
        <v>0</v>
      </c>
      <c r="W15" s="32">
        <f t="shared" si="25"/>
        <v>0</v>
      </c>
      <c r="X15" s="32">
        <f t="shared" si="26"/>
        <v>0</v>
      </c>
      <c r="Y15" s="32">
        <f t="shared" si="27"/>
        <v>0</v>
      </c>
      <c r="Z15" s="32">
        <f t="shared" si="28"/>
        <v>0</v>
      </c>
    </row>
    <row r="16" spans="1:26" x14ac:dyDescent="0.25">
      <c r="A16" s="30" t="str">
        <f t="shared" si="11"/>
        <v>2</v>
      </c>
      <c r="B16" s="30" t="str">
        <f t="shared" si="12"/>
        <v>3</v>
      </c>
      <c r="C16" s="30">
        <f t="shared" si="13"/>
        <v>0</v>
      </c>
      <c r="D16" s="31">
        <f t="shared" si="14"/>
        <v>0</v>
      </c>
      <c r="E16" s="31">
        <f t="shared" si="15"/>
        <v>0</v>
      </c>
      <c r="F16" s="32">
        <f t="shared" si="16"/>
        <v>0</v>
      </c>
      <c r="G16" s="31">
        <f t="shared" si="17"/>
        <v>0</v>
      </c>
      <c r="H16" s="31">
        <f t="shared" si="18"/>
        <v>0</v>
      </c>
      <c r="I16" s="32">
        <f t="shared" si="19"/>
        <v>0</v>
      </c>
      <c r="N16" t="s">
        <v>230</v>
      </c>
      <c r="R16" s="32" t="str">
        <f t="shared" si="20"/>
        <v>2)Hex(3)</v>
      </c>
      <c r="S16" s="32" t="str">
        <f t="shared" si="21"/>
        <v>3)</v>
      </c>
      <c r="T16" s="32">
        <f t="shared" si="22"/>
        <v>0</v>
      </c>
      <c r="U16" s="32">
        <f t="shared" si="23"/>
        <v>0</v>
      </c>
      <c r="V16" s="32">
        <f t="shared" si="24"/>
        <v>0</v>
      </c>
      <c r="W16" s="32">
        <f t="shared" si="25"/>
        <v>0</v>
      </c>
      <c r="X16" s="32">
        <f t="shared" si="26"/>
        <v>0</v>
      </c>
      <c r="Y16" s="32">
        <f t="shared" si="27"/>
        <v>0</v>
      </c>
      <c r="Z16" s="32">
        <f t="shared" si="28"/>
        <v>0</v>
      </c>
    </row>
    <row r="17" spans="1:26" x14ac:dyDescent="0.25">
      <c r="A17" s="30" t="str">
        <f t="shared" si="11"/>
        <v>2</v>
      </c>
      <c r="B17" s="30" t="str">
        <f t="shared" si="12"/>
        <v>4</v>
      </c>
      <c r="C17" s="30">
        <f t="shared" si="13"/>
        <v>0</v>
      </c>
      <c r="D17" s="31">
        <f t="shared" si="14"/>
        <v>0</v>
      </c>
      <c r="E17" s="31">
        <f t="shared" si="15"/>
        <v>0</v>
      </c>
      <c r="F17" s="32">
        <f t="shared" si="16"/>
        <v>0</v>
      </c>
      <c r="G17" s="31">
        <f t="shared" si="17"/>
        <v>0</v>
      </c>
      <c r="H17" s="31">
        <f t="shared" si="18"/>
        <v>0</v>
      </c>
      <c r="I17" s="32">
        <f t="shared" si="19"/>
        <v>0</v>
      </c>
      <c r="N17" t="s">
        <v>75</v>
      </c>
      <c r="R17" s="32" t="str">
        <f t="shared" si="20"/>
        <v>2)Hex(4)</v>
      </c>
      <c r="S17" s="32" t="str">
        <f t="shared" si="21"/>
        <v>4)</v>
      </c>
      <c r="T17" s="32">
        <f t="shared" si="22"/>
        <v>0</v>
      </c>
      <c r="U17" s="32">
        <f t="shared" si="23"/>
        <v>0</v>
      </c>
      <c r="V17" s="32">
        <f t="shared" si="24"/>
        <v>0</v>
      </c>
      <c r="W17" s="32">
        <f t="shared" si="25"/>
        <v>0</v>
      </c>
      <c r="X17" s="32">
        <f t="shared" si="26"/>
        <v>0</v>
      </c>
      <c r="Y17" s="32">
        <f t="shared" si="27"/>
        <v>0</v>
      </c>
      <c r="Z17" s="32">
        <f t="shared" si="28"/>
        <v>0</v>
      </c>
    </row>
    <row r="18" spans="1:26" x14ac:dyDescent="0.25">
      <c r="A18" s="30" t="str">
        <f t="shared" si="11"/>
        <v>3</v>
      </c>
      <c r="B18" s="30" t="str">
        <f t="shared" si="12"/>
        <v>3</v>
      </c>
      <c r="C18" s="30">
        <f t="shared" si="13"/>
        <v>0</v>
      </c>
      <c r="D18" s="31">
        <f t="shared" si="14"/>
        <v>0</v>
      </c>
      <c r="E18" s="31">
        <f t="shared" si="15"/>
        <v>0</v>
      </c>
      <c r="F18" s="32">
        <f t="shared" si="16"/>
        <v>0</v>
      </c>
      <c r="G18" s="31">
        <f t="shared" si="17"/>
        <v>0</v>
      </c>
      <c r="H18" s="31">
        <f t="shared" si="18"/>
        <v>0</v>
      </c>
      <c r="I18" s="32">
        <f t="shared" si="19"/>
        <v>0</v>
      </c>
      <c r="N18" t="s">
        <v>231</v>
      </c>
      <c r="R18" s="32" t="str">
        <f t="shared" si="20"/>
        <v>3)Hex(3)</v>
      </c>
      <c r="S18" s="32" t="str">
        <f t="shared" si="21"/>
        <v>3)</v>
      </c>
      <c r="T18" s="32">
        <f t="shared" si="22"/>
        <v>0</v>
      </c>
      <c r="U18" s="32">
        <f t="shared" si="23"/>
        <v>0</v>
      </c>
      <c r="V18" s="32">
        <f t="shared" si="24"/>
        <v>0</v>
      </c>
      <c r="W18" s="32">
        <f t="shared" si="25"/>
        <v>0</v>
      </c>
      <c r="X18" s="32">
        <f t="shared" si="26"/>
        <v>0</v>
      </c>
      <c r="Y18" s="32">
        <f t="shared" si="27"/>
        <v>0</v>
      </c>
      <c r="Z18" s="32">
        <f t="shared" si="28"/>
        <v>0</v>
      </c>
    </row>
    <row r="19" spans="1:26" x14ac:dyDescent="0.25">
      <c r="A19" s="30" t="str">
        <f t="shared" si="11"/>
        <v>2</v>
      </c>
      <c r="B19" s="30" t="str">
        <f t="shared" si="12"/>
        <v>3</v>
      </c>
      <c r="C19" s="30" t="str">
        <f t="shared" si="13"/>
        <v>2</v>
      </c>
      <c r="D19" s="31">
        <f t="shared" si="14"/>
        <v>0</v>
      </c>
      <c r="E19" s="31">
        <f t="shared" si="15"/>
        <v>0</v>
      </c>
      <c r="F19" s="32">
        <f t="shared" si="16"/>
        <v>0</v>
      </c>
      <c r="G19" s="31">
        <f t="shared" si="17"/>
        <v>0</v>
      </c>
      <c r="H19" s="31">
        <f t="shared" si="18"/>
        <v>0</v>
      </c>
      <c r="I19" s="32">
        <f t="shared" si="19"/>
        <v>0</v>
      </c>
      <c r="N19" t="s">
        <v>232</v>
      </c>
      <c r="R19" s="32" t="str">
        <f t="shared" si="20"/>
        <v>2)Hex(3)Fuc(2)</v>
      </c>
      <c r="S19" s="32" t="str">
        <f t="shared" si="21"/>
        <v>3)Fuc(2)</v>
      </c>
      <c r="T19" s="32" t="str">
        <f t="shared" si="22"/>
        <v>2)</v>
      </c>
      <c r="U19" s="32">
        <f t="shared" si="23"/>
        <v>0</v>
      </c>
      <c r="V19" s="32">
        <f t="shared" si="24"/>
        <v>0</v>
      </c>
      <c r="W19" s="32">
        <f t="shared" si="25"/>
        <v>0</v>
      </c>
      <c r="X19" s="32">
        <f t="shared" si="26"/>
        <v>0</v>
      </c>
      <c r="Y19" s="32">
        <f t="shared" si="27"/>
        <v>0</v>
      </c>
      <c r="Z19" s="32">
        <f t="shared" si="28"/>
        <v>0</v>
      </c>
    </row>
    <row r="20" spans="1:26" x14ac:dyDescent="0.25">
      <c r="A20" s="30" t="str">
        <f t="shared" si="11"/>
        <v>2</v>
      </c>
      <c r="B20" s="30" t="str">
        <f t="shared" si="12"/>
        <v>4</v>
      </c>
      <c r="C20" s="30" t="str">
        <f t="shared" si="13"/>
        <v>1</v>
      </c>
      <c r="D20" s="31">
        <f t="shared" si="14"/>
        <v>0</v>
      </c>
      <c r="E20" s="31">
        <f t="shared" si="15"/>
        <v>0</v>
      </c>
      <c r="F20" s="32">
        <f t="shared" si="16"/>
        <v>0</v>
      </c>
      <c r="G20" s="31">
        <f t="shared" si="17"/>
        <v>0</v>
      </c>
      <c r="H20" s="31">
        <f t="shared" si="18"/>
        <v>0</v>
      </c>
      <c r="I20" s="32">
        <f t="shared" si="19"/>
        <v>0</v>
      </c>
      <c r="N20" t="s">
        <v>233</v>
      </c>
      <c r="R20" s="32" t="str">
        <f t="shared" si="20"/>
        <v>2)Hex(4)Fuc(1)</v>
      </c>
      <c r="S20" s="32" t="str">
        <f t="shared" si="21"/>
        <v>4)Fuc(1)</v>
      </c>
      <c r="T20" s="32" t="str">
        <f t="shared" si="22"/>
        <v>1)</v>
      </c>
      <c r="U20" s="32">
        <f t="shared" si="23"/>
        <v>0</v>
      </c>
      <c r="V20" s="32">
        <f t="shared" si="24"/>
        <v>0</v>
      </c>
      <c r="W20" s="32">
        <f t="shared" si="25"/>
        <v>0</v>
      </c>
      <c r="X20" s="32">
        <f t="shared" si="26"/>
        <v>0</v>
      </c>
      <c r="Y20" s="32">
        <f t="shared" si="27"/>
        <v>0</v>
      </c>
      <c r="Z20" s="32">
        <f t="shared" si="28"/>
        <v>0</v>
      </c>
    </row>
    <row r="21" spans="1:26" x14ac:dyDescent="0.25">
      <c r="A21" s="30" t="str">
        <f t="shared" si="11"/>
        <v>2</v>
      </c>
      <c r="B21" s="30" t="str">
        <f t="shared" si="12"/>
        <v>5</v>
      </c>
      <c r="C21" s="30">
        <f t="shared" si="13"/>
        <v>0</v>
      </c>
      <c r="D21" s="31">
        <f t="shared" si="14"/>
        <v>0</v>
      </c>
      <c r="E21" s="31">
        <f t="shared" si="15"/>
        <v>0</v>
      </c>
      <c r="F21" s="32">
        <f t="shared" si="16"/>
        <v>0</v>
      </c>
      <c r="G21" s="31">
        <f t="shared" si="17"/>
        <v>0</v>
      </c>
      <c r="H21" s="31">
        <f t="shared" si="18"/>
        <v>0</v>
      </c>
      <c r="I21" s="32">
        <f t="shared" si="19"/>
        <v>0</v>
      </c>
      <c r="N21" t="s">
        <v>76</v>
      </c>
      <c r="R21" s="32" t="str">
        <f t="shared" si="20"/>
        <v>2)Hex(5)</v>
      </c>
      <c r="S21" s="32" t="str">
        <f t="shared" si="21"/>
        <v>5)</v>
      </c>
      <c r="T21" s="32">
        <f t="shared" si="22"/>
        <v>0</v>
      </c>
      <c r="U21" s="32">
        <f t="shared" si="23"/>
        <v>0</v>
      </c>
      <c r="V21" s="32">
        <f t="shared" si="24"/>
        <v>0</v>
      </c>
      <c r="W21" s="32">
        <f t="shared" si="25"/>
        <v>0</v>
      </c>
      <c r="X21" s="32">
        <f t="shared" si="26"/>
        <v>0</v>
      </c>
      <c r="Y21" s="32">
        <f t="shared" si="27"/>
        <v>0</v>
      </c>
      <c r="Z21" s="32">
        <f t="shared" si="28"/>
        <v>0</v>
      </c>
    </row>
    <row r="22" spans="1:26" x14ac:dyDescent="0.25">
      <c r="A22" s="30" t="str">
        <f t="shared" si="11"/>
        <v>3</v>
      </c>
      <c r="B22" s="30" t="str">
        <f t="shared" si="12"/>
        <v>3</v>
      </c>
      <c r="C22" s="30" t="str">
        <f t="shared" si="13"/>
        <v>1</v>
      </c>
      <c r="D22" s="31">
        <f t="shared" si="14"/>
        <v>0</v>
      </c>
      <c r="E22" s="31">
        <f t="shared" si="15"/>
        <v>0</v>
      </c>
      <c r="F22" s="32">
        <f t="shared" si="16"/>
        <v>0</v>
      </c>
      <c r="G22" s="31">
        <f t="shared" si="17"/>
        <v>0</v>
      </c>
      <c r="H22" s="31">
        <f t="shared" si="18"/>
        <v>0</v>
      </c>
      <c r="I22" s="32">
        <f t="shared" si="19"/>
        <v>0</v>
      </c>
      <c r="N22" t="s">
        <v>234</v>
      </c>
      <c r="R22" s="32" t="str">
        <f t="shared" si="20"/>
        <v>3)Hex(3)Fuc(1)</v>
      </c>
      <c r="S22" s="32" t="str">
        <f t="shared" si="21"/>
        <v>3)Fuc(1)</v>
      </c>
      <c r="T22" s="32" t="str">
        <f t="shared" si="22"/>
        <v>1)</v>
      </c>
      <c r="U22" s="32">
        <f t="shared" si="23"/>
        <v>0</v>
      </c>
      <c r="V22" s="32">
        <f t="shared" si="24"/>
        <v>0</v>
      </c>
      <c r="W22" s="32">
        <f t="shared" si="25"/>
        <v>0</v>
      </c>
      <c r="X22" s="32">
        <f t="shared" si="26"/>
        <v>0</v>
      </c>
      <c r="Y22" s="32">
        <f t="shared" si="27"/>
        <v>0</v>
      </c>
      <c r="Z22" s="32">
        <f t="shared" si="28"/>
        <v>0</v>
      </c>
    </row>
    <row r="23" spans="1:26" x14ac:dyDescent="0.25">
      <c r="A23" s="30" t="str">
        <f t="shared" si="11"/>
        <v>3</v>
      </c>
      <c r="B23" s="30" t="str">
        <f t="shared" si="12"/>
        <v>4</v>
      </c>
      <c r="C23" s="30">
        <f t="shared" si="13"/>
        <v>0</v>
      </c>
      <c r="D23" s="31">
        <f t="shared" si="14"/>
        <v>0</v>
      </c>
      <c r="E23" s="31">
        <f t="shared" si="15"/>
        <v>0</v>
      </c>
      <c r="F23" s="32">
        <f t="shared" si="16"/>
        <v>0</v>
      </c>
      <c r="G23"/>
      <c r="H23" s="31">
        <f t="shared" si="18"/>
        <v>0</v>
      </c>
      <c r="I23" s="32">
        <f t="shared" si="19"/>
        <v>0</v>
      </c>
      <c r="N23" t="s">
        <v>235</v>
      </c>
      <c r="R23" s="32" t="str">
        <f t="shared" si="20"/>
        <v>3)Hex(4)</v>
      </c>
      <c r="S23" s="32" t="str">
        <f t="shared" si="21"/>
        <v>4)</v>
      </c>
      <c r="T23" s="32">
        <f t="shared" si="22"/>
        <v>0</v>
      </c>
      <c r="U23" s="32">
        <f t="shared" si="23"/>
        <v>0</v>
      </c>
      <c r="V23" s="32">
        <f t="shared" si="24"/>
        <v>0</v>
      </c>
      <c r="W23" s="32">
        <f t="shared" si="25"/>
        <v>0</v>
      </c>
      <c r="X23" s="32">
        <f t="shared" si="26"/>
        <v>0</v>
      </c>
      <c r="Y23" s="32">
        <f t="shared" si="27"/>
        <v>0</v>
      </c>
      <c r="Z23" s="32">
        <f t="shared" si="28"/>
        <v>0</v>
      </c>
    </row>
    <row r="24" spans="1:26" x14ac:dyDescent="0.25">
      <c r="A24" s="30" t="str">
        <f t="shared" si="11"/>
        <v>4</v>
      </c>
      <c r="B24" s="30" t="str">
        <f t="shared" si="12"/>
        <v>3</v>
      </c>
      <c r="C24" s="30">
        <f t="shared" si="13"/>
        <v>0</v>
      </c>
      <c r="D24" s="31">
        <f t="shared" si="14"/>
        <v>0</v>
      </c>
      <c r="E24" s="31">
        <f t="shared" si="15"/>
        <v>0</v>
      </c>
      <c r="F24" s="32">
        <f t="shared" si="16"/>
        <v>0</v>
      </c>
      <c r="G24" s="31">
        <f t="shared" si="17"/>
        <v>0</v>
      </c>
      <c r="H24" s="31">
        <f t="shared" si="18"/>
        <v>0</v>
      </c>
      <c r="I24" s="32">
        <f t="shared" si="19"/>
        <v>0</v>
      </c>
      <c r="N24" t="s">
        <v>236</v>
      </c>
      <c r="R24" s="32" t="str">
        <f t="shared" si="20"/>
        <v>4)Hex(3)</v>
      </c>
      <c r="S24" s="32" t="str">
        <f t="shared" si="21"/>
        <v>3)</v>
      </c>
      <c r="T24" s="32">
        <f t="shared" si="22"/>
        <v>0</v>
      </c>
      <c r="U24" s="32">
        <f t="shared" si="23"/>
        <v>0</v>
      </c>
      <c r="V24" s="32">
        <f t="shared" si="24"/>
        <v>0</v>
      </c>
      <c r="W24" s="32">
        <f t="shared" si="25"/>
        <v>0</v>
      </c>
      <c r="X24" s="32">
        <f t="shared" si="26"/>
        <v>0</v>
      </c>
      <c r="Y24" s="32">
        <f t="shared" si="27"/>
        <v>0</v>
      </c>
      <c r="Z24" s="32">
        <f t="shared" si="28"/>
        <v>0</v>
      </c>
    </row>
    <row r="25" spans="1:26" x14ac:dyDescent="0.25">
      <c r="A25" s="30" t="str">
        <f t="shared" si="11"/>
        <v>2</v>
      </c>
      <c r="B25" s="30" t="str">
        <f t="shared" si="12"/>
        <v>5</v>
      </c>
      <c r="C25" s="30" t="str">
        <f t="shared" si="13"/>
        <v>1</v>
      </c>
      <c r="D25" s="31">
        <f t="shared" si="14"/>
        <v>0</v>
      </c>
      <c r="E25" s="31">
        <f t="shared" si="15"/>
        <v>0</v>
      </c>
      <c r="F25" s="32">
        <f t="shared" si="16"/>
        <v>0</v>
      </c>
      <c r="G25" s="31">
        <f t="shared" si="17"/>
        <v>0</v>
      </c>
      <c r="H25" s="31">
        <f t="shared" si="18"/>
        <v>0</v>
      </c>
      <c r="I25" s="32">
        <f t="shared" si="19"/>
        <v>0</v>
      </c>
      <c r="N25" t="s">
        <v>73</v>
      </c>
      <c r="R25" s="32" t="str">
        <f t="shared" si="20"/>
        <v>2)Hex(5)Fuc(1)</v>
      </c>
      <c r="S25" s="32" t="str">
        <f t="shared" si="21"/>
        <v>5)Fuc(1)</v>
      </c>
      <c r="T25" s="32" t="str">
        <f t="shared" si="22"/>
        <v>1)</v>
      </c>
      <c r="U25" s="32">
        <f t="shared" si="23"/>
        <v>0</v>
      </c>
      <c r="V25" s="32">
        <f t="shared" si="24"/>
        <v>0</v>
      </c>
      <c r="W25" s="32">
        <f t="shared" si="25"/>
        <v>0</v>
      </c>
      <c r="X25" s="32">
        <f t="shared" si="26"/>
        <v>0</v>
      </c>
      <c r="Y25" s="32">
        <f t="shared" si="27"/>
        <v>0</v>
      </c>
      <c r="Z25" s="32">
        <f t="shared" si="28"/>
        <v>0</v>
      </c>
    </row>
    <row r="26" spans="1:26" x14ac:dyDescent="0.25">
      <c r="A26" s="30" t="str">
        <f t="shared" si="11"/>
        <v>2</v>
      </c>
      <c r="B26" s="30" t="str">
        <f t="shared" si="12"/>
        <v>6</v>
      </c>
      <c r="C26" s="30">
        <f t="shared" si="13"/>
        <v>0</v>
      </c>
      <c r="D26" s="31">
        <f t="shared" si="14"/>
        <v>0</v>
      </c>
      <c r="E26" s="31">
        <f t="shared" si="15"/>
        <v>0</v>
      </c>
      <c r="F26" s="32">
        <f t="shared" si="16"/>
        <v>0</v>
      </c>
      <c r="G26" s="31">
        <f t="shared" si="17"/>
        <v>0</v>
      </c>
      <c r="H26" s="31">
        <f t="shared" si="18"/>
        <v>0</v>
      </c>
      <c r="I26" s="32">
        <f t="shared" si="19"/>
        <v>0</v>
      </c>
      <c r="N26" t="s">
        <v>237</v>
      </c>
      <c r="R26" s="32" t="str">
        <f t="shared" si="20"/>
        <v>2)Hex(6)</v>
      </c>
      <c r="S26" s="32" t="str">
        <f t="shared" si="21"/>
        <v>6)</v>
      </c>
      <c r="T26" s="32">
        <f t="shared" si="22"/>
        <v>0</v>
      </c>
      <c r="U26" s="32">
        <f t="shared" si="23"/>
        <v>0</v>
      </c>
      <c r="V26" s="32">
        <f t="shared" si="24"/>
        <v>0</v>
      </c>
      <c r="W26" s="32">
        <f t="shared" si="25"/>
        <v>0</v>
      </c>
      <c r="X26" s="32">
        <f t="shared" si="26"/>
        <v>0</v>
      </c>
      <c r="Y26" s="32">
        <f t="shared" si="27"/>
        <v>0</v>
      </c>
      <c r="Z26" s="32">
        <f t="shared" si="28"/>
        <v>0</v>
      </c>
    </row>
    <row r="27" spans="1:26" x14ac:dyDescent="0.25">
      <c r="A27" s="30" t="str">
        <f t="shared" si="11"/>
        <v>3</v>
      </c>
      <c r="B27" s="30" t="str">
        <f t="shared" si="12"/>
        <v>3</v>
      </c>
      <c r="C27" s="30" t="str">
        <f t="shared" si="13"/>
        <v>2</v>
      </c>
      <c r="D27" s="31">
        <f t="shared" si="14"/>
        <v>0</v>
      </c>
      <c r="E27" s="31">
        <f t="shared" si="15"/>
        <v>0</v>
      </c>
      <c r="F27" s="32">
        <f t="shared" si="16"/>
        <v>0</v>
      </c>
      <c r="G27" s="31">
        <f t="shared" si="17"/>
        <v>0</v>
      </c>
      <c r="H27" s="31">
        <f t="shared" si="18"/>
        <v>0</v>
      </c>
      <c r="I27" s="32">
        <f t="shared" si="19"/>
        <v>0</v>
      </c>
      <c r="N27" t="s">
        <v>238</v>
      </c>
      <c r="R27" s="32" t="str">
        <f t="shared" si="20"/>
        <v>3)Hex(3)Fuc(2)</v>
      </c>
      <c r="S27" s="32" t="str">
        <f t="shared" si="21"/>
        <v>3)Fuc(2)</v>
      </c>
      <c r="T27" s="32" t="str">
        <f t="shared" si="22"/>
        <v>2)</v>
      </c>
      <c r="U27" s="32">
        <f t="shared" si="23"/>
        <v>0</v>
      </c>
      <c r="V27" s="32">
        <f t="shared" si="24"/>
        <v>0</v>
      </c>
      <c r="W27" s="32">
        <f t="shared" si="25"/>
        <v>0</v>
      </c>
      <c r="X27" s="32">
        <f t="shared" si="26"/>
        <v>0</v>
      </c>
      <c r="Y27" s="32">
        <f t="shared" si="27"/>
        <v>0</v>
      </c>
      <c r="Z27" s="32">
        <f t="shared" si="28"/>
        <v>0</v>
      </c>
    </row>
    <row r="28" spans="1:26" x14ac:dyDescent="0.25">
      <c r="A28" s="30" t="str">
        <f t="shared" si="11"/>
        <v>3</v>
      </c>
      <c r="B28" s="30" t="str">
        <f t="shared" si="12"/>
        <v>4</v>
      </c>
      <c r="C28" s="30" t="str">
        <f t="shared" si="13"/>
        <v>1</v>
      </c>
      <c r="D28" s="31">
        <f t="shared" si="14"/>
        <v>0</v>
      </c>
      <c r="E28" s="31">
        <f t="shared" si="15"/>
        <v>0</v>
      </c>
      <c r="F28" s="32">
        <f t="shared" si="16"/>
        <v>0</v>
      </c>
      <c r="G28" s="31">
        <f t="shared" si="17"/>
        <v>0</v>
      </c>
      <c r="H28" s="31">
        <f t="shared" si="18"/>
        <v>0</v>
      </c>
      <c r="I28" s="32">
        <f t="shared" si="19"/>
        <v>0</v>
      </c>
      <c r="N28" t="s">
        <v>239</v>
      </c>
      <c r="R28" s="32" t="str">
        <f t="shared" si="20"/>
        <v>3)Hex(4)Fuc(1)</v>
      </c>
      <c r="S28" s="32" t="str">
        <f t="shared" si="21"/>
        <v>4)Fuc(1)</v>
      </c>
      <c r="T28" s="32" t="str">
        <f t="shared" si="22"/>
        <v>1)</v>
      </c>
      <c r="U28" s="32">
        <f t="shared" si="23"/>
        <v>0</v>
      </c>
      <c r="V28" s="32">
        <f t="shared" si="24"/>
        <v>0</v>
      </c>
      <c r="W28" s="32">
        <f t="shared" si="25"/>
        <v>0</v>
      </c>
      <c r="X28" s="32">
        <f t="shared" si="26"/>
        <v>0</v>
      </c>
      <c r="Y28" s="32">
        <f t="shared" si="27"/>
        <v>0</v>
      </c>
      <c r="Z28" s="32">
        <f t="shared" si="28"/>
        <v>0</v>
      </c>
    </row>
    <row r="29" spans="1:26" x14ac:dyDescent="0.25">
      <c r="A29" s="30" t="str">
        <f t="shared" si="11"/>
        <v>3</v>
      </c>
      <c r="B29" s="30" t="str">
        <f t="shared" si="12"/>
        <v>5</v>
      </c>
      <c r="C29" s="30">
        <f t="shared" si="13"/>
        <v>0</v>
      </c>
      <c r="D29" s="31">
        <f t="shared" si="14"/>
        <v>0</v>
      </c>
      <c r="E29" s="31">
        <f t="shared" si="15"/>
        <v>0</v>
      </c>
      <c r="F29" s="32">
        <f t="shared" si="16"/>
        <v>0</v>
      </c>
      <c r="G29" s="31">
        <f t="shared" si="17"/>
        <v>0</v>
      </c>
      <c r="H29" s="31">
        <f t="shared" si="18"/>
        <v>0</v>
      </c>
      <c r="I29" s="32">
        <f t="shared" si="19"/>
        <v>0</v>
      </c>
      <c r="N29" t="s">
        <v>240</v>
      </c>
      <c r="R29" s="32" t="str">
        <f t="shared" si="20"/>
        <v>3)Hex(5)</v>
      </c>
      <c r="S29" s="32" t="str">
        <f t="shared" si="21"/>
        <v>5)</v>
      </c>
      <c r="T29" s="32">
        <f t="shared" si="22"/>
        <v>0</v>
      </c>
      <c r="U29" s="32">
        <f t="shared" si="23"/>
        <v>0</v>
      </c>
      <c r="V29" s="32">
        <f t="shared" si="24"/>
        <v>0</v>
      </c>
      <c r="W29" s="32">
        <f t="shared" si="25"/>
        <v>0</v>
      </c>
      <c r="X29" s="32">
        <f t="shared" si="26"/>
        <v>0</v>
      </c>
      <c r="Y29" s="32">
        <f t="shared" si="27"/>
        <v>0</v>
      </c>
      <c r="Z29" s="32">
        <f t="shared" si="28"/>
        <v>0</v>
      </c>
    </row>
    <row r="30" spans="1:26" x14ac:dyDescent="0.25">
      <c r="A30" s="30" t="str">
        <f t="shared" si="11"/>
        <v>4</v>
      </c>
      <c r="B30" s="30" t="str">
        <f t="shared" si="12"/>
        <v>3</v>
      </c>
      <c r="C30" s="30" t="str">
        <f t="shared" si="13"/>
        <v>1</v>
      </c>
      <c r="D30" s="31">
        <f t="shared" si="14"/>
        <v>0</v>
      </c>
      <c r="E30" s="31">
        <f t="shared" si="15"/>
        <v>0</v>
      </c>
      <c r="F30" s="32">
        <f t="shared" si="16"/>
        <v>0</v>
      </c>
      <c r="G30" s="31">
        <f t="shared" si="17"/>
        <v>0</v>
      </c>
      <c r="H30" s="31">
        <f t="shared" si="18"/>
        <v>0</v>
      </c>
      <c r="I30" s="32">
        <f t="shared" si="19"/>
        <v>0</v>
      </c>
      <c r="N30" t="s">
        <v>241</v>
      </c>
      <c r="R30" s="32" t="str">
        <f t="shared" si="20"/>
        <v>4)Hex(3)Fuc(1)</v>
      </c>
      <c r="S30" s="32" t="str">
        <f t="shared" si="21"/>
        <v>3)Fuc(1)</v>
      </c>
      <c r="T30" s="32" t="str">
        <f t="shared" si="22"/>
        <v>1)</v>
      </c>
      <c r="U30" s="32">
        <f t="shared" si="23"/>
        <v>0</v>
      </c>
      <c r="V30" s="32">
        <f t="shared" si="24"/>
        <v>0</v>
      </c>
      <c r="W30" s="32">
        <f t="shared" si="25"/>
        <v>0</v>
      </c>
      <c r="X30" s="32">
        <f t="shared" si="26"/>
        <v>0</v>
      </c>
      <c r="Y30" s="32">
        <f t="shared" si="27"/>
        <v>0</v>
      </c>
      <c r="Z30" s="32">
        <f t="shared" si="28"/>
        <v>0</v>
      </c>
    </row>
    <row r="31" spans="1:26" x14ac:dyDescent="0.25">
      <c r="A31" s="30" t="str">
        <f t="shared" si="11"/>
        <v>4</v>
      </c>
      <c r="B31" s="30" t="str">
        <f t="shared" si="12"/>
        <v>4</v>
      </c>
      <c r="C31" s="30">
        <f t="shared" si="13"/>
        <v>0</v>
      </c>
      <c r="D31" s="31">
        <f t="shared" si="14"/>
        <v>0</v>
      </c>
      <c r="E31" s="31">
        <f t="shared" si="15"/>
        <v>0</v>
      </c>
      <c r="F31" s="32">
        <f t="shared" si="16"/>
        <v>0</v>
      </c>
      <c r="G31" s="31">
        <f t="shared" si="17"/>
        <v>0</v>
      </c>
      <c r="H31" s="31">
        <f t="shared" si="18"/>
        <v>0</v>
      </c>
      <c r="I31" s="32">
        <f t="shared" si="19"/>
        <v>0</v>
      </c>
      <c r="N31" t="s">
        <v>242</v>
      </c>
      <c r="R31" s="32" t="str">
        <f t="shared" si="20"/>
        <v>4)Hex(4)</v>
      </c>
      <c r="S31" s="32" t="str">
        <f t="shared" si="21"/>
        <v>4)</v>
      </c>
      <c r="T31" s="32">
        <f t="shared" si="22"/>
        <v>0</v>
      </c>
      <c r="U31" s="32">
        <f t="shared" si="23"/>
        <v>0</v>
      </c>
      <c r="V31" s="32">
        <f t="shared" si="24"/>
        <v>0</v>
      </c>
      <c r="W31" s="32">
        <f t="shared" si="25"/>
        <v>0</v>
      </c>
      <c r="X31" s="32">
        <f t="shared" si="26"/>
        <v>0</v>
      </c>
      <c r="Y31" s="32">
        <f t="shared" si="27"/>
        <v>0</v>
      </c>
      <c r="Z31" s="32">
        <f t="shared" si="28"/>
        <v>0</v>
      </c>
    </row>
    <row r="32" spans="1:26" x14ac:dyDescent="0.25">
      <c r="A32" s="30" t="str">
        <f t="shared" si="11"/>
        <v>5</v>
      </c>
      <c r="B32" s="30" t="str">
        <f t="shared" si="12"/>
        <v>3</v>
      </c>
      <c r="C32" s="30">
        <f t="shared" si="13"/>
        <v>0</v>
      </c>
      <c r="D32" s="31">
        <f t="shared" si="14"/>
        <v>0</v>
      </c>
      <c r="E32" s="31">
        <f t="shared" si="15"/>
        <v>0</v>
      </c>
      <c r="F32" s="32">
        <f t="shared" si="16"/>
        <v>0</v>
      </c>
      <c r="G32" s="31">
        <f t="shared" si="17"/>
        <v>0</v>
      </c>
      <c r="H32" s="31">
        <f t="shared" si="18"/>
        <v>0</v>
      </c>
      <c r="I32" s="32">
        <f t="shared" si="19"/>
        <v>0</v>
      </c>
      <c r="N32" t="s">
        <v>243</v>
      </c>
      <c r="R32" s="32" t="str">
        <f t="shared" si="20"/>
        <v>5)Hex(3)</v>
      </c>
      <c r="S32" s="32" t="str">
        <f t="shared" si="21"/>
        <v>3)</v>
      </c>
      <c r="T32" s="32">
        <f t="shared" si="22"/>
        <v>0</v>
      </c>
      <c r="U32" s="32">
        <f t="shared" si="23"/>
        <v>0</v>
      </c>
      <c r="V32" s="32">
        <f t="shared" si="24"/>
        <v>0</v>
      </c>
      <c r="W32" s="32">
        <f t="shared" si="25"/>
        <v>0</v>
      </c>
      <c r="X32" s="32">
        <f t="shared" si="26"/>
        <v>0</v>
      </c>
      <c r="Y32" s="32">
        <f t="shared" si="27"/>
        <v>0</v>
      </c>
      <c r="Z32" s="32">
        <f t="shared" si="28"/>
        <v>0</v>
      </c>
    </row>
    <row r="33" spans="1:26" x14ac:dyDescent="0.25">
      <c r="A33" s="30" t="str">
        <f t="shared" si="11"/>
        <v>2</v>
      </c>
      <c r="B33" s="30" t="str">
        <f t="shared" si="12"/>
        <v>7</v>
      </c>
      <c r="C33" s="30">
        <f t="shared" si="13"/>
        <v>0</v>
      </c>
      <c r="D33" s="31">
        <f t="shared" si="14"/>
        <v>0</v>
      </c>
      <c r="E33" s="31">
        <f t="shared" si="15"/>
        <v>0</v>
      </c>
      <c r="F33" s="32">
        <f t="shared" si="16"/>
        <v>0</v>
      </c>
      <c r="G33" s="31">
        <f t="shared" si="17"/>
        <v>0</v>
      </c>
      <c r="H33" s="31">
        <f t="shared" si="18"/>
        <v>0</v>
      </c>
      <c r="I33" s="32">
        <f t="shared" si="19"/>
        <v>0</v>
      </c>
      <c r="N33" t="s">
        <v>244</v>
      </c>
      <c r="R33" s="32" t="str">
        <f t="shared" si="20"/>
        <v>2)Hex(7)</v>
      </c>
      <c r="S33" s="32" t="str">
        <f t="shared" si="21"/>
        <v>7)</v>
      </c>
      <c r="T33" s="32">
        <f t="shared" si="22"/>
        <v>0</v>
      </c>
      <c r="U33" s="32">
        <f t="shared" si="23"/>
        <v>0</v>
      </c>
      <c r="V33" s="32">
        <f t="shared" si="24"/>
        <v>0</v>
      </c>
      <c r="W33" s="32">
        <f t="shared" si="25"/>
        <v>0</v>
      </c>
      <c r="X33" s="32">
        <f t="shared" si="26"/>
        <v>0</v>
      </c>
      <c r="Y33" s="32">
        <f t="shared" si="27"/>
        <v>0</v>
      </c>
      <c r="Z33" s="32">
        <f t="shared" si="28"/>
        <v>0</v>
      </c>
    </row>
    <row r="34" spans="1:26" x14ac:dyDescent="0.25">
      <c r="A34" s="30" t="str">
        <f t="shared" si="11"/>
        <v>3</v>
      </c>
      <c r="B34" s="30" t="str">
        <f t="shared" si="12"/>
        <v>4</v>
      </c>
      <c r="C34" s="30">
        <f t="shared" si="13"/>
        <v>0</v>
      </c>
      <c r="D34" s="31">
        <f t="shared" si="14"/>
        <v>1</v>
      </c>
      <c r="E34" s="31">
        <f t="shared" si="15"/>
        <v>0</v>
      </c>
      <c r="F34" s="32">
        <f t="shared" si="16"/>
        <v>1</v>
      </c>
      <c r="G34" s="31">
        <f t="shared" si="17"/>
        <v>0</v>
      </c>
      <c r="H34" s="31">
        <f t="shared" si="18"/>
        <v>0</v>
      </c>
      <c r="I34" s="32">
        <f t="shared" si="19"/>
        <v>0</v>
      </c>
      <c r="N34" t="s">
        <v>245</v>
      </c>
      <c r="R34" s="32" t="str">
        <f t="shared" si="20"/>
        <v>3)Hex(4)NeuAc(1)</v>
      </c>
      <c r="S34" s="32" t="str">
        <f t="shared" si="21"/>
        <v>4)NeuAc(1)</v>
      </c>
      <c r="T34" s="32">
        <f t="shared" si="22"/>
        <v>0</v>
      </c>
      <c r="U34" s="32" t="str">
        <f t="shared" si="23"/>
        <v>1)</v>
      </c>
      <c r="V34" s="32">
        <f t="shared" si="24"/>
        <v>0</v>
      </c>
      <c r="W34" s="32">
        <f t="shared" si="25"/>
        <v>0</v>
      </c>
      <c r="X34" s="32">
        <f t="shared" si="26"/>
        <v>0</v>
      </c>
      <c r="Y34" s="32">
        <f t="shared" si="27"/>
        <v>0</v>
      </c>
      <c r="Z34" s="32">
        <f t="shared" si="28"/>
        <v>0</v>
      </c>
    </row>
    <row r="35" spans="1:26" x14ac:dyDescent="0.25">
      <c r="A35" s="30" t="str">
        <f t="shared" si="11"/>
        <v>3</v>
      </c>
      <c r="B35" s="30" t="str">
        <f t="shared" si="12"/>
        <v>4</v>
      </c>
      <c r="C35" s="30" t="str">
        <f t="shared" si="13"/>
        <v>2</v>
      </c>
      <c r="D35" s="31">
        <f t="shared" si="14"/>
        <v>0</v>
      </c>
      <c r="E35" s="31">
        <f t="shared" si="15"/>
        <v>0</v>
      </c>
      <c r="F35" s="32">
        <f t="shared" si="16"/>
        <v>0</v>
      </c>
      <c r="G35" s="31">
        <f t="shared" si="17"/>
        <v>0</v>
      </c>
      <c r="H35" s="31">
        <f t="shared" si="18"/>
        <v>0</v>
      </c>
      <c r="I35" s="32">
        <f t="shared" si="19"/>
        <v>0</v>
      </c>
      <c r="N35" t="s">
        <v>246</v>
      </c>
      <c r="R35" s="32" t="str">
        <f t="shared" si="20"/>
        <v>3)Hex(4)Fuc(2)</v>
      </c>
      <c r="S35" s="32" t="str">
        <f t="shared" si="21"/>
        <v>4)Fuc(2)</v>
      </c>
      <c r="T35" s="32" t="str">
        <f t="shared" si="22"/>
        <v>2)</v>
      </c>
      <c r="U35" s="32">
        <f t="shared" si="23"/>
        <v>0</v>
      </c>
      <c r="V35" s="32">
        <f t="shared" si="24"/>
        <v>0</v>
      </c>
      <c r="W35" s="32">
        <f t="shared" si="25"/>
        <v>0</v>
      </c>
      <c r="X35" s="32">
        <f t="shared" si="26"/>
        <v>0</v>
      </c>
      <c r="Y35" s="32">
        <f t="shared" si="27"/>
        <v>0</v>
      </c>
      <c r="Z35" s="32">
        <f t="shared" si="28"/>
        <v>0</v>
      </c>
    </row>
    <row r="36" spans="1:26" x14ac:dyDescent="0.25">
      <c r="A36" s="30" t="str">
        <f t="shared" si="11"/>
        <v>3</v>
      </c>
      <c r="B36" s="30" t="str">
        <f t="shared" si="12"/>
        <v>4</v>
      </c>
      <c r="C36" s="30">
        <f t="shared" si="13"/>
        <v>0</v>
      </c>
      <c r="D36" s="31">
        <f t="shared" si="14"/>
        <v>0</v>
      </c>
      <c r="E36" s="31">
        <f t="shared" si="15"/>
        <v>1</v>
      </c>
      <c r="F36" s="32">
        <f>SUM(D36:E36)</f>
        <v>1</v>
      </c>
      <c r="G36" s="31">
        <f t="shared" si="17"/>
        <v>0</v>
      </c>
      <c r="H36" s="31">
        <f t="shared" si="18"/>
        <v>0</v>
      </c>
      <c r="I36" s="32">
        <f t="shared" si="19"/>
        <v>0</v>
      </c>
      <c r="N36" t="s">
        <v>247</v>
      </c>
      <c r="R36" s="32" t="str">
        <f t="shared" si="20"/>
        <v>3)Hex(4)NeuGc(1)</v>
      </c>
      <c r="S36" s="32" t="str">
        <f t="shared" si="21"/>
        <v>4)NeuGc(1)</v>
      </c>
      <c r="T36" s="32">
        <f t="shared" si="22"/>
        <v>0</v>
      </c>
      <c r="U36" s="32">
        <f t="shared" si="23"/>
        <v>0</v>
      </c>
      <c r="V36" s="32" t="str">
        <f t="shared" si="24"/>
        <v>1)</v>
      </c>
      <c r="W36" s="32">
        <f t="shared" si="25"/>
        <v>0</v>
      </c>
      <c r="X36" s="32">
        <f t="shared" si="26"/>
        <v>0</v>
      </c>
      <c r="Y36" s="32">
        <f t="shared" si="27"/>
        <v>0</v>
      </c>
      <c r="Z36" s="32">
        <f t="shared" si="28"/>
        <v>0</v>
      </c>
    </row>
    <row r="37" spans="1:26" x14ac:dyDescent="0.25">
      <c r="A37" s="30" t="str">
        <f t="shared" si="11"/>
        <v>3</v>
      </c>
      <c r="B37" s="30" t="str">
        <f t="shared" si="12"/>
        <v>5</v>
      </c>
      <c r="C37" s="30" t="str">
        <f t="shared" si="13"/>
        <v>1</v>
      </c>
      <c r="D37" s="31">
        <f t="shared" si="14"/>
        <v>0</v>
      </c>
      <c r="E37" s="31">
        <f t="shared" si="15"/>
        <v>0</v>
      </c>
      <c r="F37" s="32">
        <f t="shared" si="16"/>
        <v>0</v>
      </c>
      <c r="G37" s="31">
        <f t="shared" si="17"/>
        <v>0</v>
      </c>
      <c r="H37" s="31">
        <f t="shared" si="18"/>
        <v>0</v>
      </c>
      <c r="I37" s="32">
        <f t="shared" si="19"/>
        <v>0</v>
      </c>
      <c r="N37" t="s">
        <v>248</v>
      </c>
      <c r="R37" s="32" t="str">
        <f t="shared" si="20"/>
        <v>3)Hex(5)Fuc(1)</v>
      </c>
      <c r="S37" s="32" t="str">
        <f t="shared" si="21"/>
        <v>5)Fuc(1)</v>
      </c>
      <c r="T37" s="32" t="str">
        <f t="shared" si="22"/>
        <v>1)</v>
      </c>
      <c r="U37" s="32">
        <f t="shared" si="23"/>
        <v>0</v>
      </c>
      <c r="V37" s="32">
        <f t="shared" si="24"/>
        <v>0</v>
      </c>
      <c r="W37" s="32">
        <f t="shared" si="25"/>
        <v>0</v>
      </c>
      <c r="X37" s="32">
        <f t="shared" si="26"/>
        <v>0</v>
      </c>
      <c r="Y37" s="32">
        <f t="shared" si="27"/>
        <v>0</v>
      </c>
      <c r="Z37" s="32">
        <f t="shared" si="28"/>
        <v>0</v>
      </c>
    </row>
    <row r="38" spans="1:26" x14ac:dyDescent="0.25">
      <c r="A38" s="30" t="str">
        <f t="shared" si="11"/>
        <v>3</v>
      </c>
      <c r="B38" s="30" t="str">
        <f t="shared" si="12"/>
        <v>6</v>
      </c>
      <c r="C38" s="30">
        <f t="shared" si="13"/>
        <v>0</v>
      </c>
      <c r="D38" s="31">
        <f t="shared" si="14"/>
        <v>0</v>
      </c>
      <c r="E38" s="31">
        <f t="shared" si="15"/>
        <v>0</v>
      </c>
      <c r="F38" s="32">
        <f t="shared" si="16"/>
        <v>0</v>
      </c>
      <c r="G38" s="31">
        <f t="shared" si="17"/>
        <v>0</v>
      </c>
      <c r="H38" s="31">
        <f t="shared" si="18"/>
        <v>0</v>
      </c>
      <c r="I38" s="32">
        <f t="shared" si="19"/>
        <v>0</v>
      </c>
      <c r="N38" t="s">
        <v>249</v>
      </c>
      <c r="R38" s="32" t="str">
        <f t="shared" si="20"/>
        <v>3)Hex(6)</v>
      </c>
      <c r="S38" s="32" t="str">
        <f t="shared" si="21"/>
        <v>6)</v>
      </c>
      <c r="T38" s="32">
        <f t="shared" si="22"/>
        <v>0</v>
      </c>
      <c r="U38" s="32">
        <f t="shared" si="23"/>
        <v>0</v>
      </c>
      <c r="V38" s="32">
        <f t="shared" si="24"/>
        <v>0</v>
      </c>
      <c r="W38" s="32">
        <f t="shared" si="25"/>
        <v>0</v>
      </c>
      <c r="X38" s="32">
        <f t="shared" si="26"/>
        <v>0</v>
      </c>
      <c r="Y38" s="32">
        <f t="shared" si="27"/>
        <v>0</v>
      </c>
      <c r="Z38" s="32">
        <f t="shared" si="28"/>
        <v>0</v>
      </c>
    </row>
    <row r="39" spans="1:26" x14ac:dyDescent="0.25">
      <c r="A39" s="30" t="str">
        <f t="shared" si="11"/>
        <v>4</v>
      </c>
      <c r="B39" s="30" t="str">
        <f t="shared" si="12"/>
        <v>3</v>
      </c>
      <c r="C39" s="30">
        <f t="shared" si="13"/>
        <v>0</v>
      </c>
      <c r="D39" s="31">
        <f t="shared" si="14"/>
        <v>1</v>
      </c>
      <c r="E39" s="31">
        <f t="shared" si="15"/>
        <v>0</v>
      </c>
      <c r="F39" s="32">
        <f t="shared" si="16"/>
        <v>1</v>
      </c>
      <c r="G39" s="31">
        <f t="shared" si="17"/>
        <v>0</v>
      </c>
      <c r="H39" s="31">
        <f t="shared" si="18"/>
        <v>0</v>
      </c>
      <c r="I39" s="32">
        <f t="shared" si="19"/>
        <v>0</v>
      </c>
      <c r="N39" t="s">
        <v>250</v>
      </c>
      <c r="R39" s="32" t="str">
        <f t="shared" si="20"/>
        <v>4)Hex(3)NeuAc(1)</v>
      </c>
      <c r="S39" s="32" t="str">
        <f t="shared" si="21"/>
        <v>3)NeuAc(1)</v>
      </c>
      <c r="T39" s="32">
        <f t="shared" si="22"/>
        <v>0</v>
      </c>
      <c r="U39" s="32" t="str">
        <f t="shared" si="23"/>
        <v>1)</v>
      </c>
      <c r="V39" s="32">
        <f t="shared" si="24"/>
        <v>0</v>
      </c>
      <c r="W39" s="32">
        <f t="shared" si="25"/>
        <v>0</v>
      </c>
      <c r="X39" s="32">
        <f t="shared" si="26"/>
        <v>0</v>
      </c>
      <c r="Y39" s="32">
        <f t="shared" si="27"/>
        <v>0</v>
      </c>
      <c r="Z39" s="32">
        <f t="shared" si="28"/>
        <v>0</v>
      </c>
    </row>
    <row r="40" spans="1:26" x14ac:dyDescent="0.25">
      <c r="A40" s="30" t="str">
        <f t="shared" si="11"/>
        <v>4</v>
      </c>
      <c r="B40" s="30" t="str">
        <f t="shared" si="12"/>
        <v>3</v>
      </c>
      <c r="C40" s="30" t="str">
        <f t="shared" si="13"/>
        <v>2</v>
      </c>
      <c r="D40" s="31">
        <f t="shared" si="14"/>
        <v>0</v>
      </c>
      <c r="E40" s="31">
        <f t="shared" si="15"/>
        <v>0</v>
      </c>
      <c r="F40" s="32">
        <f t="shared" si="16"/>
        <v>0</v>
      </c>
      <c r="G40" s="31">
        <f t="shared" si="17"/>
        <v>0</v>
      </c>
      <c r="H40" s="31">
        <f t="shared" si="18"/>
        <v>0</v>
      </c>
      <c r="I40" s="32">
        <f t="shared" si="19"/>
        <v>0</v>
      </c>
      <c r="N40" t="s">
        <v>251</v>
      </c>
      <c r="R40" s="32" t="str">
        <f t="shared" si="20"/>
        <v>4)Hex(3)Fuc(2)</v>
      </c>
      <c r="S40" s="32" t="str">
        <f t="shared" si="21"/>
        <v>3)Fuc(2)</v>
      </c>
      <c r="T40" s="32" t="str">
        <f t="shared" si="22"/>
        <v>2)</v>
      </c>
      <c r="U40" s="32">
        <f t="shared" si="23"/>
        <v>0</v>
      </c>
      <c r="V40" s="32">
        <f t="shared" si="24"/>
        <v>0</v>
      </c>
      <c r="W40" s="32">
        <f t="shared" si="25"/>
        <v>0</v>
      </c>
      <c r="X40" s="32">
        <f t="shared" si="26"/>
        <v>0</v>
      </c>
      <c r="Y40" s="32">
        <f t="shared" si="27"/>
        <v>0</v>
      </c>
      <c r="Z40" s="32">
        <f t="shared" si="28"/>
        <v>0</v>
      </c>
    </row>
    <row r="41" spans="1:26" x14ac:dyDescent="0.25">
      <c r="A41" s="30" t="str">
        <f t="shared" si="11"/>
        <v>4</v>
      </c>
      <c r="B41" s="30" t="str">
        <f t="shared" si="12"/>
        <v>3</v>
      </c>
      <c r="C41" s="30">
        <f t="shared" si="13"/>
        <v>0</v>
      </c>
      <c r="D41" s="31">
        <f t="shared" si="14"/>
        <v>0</v>
      </c>
      <c r="E41" s="31">
        <f t="shared" si="15"/>
        <v>1</v>
      </c>
      <c r="F41" s="32">
        <f t="shared" si="16"/>
        <v>1</v>
      </c>
      <c r="G41" s="31">
        <f t="shared" si="17"/>
        <v>0</v>
      </c>
      <c r="H41" s="31">
        <f t="shared" si="18"/>
        <v>0</v>
      </c>
      <c r="I41" s="32">
        <f t="shared" si="19"/>
        <v>0</v>
      </c>
      <c r="N41" t="s">
        <v>252</v>
      </c>
      <c r="R41" s="32" t="str">
        <f t="shared" si="20"/>
        <v>4)Hex(3)NeuGc(1)</v>
      </c>
      <c r="S41" s="32" t="str">
        <f t="shared" si="21"/>
        <v>3)NeuGc(1)</v>
      </c>
      <c r="T41" s="32">
        <f t="shared" si="22"/>
        <v>0</v>
      </c>
      <c r="U41" s="32">
        <f t="shared" si="23"/>
        <v>0</v>
      </c>
      <c r="V41" s="32" t="str">
        <f t="shared" si="24"/>
        <v>1)</v>
      </c>
      <c r="W41" s="32">
        <f t="shared" si="25"/>
        <v>0</v>
      </c>
      <c r="X41" s="32">
        <f t="shared" si="26"/>
        <v>0</v>
      </c>
      <c r="Y41" s="32">
        <f t="shared" si="27"/>
        <v>0</v>
      </c>
      <c r="Z41" s="32">
        <f t="shared" si="28"/>
        <v>0</v>
      </c>
    </row>
    <row r="42" spans="1:26" x14ac:dyDescent="0.25">
      <c r="A42" s="30" t="str">
        <f t="shared" si="11"/>
        <v>4</v>
      </c>
      <c r="B42" s="30" t="str">
        <f t="shared" si="12"/>
        <v>4</v>
      </c>
      <c r="C42" s="30" t="str">
        <f t="shared" si="13"/>
        <v>1</v>
      </c>
      <c r="D42" s="31">
        <f t="shared" si="14"/>
        <v>0</v>
      </c>
      <c r="E42" s="31">
        <f t="shared" si="15"/>
        <v>0</v>
      </c>
      <c r="F42" s="32">
        <f t="shared" si="16"/>
        <v>0</v>
      </c>
      <c r="G42" s="31">
        <f t="shared" si="17"/>
        <v>0</v>
      </c>
      <c r="H42" s="31">
        <f t="shared" si="18"/>
        <v>0</v>
      </c>
      <c r="I42" s="32">
        <f t="shared" si="19"/>
        <v>0</v>
      </c>
      <c r="N42" t="s">
        <v>253</v>
      </c>
      <c r="R42" s="32" t="str">
        <f t="shared" si="20"/>
        <v>4)Hex(4)Fuc(1)</v>
      </c>
      <c r="S42" s="32" t="str">
        <f t="shared" si="21"/>
        <v>4)Fuc(1)</v>
      </c>
      <c r="T42" s="32" t="str">
        <f t="shared" si="22"/>
        <v>1)</v>
      </c>
      <c r="U42" s="32">
        <f t="shared" si="23"/>
        <v>0</v>
      </c>
      <c r="V42" s="32">
        <f t="shared" si="24"/>
        <v>0</v>
      </c>
      <c r="W42" s="32">
        <f t="shared" si="25"/>
        <v>0</v>
      </c>
      <c r="X42" s="32">
        <f t="shared" si="26"/>
        <v>0</v>
      </c>
      <c r="Y42" s="32">
        <f t="shared" si="27"/>
        <v>0</v>
      </c>
      <c r="Z42" s="32">
        <f t="shared" si="28"/>
        <v>0</v>
      </c>
    </row>
    <row r="43" spans="1:26" x14ac:dyDescent="0.25">
      <c r="A43" s="30" t="str">
        <f t="shared" si="11"/>
        <v>4</v>
      </c>
      <c r="B43" s="30" t="str">
        <f t="shared" si="12"/>
        <v>5</v>
      </c>
      <c r="C43" s="30">
        <f t="shared" si="13"/>
        <v>0</v>
      </c>
      <c r="D43" s="31">
        <f t="shared" si="14"/>
        <v>0</v>
      </c>
      <c r="E43" s="31">
        <f t="shared" si="15"/>
        <v>0</v>
      </c>
      <c r="F43" s="32">
        <f t="shared" si="16"/>
        <v>0</v>
      </c>
      <c r="G43" s="31">
        <f t="shared" si="17"/>
        <v>0</v>
      </c>
      <c r="H43" s="31">
        <f t="shared" si="18"/>
        <v>0</v>
      </c>
      <c r="I43" s="32">
        <f t="shared" si="19"/>
        <v>0</v>
      </c>
      <c r="N43" t="s">
        <v>254</v>
      </c>
      <c r="R43" s="32" t="str">
        <f t="shared" si="20"/>
        <v>4)Hex(5)</v>
      </c>
      <c r="S43" s="32" t="str">
        <f t="shared" si="21"/>
        <v>5)</v>
      </c>
      <c r="T43" s="32">
        <f t="shared" si="22"/>
        <v>0</v>
      </c>
      <c r="U43" s="32">
        <f t="shared" si="23"/>
        <v>0</v>
      </c>
      <c r="V43" s="32">
        <f t="shared" si="24"/>
        <v>0</v>
      </c>
      <c r="W43" s="32">
        <f t="shared" si="25"/>
        <v>0</v>
      </c>
      <c r="X43" s="32">
        <f t="shared" si="26"/>
        <v>0</v>
      </c>
      <c r="Y43" s="32">
        <f t="shared" si="27"/>
        <v>0</v>
      </c>
      <c r="Z43" s="32">
        <f t="shared" si="28"/>
        <v>0</v>
      </c>
    </row>
    <row r="44" spans="1:26" x14ac:dyDescent="0.25">
      <c r="A44" s="30" t="str">
        <f t="shared" si="11"/>
        <v>5</v>
      </c>
      <c r="B44" s="30" t="str">
        <f t="shared" si="12"/>
        <v>3</v>
      </c>
      <c r="C44" s="30" t="str">
        <f t="shared" si="13"/>
        <v>1</v>
      </c>
      <c r="D44" s="31">
        <f t="shared" si="14"/>
        <v>0</v>
      </c>
      <c r="E44" s="31">
        <f t="shared" si="15"/>
        <v>0</v>
      </c>
      <c r="F44" s="32">
        <f t="shared" si="16"/>
        <v>0</v>
      </c>
      <c r="G44" s="31">
        <f t="shared" si="17"/>
        <v>0</v>
      </c>
      <c r="H44" s="31">
        <f t="shared" si="18"/>
        <v>0</v>
      </c>
      <c r="I44" s="32">
        <f t="shared" si="19"/>
        <v>0</v>
      </c>
      <c r="N44" t="s">
        <v>255</v>
      </c>
      <c r="R44" s="32" t="str">
        <f t="shared" si="20"/>
        <v>5)Hex(3)Fuc(1)</v>
      </c>
      <c r="S44" s="32" t="str">
        <f t="shared" si="21"/>
        <v>3)Fuc(1)</v>
      </c>
      <c r="T44" s="32" t="str">
        <f t="shared" si="22"/>
        <v>1)</v>
      </c>
      <c r="U44" s="32">
        <f t="shared" si="23"/>
        <v>0</v>
      </c>
      <c r="V44" s="32">
        <f t="shared" si="24"/>
        <v>0</v>
      </c>
      <c r="W44" s="32">
        <f t="shared" si="25"/>
        <v>0</v>
      </c>
      <c r="X44" s="32">
        <f t="shared" si="26"/>
        <v>0</v>
      </c>
      <c r="Y44" s="32">
        <f t="shared" si="27"/>
        <v>0</v>
      </c>
      <c r="Z44" s="32">
        <f t="shared" si="28"/>
        <v>0</v>
      </c>
    </row>
    <row r="45" spans="1:26" x14ac:dyDescent="0.25">
      <c r="A45" s="30" t="str">
        <f t="shared" si="11"/>
        <v>5</v>
      </c>
      <c r="B45" s="30" t="str">
        <f t="shared" si="12"/>
        <v>4</v>
      </c>
      <c r="C45" s="30">
        <f t="shared" si="13"/>
        <v>0</v>
      </c>
      <c r="D45" s="31">
        <f t="shared" si="14"/>
        <v>0</v>
      </c>
      <c r="E45" s="31">
        <f t="shared" si="15"/>
        <v>0</v>
      </c>
      <c r="F45" s="32">
        <f t="shared" si="16"/>
        <v>0</v>
      </c>
      <c r="G45" s="31">
        <f t="shared" si="17"/>
        <v>0</v>
      </c>
      <c r="H45" s="31">
        <f t="shared" si="18"/>
        <v>0</v>
      </c>
      <c r="I45" s="32">
        <f t="shared" si="19"/>
        <v>0</v>
      </c>
      <c r="N45" t="s">
        <v>256</v>
      </c>
      <c r="R45" s="32" t="str">
        <f t="shared" si="20"/>
        <v>5)Hex(4)</v>
      </c>
      <c r="S45" s="32" t="str">
        <f t="shared" si="21"/>
        <v>4)</v>
      </c>
      <c r="T45" s="32">
        <f t="shared" si="22"/>
        <v>0</v>
      </c>
      <c r="U45" s="32">
        <f t="shared" si="23"/>
        <v>0</v>
      </c>
      <c r="V45" s="32">
        <f t="shared" si="24"/>
        <v>0</v>
      </c>
      <c r="W45" s="32">
        <f t="shared" si="25"/>
        <v>0</v>
      </c>
      <c r="X45" s="32">
        <f t="shared" si="26"/>
        <v>0</v>
      </c>
      <c r="Y45" s="32">
        <f t="shared" si="27"/>
        <v>0</v>
      </c>
      <c r="Z45" s="32">
        <f t="shared" si="28"/>
        <v>0</v>
      </c>
    </row>
    <row r="46" spans="1:26" x14ac:dyDescent="0.25">
      <c r="A46" s="30" t="str">
        <f t="shared" si="11"/>
        <v>3</v>
      </c>
      <c r="B46" s="30" t="str">
        <f t="shared" si="12"/>
        <v>4</v>
      </c>
      <c r="C46" s="30" t="str">
        <f t="shared" si="13"/>
        <v>1</v>
      </c>
      <c r="D46" s="31">
        <f t="shared" si="14"/>
        <v>1</v>
      </c>
      <c r="E46" s="31">
        <f t="shared" si="15"/>
        <v>0</v>
      </c>
      <c r="F46" s="32">
        <f t="shared" si="16"/>
        <v>1</v>
      </c>
      <c r="G46" s="31">
        <f t="shared" si="17"/>
        <v>0</v>
      </c>
      <c r="H46" s="31">
        <f t="shared" si="18"/>
        <v>0</v>
      </c>
      <c r="I46" s="32">
        <f t="shared" si="19"/>
        <v>0</v>
      </c>
      <c r="N46" t="s">
        <v>257</v>
      </c>
      <c r="R46" s="32" t="str">
        <f t="shared" si="20"/>
        <v>3)Hex(4)Fuc(1)NeuAc(1)</v>
      </c>
      <c r="S46" s="32" t="str">
        <f t="shared" si="21"/>
        <v>4)Fuc(1)NeuAc(1)</v>
      </c>
      <c r="T46" s="32" t="str">
        <f t="shared" si="22"/>
        <v>1)NeuAc(1)</v>
      </c>
      <c r="U46" s="32" t="str">
        <f t="shared" si="23"/>
        <v>1)</v>
      </c>
      <c r="V46" s="32">
        <f t="shared" si="24"/>
        <v>0</v>
      </c>
      <c r="W46" s="32">
        <f t="shared" si="25"/>
        <v>0</v>
      </c>
      <c r="X46" s="32">
        <f t="shared" si="26"/>
        <v>0</v>
      </c>
      <c r="Y46" s="32">
        <f t="shared" si="27"/>
        <v>0</v>
      </c>
      <c r="Z46" s="32">
        <f t="shared" si="28"/>
        <v>0</v>
      </c>
    </row>
    <row r="47" spans="1:26" x14ac:dyDescent="0.25">
      <c r="A47" s="30" t="str">
        <f t="shared" si="11"/>
        <v>2</v>
      </c>
      <c r="B47" s="30" t="str">
        <f t="shared" si="12"/>
        <v>8</v>
      </c>
      <c r="C47" s="30">
        <f t="shared" si="13"/>
        <v>0</v>
      </c>
      <c r="D47" s="31">
        <f t="shared" si="14"/>
        <v>0</v>
      </c>
      <c r="E47" s="31">
        <f t="shared" si="15"/>
        <v>0</v>
      </c>
      <c r="F47" s="32">
        <f t="shared" si="16"/>
        <v>0</v>
      </c>
      <c r="G47" s="31">
        <f t="shared" si="17"/>
        <v>0</v>
      </c>
      <c r="H47" s="31">
        <f t="shared" si="18"/>
        <v>0</v>
      </c>
      <c r="I47" s="32">
        <f t="shared" si="19"/>
        <v>0</v>
      </c>
      <c r="N47" t="s">
        <v>258</v>
      </c>
      <c r="R47" s="32" t="str">
        <f t="shared" si="20"/>
        <v>2)Hex(8)</v>
      </c>
      <c r="S47" s="32" t="str">
        <f t="shared" si="21"/>
        <v>8)</v>
      </c>
      <c r="T47" s="32">
        <f t="shared" si="22"/>
        <v>0</v>
      </c>
      <c r="U47" s="32">
        <f t="shared" si="23"/>
        <v>0</v>
      </c>
      <c r="V47" s="32">
        <f t="shared" si="24"/>
        <v>0</v>
      </c>
      <c r="W47" s="32">
        <f t="shared" si="25"/>
        <v>0</v>
      </c>
      <c r="X47" s="32">
        <f t="shared" si="26"/>
        <v>0</v>
      </c>
      <c r="Y47" s="32">
        <f t="shared" si="27"/>
        <v>0</v>
      </c>
      <c r="Z47" s="32">
        <f t="shared" si="28"/>
        <v>0</v>
      </c>
    </row>
    <row r="48" spans="1:26" x14ac:dyDescent="0.25">
      <c r="A48" s="30" t="str">
        <f t="shared" si="11"/>
        <v>6</v>
      </c>
      <c r="B48" s="30" t="str">
        <f t="shared" si="12"/>
        <v>3</v>
      </c>
      <c r="C48" s="30">
        <f t="shared" si="13"/>
        <v>0</v>
      </c>
      <c r="D48" s="31">
        <f t="shared" si="14"/>
        <v>0</v>
      </c>
      <c r="E48" s="31">
        <f t="shared" si="15"/>
        <v>0</v>
      </c>
      <c r="F48" s="32">
        <f t="shared" si="16"/>
        <v>0</v>
      </c>
      <c r="G48" s="31">
        <f t="shared" si="17"/>
        <v>0</v>
      </c>
      <c r="H48" s="31">
        <f t="shared" si="18"/>
        <v>0</v>
      </c>
      <c r="I48" s="32">
        <f t="shared" si="19"/>
        <v>0</v>
      </c>
      <c r="N48" t="s">
        <v>259</v>
      </c>
      <c r="R48" s="32" t="str">
        <f t="shared" si="20"/>
        <v>6)Hex(3)</v>
      </c>
      <c r="S48" s="32" t="str">
        <f t="shared" si="21"/>
        <v>3)</v>
      </c>
      <c r="T48" s="32">
        <f t="shared" si="22"/>
        <v>0</v>
      </c>
      <c r="U48" s="32">
        <f t="shared" si="23"/>
        <v>0</v>
      </c>
      <c r="V48" s="32">
        <f t="shared" si="24"/>
        <v>0</v>
      </c>
      <c r="W48" s="32">
        <f t="shared" si="25"/>
        <v>0</v>
      </c>
      <c r="X48" s="32">
        <f t="shared" si="26"/>
        <v>0</v>
      </c>
      <c r="Y48" s="32">
        <f t="shared" si="27"/>
        <v>0</v>
      </c>
      <c r="Z48" s="32">
        <f t="shared" si="28"/>
        <v>0</v>
      </c>
    </row>
    <row r="49" spans="1:26" x14ac:dyDescent="0.25">
      <c r="A49" s="30" t="str">
        <f t="shared" si="11"/>
        <v>3</v>
      </c>
      <c r="B49" s="30" t="str">
        <f t="shared" si="12"/>
        <v>4</v>
      </c>
      <c r="C49" s="30" t="str">
        <f t="shared" si="13"/>
        <v>1</v>
      </c>
      <c r="D49" s="31">
        <f t="shared" si="14"/>
        <v>0</v>
      </c>
      <c r="E49" s="31">
        <f t="shared" si="15"/>
        <v>1</v>
      </c>
      <c r="F49" s="32">
        <f t="shared" si="16"/>
        <v>1</v>
      </c>
      <c r="G49" s="31">
        <f t="shared" si="17"/>
        <v>0</v>
      </c>
      <c r="H49" s="31">
        <f t="shared" si="18"/>
        <v>0</v>
      </c>
      <c r="I49" s="32">
        <f t="shared" si="19"/>
        <v>0</v>
      </c>
      <c r="N49" t="s">
        <v>260</v>
      </c>
      <c r="R49" s="32" t="str">
        <f t="shared" si="20"/>
        <v>3)Hex(4)Fuc(1)NeuGc(1)</v>
      </c>
      <c r="S49" s="32" t="str">
        <f t="shared" si="21"/>
        <v>4)Fuc(1)NeuGc(1)</v>
      </c>
      <c r="T49" s="32" t="str">
        <f t="shared" si="22"/>
        <v>1)NeuGc(1)</v>
      </c>
      <c r="U49" s="32">
        <f t="shared" si="23"/>
        <v>0</v>
      </c>
      <c r="V49" s="32" t="str">
        <f t="shared" si="24"/>
        <v>1)</v>
      </c>
      <c r="W49" s="32">
        <f t="shared" si="25"/>
        <v>0</v>
      </c>
      <c r="X49" s="32">
        <f t="shared" si="26"/>
        <v>0</v>
      </c>
      <c r="Y49" s="32">
        <f t="shared" si="27"/>
        <v>0</v>
      </c>
      <c r="Z49" s="32">
        <f t="shared" si="28"/>
        <v>0</v>
      </c>
    </row>
    <row r="50" spans="1:26" x14ac:dyDescent="0.25">
      <c r="A50" s="30" t="str">
        <f t="shared" ref="A50" si="29">IFERROR(LEFT(R50,FIND(")",R50)-1),0)</f>
        <v>3</v>
      </c>
      <c r="B50" s="30" t="str">
        <f t="shared" ref="B50" si="30">IFERROR(LEFT(S50,FIND(")",S50)-1),0)</f>
        <v>5</v>
      </c>
      <c r="C50" s="30">
        <v>1</v>
      </c>
      <c r="D50" s="31">
        <f t="shared" ref="D50" si="31">VALUE(IFERROR(LEFT(U50,FIND(")",U50)-1),0))</f>
        <v>1</v>
      </c>
      <c r="E50" s="31">
        <f t="shared" ref="E50" si="32">VALUE(IFERROR(LEFT(V50,FIND(")",V50)-1),0))</f>
        <v>0</v>
      </c>
      <c r="F50" s="32">
        <f t="shared" ref="F50" si="33">SUM(D50:E50)</f>
        <v>1</v>
      </c>
      <c r="G50" s="31">
        <f t="shared" ref="G50" si="34">VALUE(IFERROR(LEFT(X50,FIND(")",X50)-1),0))</f>
        <v>0</v>
      </c>
      <c r="H50" s="31">
        <f t="shared" ref="H50" si="35">VALUE(IFERROR(LEFT(Y50,FIND(")",Y50)-1),0))</f>
        <v>0</v>
      </c>
      <c r="I50" s="32">
        <f t="shared" ref="I50" si="36">SUM(G50:H50)</f>
        <v>0</v>
      </c>
      <c r="N50" t="s">
        <v>528</v>
      </c>
      <c r="R50" s="32" t="str">
        <f t="shared" ref="R50" si="37">IFERROR(MID($N50,SEARCH(A$1&amp;"(",$N50)+LEN(A$1)+1,LEN($N50)),0)</f>
        <v>3)Hex(5)Fuc(1)NeuAc(1)</v>
      </c>
      <c r="S50" s="32" t="str">
        <f t="shared" ref="S50" si="38">IFERROR(MID($N50,SEARCH(B$1&amp;"(",$N50)+LEN(B$1)+1,LEN($N50)),0)</f>
        <v>5)Fuc(1)NeuAc(1)</v>
      </c>
      <c r="T50" s="32" t="str">
        <f t="shared" ref="T50" si="39">IFERROR(MID($N50,SEARCH(C$1&amp;"(",$N50)+LEN(C$1)+1,LEN($N50)),0)</f>
        <v>1)NeuAc(1)</v>
      </c>
      <c r="U50" s="32" t="str">
        <f t="shared" ref="U50" si="40">IFERROR(MID($N50,SEARCH(D$1&amp;"(",$N50)+LEN(D$1)+1,LEN($N50)),0)</f>
        <v>1)</v>
      </c>
      <c r="V50" s="32">
        <f t="shared" ref="V50" si="41">IFERROR(MID($N50,SEARCH(E$1&amp;"(",$N50)+LEN(E$1)+1,LEN($N50)),0)</f>
        <v>0</v>
      </c>
      <c r="W50" s="32">
        <f t="shared" ref="W50" si="42">IFERROR(MID($N50,SEARCH(F$1&amp;"(",$N50)+LEN(F$1)+1,LEN($N50)),0)</f>
        <v>0</v>
      </c>
      <c r="X50" s="32">
        <f t="shared" ref="X50" si="43">IFERROR(MID($N50,SEARCH(G$1&amp;"(",$N50)+LEN(G$1)+1,LEN($N50)),0)</f>
        <v>0</v>
      </c>
      <c r="Y50" s="32">
        <f t="shared" ref="Y50" si="44">IFERROR(MID($N50,SEARCH(H$1&amp;"(",$N50)+LEN(H$1)+1,LEN($N50)),0)</f>
        <v>0</v>
      </c>
      <c r="Z50" s="32">
        <f t="shared" ref="Z50" si="45">IFERROR(MID($N50,SEARCH(I$1&amp;"(",$N50)+LEN(I$1)+1,LEN($N50)),0)</f>
        <v>0</v>
      </c>
    </row>
    <row r="51" spans="1:26" x14ac:dyDescent="0.25">
      <c r="A51" s="30" t="str">
        <f t="shared" si="11"/>
        <v>3</v>
      </c>
      <c r="B51" s="30" t="str">
        <f t="shared" si="12"/>
        <v>5</v>
      </c>
      <c r="C51" s="30">
        <f t="shared" si="13"/>
        <v>0</v>
      </c>
      <c r="D51" s="31">
        <f t="shared" si="14"/>
        <v>1</v>
      </c>
      <c r="E51" s="31">
        <f t="shared" si="15"/>
        <v>0</v>
      </c>
      <c r="F51" s="32">
        <f t="shared" si="16"/>
        <v>1</v>
      </c>
      <c r="G51" s="31">
        <f t="shared" si="17"/>
        <v>0</v>
      </c>
      <c r="H51" s="31">
        <f t="shared" si="18"/>
        <v>0</v>
      </c>
      <c r="I51" s="32">
        <f t="shared" si="19"/>
        <v>0</v>
      </c>
      <c r="N51" t="s">
        <v>261</v>
      </c>
      <c r="R51" s="32" t="str">
        <f t="shared" si="20"/>
        <v>3)Hex(5)NeuAc(1)</v>
      </c>
      <c r="S51" s="32" t="str">
        <f t="shared" si="21"/>
        <v>5)NeuAc(1)</v>
      </c>
      <c r="T51" s="32">
        <f t="shared" si="22"/>
        <v>0</v>
      </c>
      <c r="U51" s="32" t="str">
        <f t="shared" si="23"/>
        <v>1)</v>
      </c>
      <c r="V51" s="32">
        <f t="shared" si="24"/>
        <v>0</v>
      </c>
      <c r="W51" s="32">
        <f t="shared" si="25"/>
        <v>0</v>
      </c>
      <c r="X51" s="32">
        <f t="shared" si="26"/>
        <v>0</v>
      </c>
      <c r="Y51" s="32">
        <f t="shared" si="27"/>
        <v>0</v>
      </c>
      <c r="Z51" s="32">
        <f t="shared" si="28"/>
        <v>0</v>
      </c>
    </row>
    <row r="52" spans="1:26" x14ac:dyDescent="0.25">
      <c r="A52" s="30" t="str">
        <f t="shared" si="11"/>
        <v>3</v>
      </c>
      <c r="B52" s="30" t="str">
        <f t="shared" si="12"/>
        <v>5</v>
      </c>
      <c r="C52" s="30">
        <f t="shared" si="13"/>
        <v>0</v>
      </c>
      <c r="D52" s="31">
        <f t="shared" si="14"/>
        <v>0</v>
      </c>
      <c r="E52" s="31">
        <f t="shared" si="15"/>
        <v>1</v>
      </c>
      <c r="F52" s="32">
        <f t="shared" si="16"/>
        <v>1</v>
      </c>
      <c r="G52" s="31">
        <f t="shared" si="17"/>
        <v>0</v>
      </c>
      <c r="H52" s="31">
        <f t="shared" si="18"/>
        <v>0</v>
      </c>
      <c r="I52" s="32">
        <f t="shared" si="19"/>
        <v>0</v>
      </c>
      <c r="N52" t="s">
        <v>262</v>
      </c>
      <c r="R52" s="32" t="str">
        <f t="shared" si="20"/>
        <v>3)Hex(5)NeuGc(1)</v>
      </c>
      <c r="S52" s="32" t="str">
        <f t="shared" si="21"/>
        <v>5)NeuGc(1)</v>
      </c>
      <c r="T52" s="32">
        <f t="shared" si="22"/>
        <v>0</v>
      </c>
      <c r="U52" s="32">
        <f t="shared" si="23"/>
        <v>0</v>
      </c>
      <c r="V52" s="32" t="str">
        <f t="shared" si="24"/>
        <v>1)</v>
      </c>
      <c r="W52" s="32">
        <f t="shared" si="25"/>
        <v>0</v>
      </c>
      <c r="X52" s="32">
        <f t="shared" si="26"/>
        <v>0</v>
      </c>
      <c r="Y52" s="32">
        <f t="shared" si="27"/>
        <v>0</v>
      </c>
      <c r="Z52" s="32">
        <f t="shared" si="28"/>
        <v>0</v>
      </c>
    </row>
    <row r="53" spans="1:26" x14ac:dyDescent="0.25">
      <c r="A53" s="30" t="str">
        <f t="shared" si="11"/>
        <v>3</v>
      </c>
      <c r="B53" s="30" t="str">
        <f t="shared" si="12"/>
        <v>6</v>
      </c>
      <c r="C53" s="30" t="str">
        <f t="shared" si="13"/>
        <v>1</v>
      </c>
      <c r="D53" s="31">
        <f t="shared" si="14"/>
        <v>0</v>
      </c>
      <c r="E53" s="31">
        <f t="shared" si="15"/>
        <v>0</v>
      </c>
      <c r="F53" s="32">
        <f t="shared" si="16"/>
        <v>0</v>
      </c>
      <c r="G53" s="31">
        <f t="shared" si="17"/>
        <v>0</v>
      </c>
      <c r="H53" s="31">
        <f t="shared" si="18"/>
        <v>0</v>
      </c>
      <c r="I53" s="32">
        <f t="shared" si="19"/>
        <v>0</v>
      </c>
      <c r="N53" t="s">
        <v>263</v>
      </c>
      <c r="R53" s="32" t="str">
        <f t="shared" si="20"/>
        <v>3)Hex(6)Fuc(1)</v>
      </c>
      <c r="S53" s="32" t="str">
        <f t="shared" si="21"/>
        <v>6)Fuc(1)</v>
      </c>
      <c r="T53" s="32" t="str">
        <f t="shared" si="22"/>
        <v>1)</v>
      </c>
      <c r="U53" s="32">
        <f t="shared" si="23"/>
        <v>0</v>
      </c>
      <c r="V53" s="32">
        <f t="shared" si="24"/>
        <v>0</v>
      </c>
      <c r="W53" s="32">
        <f t="shared" si="25"/>
        <v>0</v>
      </c>
      <c r="X53" s="32">
        <f t="shared" si="26"/>
        <v>0</v>
      </c>
      <c r="Y53" s="32">
        <f t="shared" si="27"/>
        <v>0</v>
      </c>
      <c r="Z53" s="32">
        <f t="shared" si="28"/>
        <v>0</v>
      </c>
    </row>
    <row r="54" spans="1:26" x14ac:dyDescent="0.25">
      <c r="A54" s="30" t="str">
        <f t="shared" si="11"/>
        <v>4</v>
      </c>
      <c r="B54" s="30" t="str">
        <f t="shared" si="12"/>
        <v>3</v>
      </c>
      <c r="C54" s="30" t="str">
        <f t="shared" si="13"/>
        <v>3</v>
      </c>
      <c r="D54" s="31">
        <f t="shared" si="14"/>
        <v>0</v>
      </c>
      <c r="E54" s="31">
        <f t="shared" si="15"/>
        <v>0</v>
      </c>
      <c r="F54" s="32">
        <f t="shared" si="16"/>
        <v>0</v>
      </c>
      <c r="G54" s="31">
        <f t="shared" si="17"/>
        <v>0</v>
      </c>
      <c r="H54" s="31">
        <f t="shared" si="18"/>
        <v>0</v>
      </c>
      <c r="I54" s="32">
        <f t="shared" si="19"/>
        <v>0</v>
      </c>
      <c r="N54" t="s">
        <v>264</v>
      </c>
      <c r="R54" s="32" t="str">
        <f t="shared" si="20"/>
        <v>4)Hex(3)Fuc(3)</v>
      </c>
      <c r="S54" s="32" t="str">
        <f t="shared" si="21"/>
        <v>3)Fuc(3)</v>
      </c>
      <c r="T54" s="32" t="str">
        <f t="shared" si="22"/>
        <v>3)</v>
      </c>
      <c r="U54" s="32">
        <f t="shared" si="23"/>
        <v>0</v>
      </c>
      <c r="V54" s="32">
        <f t="shared" si="24"/>
        <v>0</v>
      </c>
      <c r="W54" s="32">
        <f t="shared" si="25"/>
        <v>0</v>
      </c>
      <c r="X54" s="32">
        <f t="shared" si="26"/>
        <v>0</v>
      </c>
      <c r="Y54" s="32">
        <f t="shared" si="27"/>
        <v>0</v>
      </c>
      <c r="Z54" s="32">
        <f t="shared" si="28"/>
        <v>0</v>
      </c>
    </row>
    <row r="55" spans="1:26" x14ac:dyDescent="0.25">
      <c r="A55" s="30" t="str">
        <f t="shared" si="11"/>
        <v>4</v>
      </c>
      <c r="B55" s="30" t="str">
        <f t="shared" si="12"/>
        <v>4</v>
      </c>
      <c r="C55" s="30">
        <f t="shared" si="13"/>
        <v>0</v>
      </c>
      <c r="D55" s="31">
        <f t="shared" si="14"/>
        <v>1</v>
      </c>
      <c r="E55" s="31">
        <f t="shared" si="15"/>
        <v>0</v>
      </c>
      <c r="F55" s="32">
        <f t="shared" si="16"/>
        <v>1</v>
      </c>
      <c r="G55" s="31">
        <f t="shared" si="17"/>
        <v>0</v>
      </c>
      <c r="H55" s="31">
        <f t="shared" si="18"/>
        <v>0</v>
      </c>
      <c r="I55" s="32">
        <f t="shared" si="19"/>
        <v>0</v>
      </c>
      <c r="N55" t="s">
        <v>265</v>
      </c>
      <c r="R55" s="32" t="str">
        <f t="shared" si="20"/>
        <v>4)Hex(4)NeuAc(1)</v>
      </c>
      <c r="S55" s="32" t="str">
        <f t="shared" si="21"/>
        <v>4)NeuAc(1)</v>
      </c>
      <c r="T55" s="32">
        <f t="shared" si="22"/>
        <v>0</v>
      </c>
      <c r="U55" s="32" t="str">
        <f t="shared" si="23"/>
        <v>1)</v>
      </c>
      <c r="V55" s="32">
        <f t="shared" si="24"/>
        <v>0</v>
      </c>
      <c r="W55" s="32">
        <f t="shared" si="25"/>
        <v>0</v>
      </c>
      <c r="X55" s="32">
        <f t="shared" si="26"/>
        <v>0</v>
      </c>
      <c r="Y55" s="32">
        <f t="shared" si="27"/>
        <v>0</v>
      </c>
      <c r="Z55" s="32">
        <f t="shared" si="28"/>
        <v>0</v>
      </c>
    </row>
    <row r="56" spans="1:26" x14ac:dyDescent="0.25">
      <c r="A56" s="30" t="str">
        <f t="shared" si="11"/>
        <v>4</v>
      </c>
      <c r="B56" s="30" t="str">
        <f t="shared" si="12"/>
        <v>4</v>
      </c>
      <c r="C56" s="30" t="str">
        <f t="shared" si="13"/>
        <v>2</v>
      </c>
      <c r="D56" s="31">
        <f t="shared" si="14"/>
        <v>0</v>
      </c>
      <c r="E56" s="31">
        <f t="shared" si="15"/>
        <v>0</v>
      </c>
      <c r="F56" s="32">
        <f t="shared" si="16"/>
        <v>0</v>
      </c>
      <c r="G56" s="31">
        <f t="shared" si="17"/>
        <v>0</v>
      </c>
      <c r="H56" s="31">
        <f t="shared" si="18"/>
        <v>0</v>
      </c>
      <c r="I56" s="32">
        <f t="shared" si="19"/>
        <v>0</v>
      </c>
      <c r="N56" t="s">
        <v>266</v>
      </c>
      <c r="R56" s="32" t="str">
        <f t="shared" si="20"/>
        <v>4)Hex(4)Fuc(2)</v>
      </c>
      <c r="S56" s="32" t="str">
        <f t="shared" si="21"/>
        <v>4)Fuc(2)</v>
      </c>
      <c r="T56" s="32" t="str">
        <f t="shared" si="22"/>
        <v>2)</v>
      </c>
      <c r="U56" s="32">
        <f t="shared" si="23"/>
        <v>0</v>
      </c>
      <c r="V56" s="32">
        <f t="shared" si="24"/>
        <v>0</v>
      </c>
      <c r="W56" s="32">
        <f t="shared" si="25"/>
        <v>0</v>
      </c>
      <c r="X56" s="32">
        <f t="shared" si="26"/>
        <v>0</v>
      </c>
      <c r="Y56" s="32">
        <f t="shared" si="27"/>
        <v>0</v>
      </c>
      <c r="Z56" s="32">
        <f t="shared" si="28"/>
        <v>0</v>
      </c>
    </row>
    <row r="57" spans="1:26" x14ac:dyDescent="0.25">
      <c r="A57" s="30" t="str">
        <f t="shared" si="11"/>
        <v>4</v>
      </c>
      <c r="B57" s="30" t="str">
        <f t="shared" si="12"/>
        <v>4</v>
      </c>
      <c r="C57" s="30">
        <f t="shared" si="13"/>
        <v>0</v>
      </c>
      <c r="D57" s="31">
        <f t="shared" si="14"/>
        <v>0</v>
      </c>
      <c r="E57" s="31">
        <f t="shared" si="15"/>
        <v>1</v>
      </c>
      <c r="F57" s="32">
        <f t="shared" si="16"/>
        <v>1</v>
      </c>
      <c r="G57" s="31">
        <f t="shared" si="17"/>
        <v>0</v>
      </c>
      <c r="H57" s="31">
        <f t="shared" si="18"/>
        <v>0</v>
      </c>
      <c r="I57" s="32">
        <f t="shared" si="19"/>
        <v>0</v>
      </c>
      <c r="N57" t="s">
        <v>267</v>
      </c>
      <c r="R57" s="32" t="str">
        <f t="shared" si="20"/>
        <v>4)Hex(4)NeuGc(1)</v>
      </c>
      <c r="S57" s="32" t="str">
        <f t="shared" si="21"/>
        <v>4)NeuGc(1)</v>
      </c>
      <c r="T57" s="32">
        <f t="shared" si="22"/>
        <v>0</v>
      </c>
      <c r="U57" s="32">
        <f t="shared" si="23"/>
        <v>0</v>
      </c>
      <c r="V57" s="32" t="str">
        <f t="shared" si="24"/>
        <v>1)</v>
      </c>
      <c r="W57" s="32">
        <f t="shared" si="25"/>
        <v>0</v>
      </c>
      <c r="X57" s="32">
        <f t="shared" si="26"/>
        <v>0</v>
      </c>
      <c r="Y57" s="32">
        <f t="shared" si="27"/>
        <v>0</v>
      </c>
      <c r="Z57" s="32">
        <f t="shared" si="28"/>
        <v>0</v>
      </c>
    </row>
    <row r="58" spans="1:26" x14ac:dyDescent="0.25">
      <c r="A58" s="30" t="str">
        <f t="shared" si="11"/>
        <v>4</v>
      </c>
      <c r="B58" s="30" t="str">
        <f t="shared" si="12"/>
        <v>5</v>
      </c>
      <c r="C58" s="30" t="str">
        <f t="shared" si="13"/>
        <v>1</v>
      </c>
      <c r="D58" s="31">
        <f t="shared" si="14"/>
        <v>0</v>
      </c>
      <c r="E58" s="31">
        <f t="shared" si="15"/>
        <v>0</v>
      </c>
      <c r="F58" s="32">
        <f t="shared" si="16"/>
        <v>0</v>
      </c>
      <c r="G58" s="31">
        <f t="shared" si="17"/>
        <v>0</v>
      </c>
      <c r="H58" s="31">
        <f t="shared" si="18"/>
        <v>0</v>
      </c>
      <c r="I58" s="32">
        <f t="shared" si="19"/>
        <v>0</v>
      </c>
      <c r="N58" t="s">
        <v>268</v>
      </c>
      <c r="R58" s="32" t="str">
        <f t="shared" si="20"/>
        <v>4)Hex(5)Fuc(1)</v>
      </c>
      <c r="S58" s="32" t="str">
        <f t="shared" si="21"/>
        <v>5)Fuc(1)</v>
      </c>
      <c r="T58" s="32" t="str">
        <f t="shared" si="22"/>
        <v>1)</v>
      </c>
      <c r="U58" s="32">
        <f t="shared" si="23"/>
        <v>0</v>
      </c>
      <c r="V58" s="32">
        <f t="shared" si="24"/>
        <v>0</v>
      </c>
      <c r="W58" s="32">
        <f t="shared" si="25"/>
        <v>0</v>
      </c>
      <c r="X58" s="32">
        <f t="shared" si="26"/>
        <v>0</v>
      </c>
      <c r="Y58" s="32">
        <f t="shared" si="27"/>
        <v>0</v>
      </c>
      <c r="Z58" s="32">
        <f t="shared" si="28"/>
        <v>0</v>
      </c>
    </row>
    <row r="59" spans="1:26" x14ac:dyDescent="0.25">
      <c r="A59" s="30" t="str">
        <f t="shared" si="11"/>
        <v>4</v>
      </c>
      <c r="B59" s="30" t="str">
        <f t="shared" si="12"/>
        <v>6</v>
      </c>
      <c r="C59" s="30">
        <f t="shared" si="13"/>
        <v>0</v>
      </c>
      <c r="D59" s="31">
        <f t="shared" si="14"/>
        <v>0</v>
      </c>
      <c r="E59" s="31">
        <f t="shared" si="15"/>
        <v>0</v>
      </c>
      <c r="F59" s="32">
        <f t="shared" si="16"/>
        <v>0</v>
      </c>
      <c r="G59" s="31">
        <f t="shared" si="17"/>
        <v>0</v>
      </c>
      <c r="H59" s="31">
        <f t="shared" si="18"/>
        <v>0</v>
      </c>
      <c r="I59" s="32">
        <f t="shared" si="19"/>
        <v>0</v>
      </c>
      <c r="N59" t="s">
        <v>269</v>
      </c>
      <c r="R59" s="32" t="str">
        <f t="shared" si="20"/>
        <v>4)Hex(6)</v>
      </c>
      <c r="S59" s="32" t="str">
        <f t="shared" si="21"/>
        <v>6)</v>
      </c>
      <c r="T59" s="32">
        <f t="shared" si="22"/>
        <v>0</v>
      </c>
      <c r="U59" s="32">
        <f t="shared" si="23"/>
        <v>0</v>
      </c>
      <c r="V59" s="32">
        <f t="shared" si="24"/>
        <v>0</v>
      </c>
      <c r="W59" s="32">
        <f t="shared" si="25"/>
        <v>0</v>
      </c>
      <c r="X59" s="32">
        <f t="shared" si="26"/>
        <v>0</v>
      </c>
      <c r="Y59" s="32">
        <f t="shared" si="27"/>
        <v>0</v>
      </c>
      <c r="Z59" s="32">
        <f t="shared" si="28"/>
        <v>0</v>
      </c>
    </row>
    <row r="60" spans="1:26" x14ac:dyDescent="0.25">
      <c r="A60" s="30" t="str">
        <f t="shared" si="11"/>
        <v>5</v>
      </c>
      <c r="B60" s="30" t="str">
        <f t="shared" si="12"/>
        <v>4</v>
      </c>
      <c r="C60" s="30" t="str">
        <f t="shared" si="13"/>
        <v>1</v>
      </c>
      <c r="D60" s="31">
        <f t="shared" si="14"/>
        <v>0</v>
      </c>
      <c r="E60" s="31">
        <f t="shared" si="15"/>
        <v>0</v>
      </c>
      <c r="F60" s="32">
        <f t="shared" si="16"/>
        <v>0</v>
      </c>
      <c r="G60" s="31">
        <f t="shared" si="17"/>
        <v>0</v>
      </c>
      <c r="H60" s="31">
        <f t="shared" si="18"/>
        <v>0</v>
      </c>
      <c r="I60" s="32">
        <f t="shared" si="19"/>
        <v>0</v>
      </c>
      <c r="N60" t="s">
        <v>270</v>
      </c>
      <c r="R60" s="32" t="str">
        <f t="shared" si="20"/>
        <v>5)Hex(4)Fuc(1)</v>
      </c>
      <c r="S60" s="32" t="str">
        <f t="shared" si="21"/>
        <v>4)Fuc(1)</v>
      </c>
      <c r="T60" s="32" t="str">
        <f t="shared" si="22"/>
        <v>1)</v>
      </c>
      <c r="U60" s="32">
        <f t="shared" si="23"/>
        <v>0</v>
      </c>
      <c r="V60" s="32">
        <f t="shared" si="24"/>
        <v>0</v>
      </c>
      <c r="W60" s="32">
        <f t="shared" si="25"/>
        <v>0</v>
      </c>
      <c r="X60" s="32">
        <f t="shared" si="26"/>
        <v>0</v>
      </c>
      <c r="Y60" s="32">
        <f t="shared" si="27"/>
        <v>0</v>
      </c>
      <c r="Z60" s="32">
        <f t="shared" si="28"/>
        <v>0</v>
      </c>
    </row>
    <row r="61" spans="1:26" x14ac:dyDescent="0.25">
      <c r="A61" s="30" t="str">
        <f t="shared" si="11"/>
        <v>5</v>
      </c>
      <c r="B61" s="30" t="str">
        <f t="shared" si="12"/>
        <v>5</v>
      </c>
      <c r="C61" s="30">
        <f t="shared" si="13"/>
        <v>0</v>
      </c>
      <c r="D61" s="31">
        <f t="shared" si="14"/>
        <v>0</v>
      </c>
      <c r="E61" s="31">
        <f t="shared" si="15"/>
        <v>0</v>
      </c>
      <c r="F61" s="32">
        <f t="shared" si="16"/>
        <v>0</v>
      </c>
      <c r="G61" s="31">
        <f t="shared" si="17"/>
        <v>0</v>
      </c>
      <c r="H61" s="31">
        <f t="shared" si="18"/>
        <v>0</v>
      </c>
      <c r="I61" s="32">
        <f t="shared" si="19"/>
        <v>0</v>
      </c>
      <c r="N61" t="s">
        <v>271</v>
      </c>
      <c r="R61" s="32" t="str">
        <f t="shared" si="20"/>
        <v>5)Hex(5)</v>
      </c>
      <c r="S61" s="32" t="str">
        <f t="shared" si="21"/>
        <v>5)</v>
      </c>
      <c r="T61" s="32">
        <f t="shared" si="22"/>
        <v>0</v>
      </c>
      <c r="U61" s="32">
        <f t="shared" si="23"/>
        <v>0</v>
      </c>
      <c r="V61" s="32">
        <f t="shared" si="24"/>
        <v>0</v>
      </c>
      <c r="W61" s="32">
        <f t="shared" si="25"/>
        <v>0</v>
      </c>
      <c r="X61" s="32">
        <f t="shared" si="26"/>
        <v>0</v>
      </c>
      <c r="Y61" s="32">
        <f t="shared" si="27"/>
        <v>0</v>
      </c>
      <c r="Z61" s="32">
        <f t="shared" si="28"/>
        <v>0</v>
      </c>
    </row>
    <row r="62" spans="1:26" x14ac:dyDescent="0.25">
      <c r="A62" s="30" t="str">
        <f t="shared" si="11"/>
        <v>6</v>
      </c>
      <c r="B62" s="30" t="str">
        <f t="shared" si="12"/>
        <v>3</v>
      </c>
      <c r="C62" s="30" t="str">
        <f t="shared" si="13"/>
        <v>1</v>
      </c>
      <c r="D62" s="31">
        <f t="shared" si="14"/>
        <v>0</v>
      </c>
      <c r="E62" s="31">
        <f t="shared" si="15"/>
        <v>0</v>
      </c>
      <c r="F62" s="32">
        <f t="shared" si="16"/>
        <v>0</v>
      </c>
      <c r="G62" s="31">
        <f t="shared" si="17"/>
        <v>0</v>
      </c>
      <c r="H62" s="31">
        <f t="shared" si="18"/>
        <v>0</v>
      </c>
      <c r="I62" s="32">
        <f t="shared" si="19"/>
        <v>0</v>
      </c>
      <c r="N62" t="s">
        <v>272</v>
      </c>
      <c r="R62" s="32" t="str">
        <f t="shared" si="20"/>
        <v>6)Hex(3)Fuc(1)</v>
      </c>
      <c r="S62" s="32" t="str">
        <f t="shared" si="21"/>
        <v>3)Fuc(1)</v>
      </c>
      <c r="T62" s="32" t="str">
        <f t="shared" si="22"/>
        <v>1)</v>
      </c>
      <c r="U62" s="32">
        <f t="shared" si="23"/>
        <v>0</v>
      </c>
      <c r="V62" s="32">
        <f t="shared" si="24"/>
        <v>0</v>
      </c>
      <c r="W62" s="32">
        <f t="shared" si="25"/>
        <v>0</v>
      </c>
      <c r="X62" s="32">
        <f t="shared" si="26"/>
        <v>0</v>
      </c>
      <c r="Y62" s="32">
        <f t="shared" si="27"/>
        <v>0</v>
      </c>
      <c r="Z62" s="32">
        <f t="shared" si="28"/>
        <v>0</v>
      </c>
    </row>
    <row r="63" spans="1:26" x14ac:dyDescent="0.25">
      <c r="A63" s="30" t="str">
        <f t="shared" si="11"/>
        <v>2</v>
      </c>
      <c r="B63" s="30" t="str">
        <f t="shared" si="12"/>
        <v>9</v>
      </c>
      <c r="C63" s="30">
        <f t="shared" si="13"/>
        <v>0</v>
      </c>
      <c r="D63" s="31">
        <f t="shared" si="14"/>
        <v>0</v>
      </c>
      <c r="E63" s="31">
        <f t="shared" si="15"/>
        <v>0</v>
      </c>
      <c r="F63" s="32">
        <f t="shared" si="16"/>
        <v>0</v>
      </c>
      <c r="G63" s="31">
        <f t="shared" si="17"/>
        <v>0</v>
      </c>
      <c r="H63" s="31">
        <f t="shared" si="18"/>
        <v>0</v>
      </c>
      <c r="I63" s="32">
        <f t="shared" si="19"/>
        <v>0</v>
      </c>
      <c r="N63" t="s">
        <v>273</v>
      </c>
      <c r="R63" s="32" t="str">
        <f t="shared" si="20"/>
        <v>2)Hex(9)</v>
      </c>
      <c r="S63" s="32" t="str">
        <f t="shared" si="21"/>
        <v>9)</v>
      </c>
      <c r="T63" s="32">
        <f t="shared" si="22"/>
        <v>0</v>
      </c>
      <c r="U63" s="32">
        <f t="shared" si="23"/>
        <v>0</v>
      </c>
      <c r="V63" s="32">
        <f t="shared" si="24"/>
        <v>0</v>
      </c>
      <c r="W63" s="32">
        <f t="shared" si="25"/>
        <v>0</v>
      </c>
      <c r="X63" s="32">
        <f t="shared" si="26"/>
        <v>0</v>
      </c>
      <c r="Y63" s="32">
        <f t="shared" si="27"/>
        <v>0</v>
      </c>
      <c r="Z63" s="32">
        <f t="shared" si="28"/>
        <v>0</v>
      </c>
    </row>
    <row r="64" spans="1:26" x14ac:dyDescent="0.25">
      <c r="A64" s="30" t="str">
        <f t="shared" si="11"/>
        <v>6</v>
      </c>
      <c r="B64" s="30" t="str">
        <f t="shared" si="12"/>
        <v>4</v>
      </c>
      <c r="C64" s="30">
        <f t="shared" si="13"/>
        <v>0</v>
      </c>
      <c r="D64" s="31">
        <f t="shared" si="14"/>
        <v>0</v>
      </c>
      <c r="E64" s="31">
        <f t="shared" si="15"/>
        <v>0</v>
      </c>
      <c r="F64" s="32">
        <f t="shared" si="16"/>
        <v>0</v>
      </c>
      <c r="G64" s="31">
        <f t="shared" si="17"/>
        <v>0</v>
      </c>
      <c r="H64" s="31">
        <f t="shared" si="18"/>
        <v>0</v>
      </c>
      <c r="I64" s="32">
        <f t="shared" si="19"/>
        <v>0</v>
      </c>
      <c r="N64" t="s">
        <v>274</v>
      </c>
      <c r="R64" s="32" t="str">
        <f t="shared" si="20"/>
        <v>6)Hex(4)</v>
      </c>
      <c r="S64" s="32" t="str">
        <f t="shared" si="21"/>
        <v>4)</v>
      </c>
      <c r="T64" s="32">
        <f t="shared" si="22"/>
        <v>0</v>
      </c>
      <c r="U64" s="32">
        <f t="shared" si="23"/>
        <v>0</v>
      </c>
      <c r="V64" s="32">
        <f t="shared" si="24"/>
        <v>0</v>
      </c>
      <c r="W64" s="32">
        <f t="shared" si="25"/>
        <v>0</v>
      </c>
      <c r="X64" s="32">
        <f t="shared" si="26"/>
        <v>0</v>
      </c>
      <c r="Y64" s="32">
        <f t="shared" si="27"/>
        <v>0</v>
      </c>
      <c r="Z64" s="32">
        <f t="shared" si="28"/>
        <v>0</v>
      </c>
    </row>
    <row r="65" spans="1:26" x14ac:dyDescent="0.25">
      <c r="A65" s="30" t="str">
        <f t="shared" si="11"/>
        <v>3</v>
      </c>
      <c r="B65" s="30" t="str">
        <f t="shared" si="12"/>
        <v>6</v>
      </c>
      <c r="C65" s="30">
        <f t="shared" si="13"/>
        <v>0</v>
      </c>
      <c r="D65" s="31">
        <f t="shared" si="14"/>
        <v>1</v>
      </c>
      <c r="E65" s="31">
        <f t="shared" si="15"/>
        <v>0</v>
      </c>
      <c r="F65" s="32">
        <f t="shared" si="16"/>
        <v>1</v>
      </c>
      <c r="G65" s="31">
        <f t="shared" si="17"/>
        <v>0</v>
      </c>
      <c r="H65" s="31">
        <f t="shared" si="18"/>
        <v>0</v>
      </c>
      <c r="I65" s="32">
        <f t="shared" si="19"/>
        <v>0</v>
      </c>
      <c r="N65" t="s">
        <v>275</v>
      </c>
      <c r="R65" s="32" t="str">
        <f t="shared" si="20"/>
        <v>3)Hex(6)NeuAc(1)</v>
      </c>
      <c r="S65" s="32" t="str">
        <f t="shared" si="21"/>
        <v>6)NeuAc(1)</v>
      </c>
      <c r="T65" s="32">
        <f t="shared" si="22"/>
        <v>0</v>
      </c>
      <c r="U65" s="32" t="str">
        <f t="shared" si="23"/>
        <v>1)</v>
      </c>
      <c r="V65" s="32">
        <f t="shared" si="24"/>
        <v>0</v>
      </c>
      <c r="W65" s="32">
        <f t="shared" si="25"/>
        <v>0</v>
      </c>
      <c r="X65" s="32">
        <f t="shared" si="26"/>
        <v>0</v>
      </c>
      <c r="Y65" s="32">
        <f t="shared" si="27"/>
        <v>0</v>
      </c>
      <c r="Z65" s="32">
        <f t="shared" si="28"/>
        <v>0</v>
      </c>
    </row>
    <row r="66" spans="1:26" x14ac:dyDescent="0.25">
      <c r="A66" s="30" t="str">
        <f t="shared" si="11"/>
        <v>3</v>
      </c>
      <c r="B66" s="30" t="str">
        <f t="shared" si="12"/>
        <v>6</v>
      </c>
      <c r="C66" s="30">
        <f t="shared" si="13"/>
        <v>0</v>
      </c>
      <c r="D66" s="31">
        <f t="shared" si="14"/>
        <v>0</v>
      </c>
      <c r="E66" s="31">
        <f t="shared" si="15"/>
        <v>1</v>
      </c>
      <c r="F66" s="32">
        <f t="shared" si="16"/>
        <v>1</v>
      </c>
      <c r="G66" s="31">
        <f t="shared" si="17"/>
        <v>0</v>
      </c>
      <c r="H66" s="31">
        <f t="shared" si="18"/>
        <v>0</v>
      </c>
      <c r="I66" s="32">
        <f t="shared" si="19"/>
        <v>0</v>
      </c>
      <c r="N66" t="s">
        <v>276</v>
      </c>
      <c r="R66" s="32" t="str">
        <f t="shared" si="20"/>
        <v>3)Hex(6)NeuGc(1)</v>
      </c>
      <c r="S66" s="32" t="str">
        <f t="shared" si="21"/>
        <v>6)NeuGc(1)</v>
      </c>
      <c r="T66" s="32">
        <f t="shared" si="22"/>
        <v>0</v>
      </c>
      <c r="U66" s="32">
        <f t="shared" si="23"/>
        <v>0</v>
      </c>
      <c r="V66" s="32" t="str">
        <f t="shared" si="24"/>
        <v>1)</v>
      </c>
      <c r="W66" s="32">
        <f t="shared" si="25"/>
        <v>0</v>
      </c>
      <c r="X66" s="32">
        <f t="shared" si="26"/>
        <v>0</v>
      </c>
      <c r="Y66" s="32">
        <f t="shared" si="27"/>
        <v>0</v>
      </c>
      <c r="Z66" s="32">
        <f t="shared" si="28"/>
        <v>0</v>
      </c>
    </row>
    <row r="67" spans="1:26" x14ac:dyDescent="0.25">
      <c r="A67" s="30" t="str">
        <f t="shared" si="11"/>
        <v>4</v>
      </c>
      <c r="B67" s="30" t="str">
        <f t="shared" si="12"/>
        <v>4</v>
      </c>
      <c r="C67" s="30" t="str">
        <f t="shared" si="13"/>
        <v>1</v>
      </c>
      <c r="D67" s="31">
        <f t="shared" si="14"/>
        <v>1</v>
      </c>
      <c r="E67" s="31">
        <f t="shared" si="15"/>
        <v>0</v>
      </c>
      <c r="F67" s="32">
        <f t="shared" si="16"/>
        <v>1</v>
      </c>
      <c r="G67" s="31">
        <f t="shared" si="17"/>
        <v>0</v>
      </c>
      <c r="H67" s="31">
        <f t="shared" si="18"/>
        <v>0</v>
      </c>
      <c r="I67" s="32">
        <f t="shared" si="19"/>
        <v>0</v>
      </c>
      <c r="N67" t="s">
        <v>277</v>
      </c>
      <c r="R67" s="32" t="str">
        <f t="shared" si="20"/>
        <v>4)Hex(4)Fuc(1)NeuAc(1)</v>
      </c>
      <c r="S67" s="32" t="str">
        <f t="shared" si="21"/>
        <v>4)Fuc(1)NeuAc(1)</v>
      </c>
      <c r="T67" s="32" t="str">
        <f t="shared" si="22"/>
        <v>1)NeuAc(1)</v>
      </c>
      <c r="U67" s="32" t="str">
        <f t="shared" si="23"/>
        <v>1)</v>
      </c>
      <c r="V67" s="32">
        <f t="shared" si="24"/>
        <v>0</v>
      </c>
      <c r="W67" s="32">
        <f t="shared" si="25"/>
        <v>0</v>
      </c>
      <c r="X67" s="32">
        <f t="shared" si="26"/>
        <v>0</v>
      </c>
      <c r="Y67" s="32">
        <f t="shared" si="27"/>
        <v>0</v>
      </c>
      <c r="Z67" s="32">
        <f t="shared" si="28"/>
        <v>0</v>
      </c>
    </row>
    <row r="68" spans="1:26" x14ac:dyDescent="0.25">
      <c r="A68" s="30" t="str">
        <f t="shared" si="11"/>
        <v>7</v>
      </c>
      <c r="B68" s="30" t="str">
        <f t="shared" si="12"/>
        <v>3</v>
      </c>
      <c r="C68" s="30">
        <f t="shared" si="13"/>
        <v>0</v>
      </c>
      <c r="D68" s="31">
        <f t="shared" si="14"/>
        <v>0</v>
      </c>
      <c r="E68" s="31">
        <f t="shared" si="15"/>
        <v>0</v>
      </c>
      <c r="F68" s="32">
        <f t="shared" si="16"/>
        <v>0</v>
      </c>
      <c r="G68" s="31">
        <f t="shared" si="17"/>
        <v>0</v>
      </c>
      <c r="H68" s="31">
        <f t="shared" si="18"/>
        <v>0</v>
      </c>
      <c r="I68" s="32">
        <f t="shared" si="19"/>
        <v>0</v>
      </c>
      <c r="N68" t="s">
        <v>278</v>
      </c>
      <c r="R68" s="32" t="str">
        <f t="shared" si="20"/>
        <v>7)Hex(3)</v>
      </c>
      <c r="S68" s="32" t="str">
        <f t="shared" si="21"/>
        <v>3)</v>
      </c>
      <c r="T68" s="32">
        <f t="shared" si="22"/>
        <v>0</v>
      </c>
      <c r="U68" s="32">
        <f t="shared" si="23"/>
        <v>0</v>
      </c>
      <c r="V68" s="32">
        <f t="shared" si="24"/>
        <v>0</v>
      </c>
      <c r="W68" s="32">
        <f t="shared" si="25"/>
        <v>0</v>
      </c>
      <c r="X68" s="32">
        <f t="shared" si="26"/>
        <v>0</v>
      </c>
      <c r="Y68" s="32">
        <f t="shared" si="27"/>
        <v>0</v>
      </c>
      <c r="Z68" s="32">
        <f t="shared" si="28"/>
        <v>0</v>
      </c>
    </row>
    <row r="69" spans="1:26" x14ac:dyDescent="0.25">
      <c r="A69" s="30" t="str">
        <f t="shared" si="11"/>
        <v>4</v>
      </c>
      <c r="B69" s="30" t="str">
        <f t="shared" si="12"/>
        <v>4</v>
      </c>
      <c r="C69" s="30" t="str">
        <f t="shared" si="13"/>
        <v>1</v>
      </c>
      <c r="D69" s="31">
        <f t="shared" si="14"/>
        <v>0</v>
      </c>
      <c r="E69" s="31">
        <f t="shared" si="15"/>
        <v>1</v>
      </c>
      <c r="F69" s="32">
        <f t="shared" si="16"/>
        <v>1</v>
      </c>
      <c r="G69" s="31">
        <f t="shared" si="17"/>
        <v>0</v>
      </c>
      <c r="H69" s="31">
        <f t="shared" si="18"/>
        <v>0</v>
      </c>
      <c r="I69" s="32">
        <f t="shared" si="19"/>
        <v>0</v>
      </c>
      <c r="N69" t="s">
        <v>279</v>
      </c>
      <c r="R69" s="32" t="str">
        <f t="shared" si="20"/>
        <v>4)Hex(4)Fuc(1)NeuGc(1)</v>
      </c>
      <c r="S69" s="32" t="str">
        <f t="shared" si="21"/>
        <v>4)Fuc(1)NeuGc(1)</v>
      </c>
      <c r="T69" s="32" t="str">
        <f t="shared" si="22"/>
        <v>1)NeuGc(1)</v>
      </c>
      <c r="U69" s="32">
        <f t="shared" si="23"/>
        <v>0</v>
      </c>
      <c r="V69" s="32" t="str">
        <f t="shared" si="24"/>
        <v>1)</v>
      </c>
      <c r="W69" s="32">
        <f t="shared" si="25"/>
        <v>0</v>
      </c>
      <c r="X69" s="32">
        <f t="shared" si="26"/>
        <v>0</v>
      </c>
      <c r="Y69" s="32">
        <f t="shared" si="27"/>
        <v>0</v>
      </c>
      <c r="Z69" s="32">
        <f t="shared" si="28"/>
        <v>0</v>
      </c>
    </row>
    <row r="70" spans="1:26" x14ac:dyDescent="0.25">
      <c r="A70" s="30" t="str">
        <f t="shared" si="11"/>
        <v>4</v>
      </c>
      <c r="B70" s="30" t="str">
        <f t="shared" si="12"/>
        <v>5</v>
      </c>
      <c r="C70" s="30">
        <f t="shared" si="13"/>
        <v>0</v>
      </c>
      <c r="D70" s="31">
        <f t="shared" si="14"/>
        <v>1</v>
      </c>
      <c r="E70" s="31">
        <f t="shared" si="15"/>
        <v>0</v>
      </c>
      <c r="F70" s="32">
        <f t="shared" si="16"/>
        <v>1</v>
      </c>
      <c r="G70" s="31">
        <f t="shared" si="17"/>
        <v>0</v>
      </c>
      <c r="H70" s="31">
        <f t="shared" si="18"/>
        <v>0</v>
      </c>
      <c r="I70" s="32">
        <f t="shared" si="19"/>
        <v>0</v>
      </c>
      <c r="N70" t="s">
        <v>280</v>
      </c>
      <c r="R70" s="32" t="str">
        <f t="shared" si="20"/>
        <v>4)Hex(5)NeuAc(1)</v>
      </c>
      <c r="S70" s="32" t="str">
        <f t="shared" si="21"/>
        <v>5)NeuAc(1)</v>
      </c>
      <c r="T70" s="32">
        <f t="shared" si="22"/>
        <v>0</v>
      </c>
      <c r="U70" s="32" t="str">
        <f t="shared" si="23"/>
        <v>1)</v>
      </c>
      <c r="V70" s="32">
        <f t="shared" si="24"/>
        <v>0</v>
      </c>
      <c r="W70" s="32">
        <f t="shared" si="25"/>
        <v>0</v>
      </c>
      <c r="X70" s="32">
        <f t="shared" si="26"/>
        <v>0</v>
      </c>
      <c r="Y70" s="32">
        <f t="shared" si="27"/>
        <v>0</v>
      </c>
      <c r="Z70" s="32">
        <f t="shared" si="28"/>
        <v>0</v>
      </c>
    </row>
    <row r="71" spans="1:26" x14ac:dyDescent="0.25">
      <c r="A71" s="30" t="str">
        <f t="shared" si="11"/>
        <v>4</v>
      </c>
      <c r="B71" s="30" t="str">
        <f t="shared" si="12"/>
        <v>5</v>
      </c>
      <c r="C71" s="30" t="str">
        <f t="shared" si="13"/>
        <v>2</v>
      </c>
      <c r="D71" s="31">
        <f t="shared" si="14"/>
        <v>0</v>
      </c>
      <c r="E71" s="31">
        <f t="shared" si="15"/>
        <v>0</v>
      </c>
      <c r="F71" s="32">
        <f t="shared" si="16"/>
        <v>0</v>
      </c>
      <c r="G71" s="31">
        <f t="shared" si="17"/>
        <v>0</v>
      </c>
      <c r="H71" s="31">
        <f t="shared" si="18"/>
        <v>0</v>
      </c>
      <c r="I71" s="32">
        <f t="shared" si="19"/>
        <v>0</v>
      </c>
      <c r="N71" t="s">
        <v>281</v>
      </c>
      <c r="R71" s="32" t="str">
        <f t="shared" si="20"/>
        <v>4)Hex(5)Fuc(2)</v>
      </c>
      <c r="S71" s="32" t="str">
        <f t="shared" si="21"/>
        <v>5)Fuc(2)</v>
      </c>
      <c r="T71" s="32" t="str">
        <f t="shared" si="22"/>
        <v>2)</v>
      </c>
      <c r="U71" s="32">
        <f t="shared" si="23"/>
        <v>0</v>
      </c>
      <c r="V71" s="32">
        <f t="shared" si="24"/>
        <v>0</v>
      </c>
      <c r="W71" s="32">
        <f t="shared" si="25"/>
        <v>0</v>
      </c>
      <c r="X71" s="32">
        <f t="shared" si="26"/>
        <v>0</v>
      </c>
      <c r="Y71" s="32">
        <f t="shared" si="27"/>
        <v>0</v>
      </c>
      <c r="Z71" s="32">
        <f t="shared" si="28"/>
        <v>0</v>
      </c>
    </row>
    <row r="72" spans="1:26" x14ac:dyDescent="0.25">
      <c r="A72" s="30" t="str">
        <f t="shared" si="11"/>
        <v>4</v>
      </c>
      <c r="B72" s="30" t="str">
        <f t="shared" si="12"/>
        <v>5</v>
      </c>
      <c r="C72" s="30">
        <f t="shared" si="13"/>
        <v>0</v>
      </c>
      <c r="D72" s="31">
        <f t="shared" si="14"/>
        <v>0</v>
      </c>
      <c r="E72" s="31">
        <f t="shared" si="15"/>
        <v>1</v>
      </c>
      <c r="F72" s="32">
        <f t="shared" si="16"/>
        <v>1</v>
      </c>
      <c r="G72" s="31">
        <f t="shared" si="17"/>
        <v>0</v>
      </c>
      <c r="H72" s="31">
        <f t="shared" si="18"/>
        <v>0</v>
      </c>
      <c r="I72" s="32">
        <f t="shared" si="19"/>
        <v>0</v>
      </c>
      <c r="N72" t="s">
        <v>282</v>
      </c>
      <c r="R72" s="32" t="str">
        <f t="shared" si="20"/>
        <v>4)Hex(5)NeuGc(1)</v>
      </c>
      <c r="S72" s="32" t="str">
        <f t="shared" si="21"/>
        <v>5)NeuGc(1)</v>
      </c>
      <c r="T72" s="32">
        <f t="shared" si="22"/>
        <v>0</v>
      </c>
      <c r="U72" s="32">
        <f t="shared" si="23"/>
        <v>0</v>
      </c>
      <c r="V72" s="32" t="str">
        <f t="shared" si="24"/>
        <v>1)</v>
      </c>
      <c r="W72" s="32">
        <f t="shared" si="25"/>
        <v>0</v>
      </c>
      <c r="X72" s="32">
        <f t="shared" si="26"/>
        <v>0</v>
      </c>
      <c r="Y72" s="32">
        <f t="shared" si="27"/>
        <v>0</v>
      </c>
      <c r="Z72" s="32">
        <f t="shared" si="28"/>
        <v>0</v>
      </c>
    </row>
    <row r="73" spans="1:26" x14ac:dyDescent="0.25">
      <c r="A73" s="30" t="str">
        <f t="shared" si="11"/>
        <v>4</v>
      </c>
      <c r="B73" s="30" t="str">
        <f t="shared" si="12"/>
        <v>6</v>
      </c>
      <c r="C73" s="30" t="str">
        <f t="shared" si="13"/>
        <v>1</v>
      </c>
      <c r="D73" s="31">
        <f t="shared" si="14"/>
        <v>0</v>
      </c>
      <c r="E73" s="31">
        <f t="shared" si="15"/>
        <v>0</v>
      </c>
      <c r="F73" s="32">
        <f t="shared" si="16"/>
        <v>0</v>
      </c>
      <c r="G73" s="31">
        <f t="shared" si="17"/>
        <v>0</v>
      </c>
      <c r="H73" s="31">
        <f t="shared" si="18"/>
        <v>0</v>
      </c>
      <c r="I73" s="32">
        <f t="shared" si="19"/>
        <v>0</v>
      </c>
      <c r="N73" t="s">
        <v>283</v>
      </c>
      <c r="R73" s="32" t="str">
        <f t="shared" si="20"/>
        <v>4)Hex(6)Fuc(1)</v>
      </c>
      <c r="S73" s="32" t="str">
        <f t="shared" si="21"/>
        <v>6)Fuc(1)</v>
      </c>
      <c r="T73" s="32" t="str">
        <f t="shared" si="22"/>
        <v>1)</v>
      </c>
      <c r="U73" s="32">
        <f t="shared" si="23"/>
        <v>0</v>
      </c>
      <c r="V73" s="32">
        <f t="shared" si="24"/>
        <v>0</v>
      </c>
      <c r="W73" s="32">
        <f t="shared" si="25"/>
        <v>0</v>
      </c>
      <c r="X73" s="32">
        <f t="shared" si="26"/>
        <v>0</v>
      </c>
      <c r="Y73" s="32">
        <f t="shared" si="27"/>
        <v>0</v>
      </c>
      <c r="Z73" s="32">
        <f t="shared" si="28"/>
        <v>0</v>
      </c>
    </row>
    <row r="74" spans="1:26" x14ac:dyDescent="0.25">
      <c r="A74" s="30" t="str">
        <f t="shared" ref="A74:A138" si="46">IFERROR(LEFT(R74,FIND(")",R74)-1),0)</f>
        <v>5</v>
      </c>
      <c r="B74" s="30" t="str">
        <f t="shared" ref="B74:B138" si="47">IFERROR(LEFT(S74,FIND(")",S74)-1),0)</f>
        <v>3</v>
      </c>
      <c r="C74" s="30" t="str">
        <f t="shared" ref="C74:C138" si="48">IFERROR(LEFT(T74,FIND(")",T74)-1),0)</f>
        <v>1</v>
      </c>
      <c r="D74" s="31">
        <f t="shared" ref="D74:D138" si="49">VALUE(IFERROR(LEFT(U74,FIND(")",U74)-1),0))</f>
        <v>1</v>
      </c>
      <c r="E74" s="31">
        <f t="shared" ref="E74:E138" si="50">VALUE(IFERROR(LEFT(V74,FIND(")",V74)-1),0))</f>
        <v>0</v>
      </c>
      <c r="F74" s="32">
        <f t="shared" ref="F74:F138" si="51">SUM(D74:E74)</f>
        <v>1</v>
      </c>
      <c r="G74" s="31">
        <f t="shared" ref="G74:G138" si="52">VALUE(IFERROR(LEFT(X74,FIND(")",X74)-1),0))</f>
        <v>0</v>
      </c>
      <c r="H74" s="31">
        <f t="shared" ref="H74:H138" si="53">VALUE(IFERROR(LEFT(Y74,FIND(")",Y74)-1),0))</f>
        <v>0</v>
      </c>
      <c r="I74" s="32">
        <f t="shared" ref="I74:I138" si="54">SUM(G74:H74)</f>
        <v>0</v>
      </c>
      <c r="N74" t="s">
        <v>284</v>
      </c>
      <c r="R74" s="32" t="str">
        <f t="shared" si="20"/>
        <v>5)Hex(3)Fuc(1)NeuAc(1)</v>
      </c>
      <c r="S74" s="32" t="str">
        <f t="shared" si="21"/>
        <v>3)Fuc(1)NeuAc(1)</v>
      </c>
      <c r="T74" s="32" t="str">
        <f t="shared" si="22"/>
        <v>1)NeuAc(1)</v>
      </c>
      <c r="U74" s="32" t="str">
        <f t="shared" si="23"/>
        <v>1)</v>
      </c>
      <c r="V74" s="32">
        <f t="shared" si="24"/>
        <v>0</v>
      </c>
      <c r="W74" s="32">
        <f t="shared" si="25"/>
        <v>0</v>
      </c>
      <c r="X74" s="32">
        <f t="shared" si="26"/>
        <v>0</v>
      </c>
      <c r="Y74" s="32">
        <f t="shared" si="27"/>
        <v>0</v>
      </c>
      <c r="Z74" s="32">
        <f t="shared" si="28"/>
        <v>0</v>
      </c>
    </row>
    <row r="75" spans="1:26" x14ac:dyDescent="0.25">
      <c r="A75" s="30" t="str">
        <f t="shared" si="46"/>
        <v>4</v>
      </c>
      <c r="B75" s="30" t="str">
        <f t="shared" si="47"/>
        <v>7</v>
      </c>
      <c r="C75" s="30">
        <f t="shared" si="48"/>
        <v>0</v>
      </c>
      <c r="D75" s="31">
        <f t="shared" si="49"/>
        <v>0</v>
      </c>
      <c r="E75" s="31">
        <f t="shared" si="50"/>
        <v>0</v>
      </c>
      <c r="F75" s="32">
        <f t="shared" si="51"/>
        <v>0</v>
      </c>
      <c r="G75" s="31">
        <f t="shared" si="52"/>
        <v>0</v>
      </c>
      <c r="H75" s="31">
        <f t="shared" si="53"/>
        <v>0</v>
      </c>
      <c r="I75" s="32">
        <f t="shared" si="54"/>
        <v>0</v>
      </c>
      <c r="N75" t="s">
        <v>285</v>
      </c>
      <c r="R75" s="32" t="str">
        <f t="shared" si="20"/>
        <v>4)Hex(7)</v>
      </c>
      <c r="S75" s="32" t="str">
        <f t="shared" si="21"/>
        <v>7)</v>
      </c>
      <c r="T75" s="32">
        <f t="shared" si="22"/>
        <v>0</v>
      </c>
      <c r="U75" s="32">
        <f t="shared" si="23"/>
        <v>0</v>
      </c>
      <c r="V75" s="32">
        <f t="shared" si="24"/>
        <v>0</v>
      </c>
      <c r="W75" s="32">
        <f t="shared" si="25"/>
        <v>0</v>
      </c>
      <c r="X75" s="32">
        <f t="shared" si="26"/>
        <v>0</v>
      </c>
      <c r="Y75" s="32">
        <f t="shared" si="27"/>
        <v>0</v>
      </c>
      <c r="Z75" s="32">
        <f t="shared" si="28"/>
        <v>0</v>
      </c>
    </row>
    <row r="76" spans="1:26" x14ac:dyDescent="0.25">
      <c r="A76" s="30" t="str">
        <f t="shared" si="46"/>
        <v>5</v>
      </c>
      <c r="B76" s="30" t="str">
        <f t="shared" si="47"/>
        <v>4</v>
      </c>
      <c r="C76" s="30">
        <f t="shared" si="48"/>
        <v>0</v>
      </c>
      <c r="D76" s="31">
        <f t="shared" si="49"/>
        <v>1</v>
      </c>
      <c r="E76" s="31">
        <f t="shared" si="50"/>
        <v>0</v>
      </c>
      <c r="F76" s="32">
        <f t="shared" si="51"/>
        <v>1</v>
      </c>
      <c r="G76" s="31">
        <f t="shared" si="52"/>
        <v>0</v>
      </c>
      <c r="H76" s="31">
        <f t="shared" si="53"/>
        <v>0</v>
      </c>
      <c r="I76" s="32">
        <f t="shared" si="54"/>
        <v>0</v>
      </c>
      <c r="N76" t="s">
        <v>286</v>
      </c>
      <c r="R76" s="32" t="str">
        <f t="shared" si="20"/>
        <v>5)Hex(4)NeuAc(1)</v>
      </c>
      <c r="S76" s="32" t="str">
        <f t="shared" si="21"/>
        <v>4)NeuAc(1)</v>
      </c>
      <c r="T76" s="32">
        <f t="shared" si="22"/>
        <v>0</v>
      </c>
      <c r="U76" s="32" t="str">
        <f t="shared" si="23"/>
        <v>1)</v>
      </c>
      <c r="V76" s="32">
        <f t="shared" si="24"/>
        <v>0</v>
      </c>
      <c r="W76" s="32">
        <f t="shared" si="25"/>
        <v>0</v>
      </c>
      <c r="X76" s="32">
        <f t="shared" si="26"/>
        <v>0</v>
      </c>
      <c r="Y76" s="32">
        <f t="shared" si="27"/>
        <v>0</v>
      </c>
      <c r="Z76" s="32">
        <f t="shared" si="28"/>
        <v>0</v>
      </c>
    </row>
    <row r="77" spans="1:26" x14ac:dyDescent="0.25">
      <c r="A77" s="30" t="str">
        <f t="shared" si="46"/>
        <v>5</v>
      </c>
      <c r="B77" s="30" t="str">
        <f t="shared" si="47"/>
        <v>3</v>
      </c>
      <c r="C77" s="30" t="str">
        <f t="shared" si="48"/>
        <v>1</v>
      </c>
      <c r="D77" s="31">
        <f t="shared" si="49"/>
        <v>0</v>
      </c>
      <c r="E77" s="31">
        <f t="shared" si="50"/>
        <v>1</v>
      </c>
      <c r="F77" s="32">
        <f t="shared" si="51"/>
        <v>1</v>
      </c>
      <c r="G77" s="31">
        <f t="shared" si="52"/>
        <v>0</v>
      </c>
      <c r="H77" s="31">
        <f t="shared" si="53"/>
        <v>0</v>
      </c>
      <c r="I77" s="32">
        <f t="shared" si="54"/>
        <v>0</v>
      </c>
      <c r="N77" t="s">
        <v>287</v>
      </c>
      <c r="R77" s="32" t="str">
        <f t="shared" ref="R77:R141" si="55">IFERROR(MID($N77,SEARCH(A$1&amp;"(",$N77)+LEN(A$1)+1,LEN($N77)),0)</f>
        <v>5)Hex(3)Fuc(1)NeuGc(1)</v>
      </c>
      <c r="S77" s="32" t="str">
        <f t="shared" ref="S77:S141" si="56">IFERROR(MID($N77,SEARCH(B$1&amp;"(",$N77)+LEN(B$1)+1,LEN($N77)),0)</f>
        <v>3)Fuc(1)NeuGc(1)</v>
      </c>
      <c r="T77" s="32" t="str">
        <f t="shared" ref="T77:T141" si="57">IFERROR(MID($N77,SEARCH(C$1&amp;"(",$N77)+LEN(C$1)+1,LEN($N77)),0)</f>
        <v>1)NeuGc(1)</v>
      </c>
      <c r="U77" s="32">
        <f t="shared" ref="U77:U141" si="58">IFERROR(MID($N77,SEARCH(D$1&amp;"(",$N77)+LEN(D$1)+1,LEN($N77)),0)</f>
        <v>0</v>
      </c>
      <c r="V77" s="32" t="str">
        <f t="shared" ref="V77:V141" si="59">IFERROR(MID($N77,SEARCH(E$1&amp;"(",$N77)+LEN(E$1)+1,LEN($N77)),0)</f>
        <v>1)</v>
      </c>
      <c r="W77" s="32">
        <f t="shared" ref="W77:W141" si="60">IFERROR(MID($N77,SEARCH(F$1&amp;"(",$N77)+LEN(F$1)+1,LEN($N77)),0)</f>
        <v>0</v>
      </c>
      <c r="X77" s="32">
        <f t="shared" ref="X77:X141" si="61">IFERROR(MID($N77,SEARCH(G$1&amp;"(",$N77)+LEN(G$1)+1,LEN($N77)),0)</f>
        <v>0</v>
      </c>
      <c r="Y77" s="32">
        <f t="shared" ref="Y77:Y141" si="62">IFERROR(MID($N77,SEARCH(H$1&amp;"(",$N77)+LEN(H$1)+1,LEN($N77)),0)</f>
        <v>0</v>
      </c>
      <c r="Z77" s="32">
        <f t="shared" ref="Z77:Z141" si="63">IFERROR(MID($N77,SEARCH(I$1&amp;"(",$N77)+LEN(I$1)+1,LEN($N77)),0)</f>
        <v>0</v>
      </c>
    </row>
    <row r="78" spans="1:26" x14ac:dyDescent="0.25">
      <c r="A78" s="30" t="str">
        <f t="shared" si="46"/>
        <v>5</v>
      </c>
      <c r="B78" s="30" t="str">
        <f t="shared" si="47"/>
        <v>4</v>
      </c>
      <c r="C78" s="30" t="str">
        <f t="shared" si="48"/>
        <v>2</v>
      </c>
      <c r="D78" s="31">
        <f t="shared" si="49"/>
        <v>0</v>
      </c>
      <c r="E78" s="31">
        <f t="shared" si="50"/>
        <v>0</v>
      </c>
      <c r="F78" s="32">
        <f t="shared" si="51"/>
        <v>0</v>
      </c>
      <c r="G78" s="31">
        <f t="shared" si="52"/>
        <v>0</v>
      </c>
      <c r="H78" s="31">
        <f t="shared" si="53"/>
        <v>0</v>
      </c>
      <c r="I78" s="32">
        <f t="shared" si="54"/>
        <v>0</v>
      </c>
      <c r="N78" t="s">
        <v>288</v>
      </c>
      <c r="R78" s="32" t="str">
        <f t="shared" si="55"/>
        <v>5)Hex(4)Fuc(2)</v>
      </c>
      <c r="S78" s="32" t="str">
        <f t="shared" si="56"/>
        <v>4)Fuc(2)</v>
      </c>
      <c r="T78" s="32" t="str">
        <f t="shared" si="57"/>
        <v>2)</v>
      </c>
      <c r="U78" s="32">
        <f t="shared" si="58"/>
        <v>0</v>
      </c>
      <c r="V78" s="32">
        <f t="shared" si="59"/>
        <v>0</v>
      </c>
      <c r="W78" s="32">
        <f t="shared" si="60"/>
        <v>0</v>
      </c>
      <c r="X78" s="32">
        <f t="shared" si="61"/>
        <v>0</v>
      </c>
      <c r="Y78" s="32">
        <f t="shared" si="62"/>
        <v>0</v>
      </c>
      <c r="Z78" s="32">
        <f t="shared" si="63"/>
        <v>0</v>
      </c>
    </row>
    <row r="79" spans="1:26" x14ac:dyDescent="0.25">
      <c r="A79" s="30" t="str">
        <f t="shared" si="46"/>
        <v>5</v>
      </c>
      <c r="B79" s="30" t="str">
        <f t="shared" si="47"/>
        <v>4</v>
      </c>
      <c r="C79" s="30">
        <f t="shared" si="48"/>
        <v>0</v>
      </c>
      <c r="D79" s="31">
        <f t="shared" si="49"/>
        <v>0</v>
      </c>
      <c r="E79" s="31">
        <f t="shared" si="50"/>
        <v>1</v>
      </c>
      <c r="F79" s="32">
        <f t="shared" si="51"/>
        <v>1</v>
      </c>
      <c r="G79" s="31">
        <f t="shared" si="52"/>
        <v>0</v>
      </c>
      <c r="H79" s="31">
        <f t="shared" si="53"/>
        <v>0</v>
      </c>
      <c r="I79" s="32">
        <f t="shared" si="54"/>
        <v>0</v>
      </c>
      <c r="N79" t="s">
        <v>289</v>
      </c>
      <c r="R79" s="32" t="str">
        <f t="shared" si="55"/>
        <v>5)Hex(4)NeuGc(1)</v>
      </c>
      <c r="S79" s="32" t="str">
        <f t="shared" si="56"/>
        <v>4)NeuGc(1)</v>
      </c>
      <c r="T79" s="32">
        <f t="shared" si="57"/>
        <v>0</v>
      </c>
      <c r="U79" s="32">
        <f t="shared" si="58"/>
        <v>0</v>
      </c>
      <c r="V79" s="32" t="str">
        <f t="shared" si="59"/>
        <v>1)</v>
      </c>
      <c r="W79" s="32">
        <f t="shared" si="60"/>
        <v>0</v>
      </c>
      <c r="X79" s="32">
        <f t="shared" si="61"/>
        <v>0</v>
      </c>
      <c r="Y79" s="32">
        <f t="shared" si="62"/>
        <v>0</v>
      </c>
      <c r="Z79" s="32">
        <f t="shared" si="63"/>
        <v>0</v>
      </c>
    </row>
    <row r="80" spans="1:26" x14ac:dyDescent="0.25">
      <c r="A80" s="30" t="str">
        <f t="shared" si="46"/>
        <v>5</v>
      </c>
      <c r="B80" s="30" t="str">
        <f t="shared" si="47"/>
        <v>5</v>
      </c>
      <c r="C80" s="30" t="str">
        <f t="shared" si="48"/>
        <v>1</v>
      </c>
      <c r="D80" s="31">
        <f t="shared" si="49"/>
        <v>0</v>
      </c>
      <c r="E80" s="31">
        <f t="shared" si="50"/>
        <v>0</v>
      </c>
      <c r="F80" s="32">
        <f t="shared" si="51"/>
        <v>0</v>
      </c>
      <c r="G80" s="31">
        <f t="shared" si="52"/>
        <v>0</v>
      </c>
      <c r="H80" s="31">
        <f t="shared" si="53"/>
        <v>0</v>
      </c>
      <c r="I80" s="32">
        <f t="shared" si="54"/>
        <v>0</v>
      </c>
      <c r="N80" t="s">
        <v>290</v>
      </c>
      <c r="R80" s="32" t="str">
        <f t="shared" si="55"/>
        <v>5)Hex(5)Fuc(1)</v>
      </c>
      <c r="S80" s="32" t="str">
        <f t="shared" si="56"/>
        <v>5)Fuc(1)</v>
      </c>
      <c r="T80" s="32" t="str">
        <f t="shared" si="57"/>
        <v>1)</v>
      </c>
      <c r="U80" s="32">
        <f t="shared" si="58"/>
        <v>0</v>
      </c>
      <c r="V80" s="32">
        <f t="shared" si="59"/>
        <v>0</v>
      </c>
      <c r="W80" s="32">
        <f t="shared" si="60"/>
        <v>0</v>
      </c>
      <c r="X80" s="32">
        <f t="shared" si="61"/>
        <v>0</v>
      </c>
      <c r="Y80" s="32">
        <f t="shared" si="62"/>
        <v>0</v>
      </c>
      <c r="Z80" s="32">
        <f t="shared" si="63"/>
        <v>0</v>
      </c>
    </row>
    <row r="81" spans="1:26" x14ac:dyDescent="0.25">
      <c r="A81" s="30" t="str">
        <f t="shared" ref="A81" si="64">IFERROR(LEFT(R81,FIND(")",R81)-1),0)</f>
        <v>5</v>
      </c>
      <c r="B81" s="30" t="str">
        <f t="shared" ref="B81" si="65">IFERROR(LEFT(S81,FIND(")",S81)-1),0)</f>
        <v>5</v>
      </c>
      <c r="C81" s="30" t="str">
        <f t="shared" ref="C81" si="66">IFERROR(LEFT(T81,FIND(")",T81)-1),0)</f>
        <v>1</v>
      </c>
      <c r="D81" s="31">
        <v>1</v>
      </c>
      <c r="E81" s="31">
        <f t="shared" ref="E81" si="67">VALUE(IFERROR(LEFT(V81,FIND(")",V81)-1),0))</f>
        <v>0</v>
      </c>
      <c r="F81" s="32">
        <f t="shared" ref="F81" si="68">SUM(D81:E81)</f>
        <v>1</v>
      </c>
      <c r="G81" s="31">
        <f t="shared" ref="G81" si="69">VALUE(IFERROR(LEFT(X81,FIND(")",X81)-1),0))</f>
        <v>0</v>
      </c>
      <c r="H81" s="31">
        <f t="shared" ref="H81" si="70">VALUE(IFERROR(LEFT(Y81,FIND(")",Y81)-1),0))</f>
        <v>0</v>
      </c>
      <c r="I81" s="32">
        <f t="shared" ref="I81" si="71">SUM(G81:H81)</f>
        <v>0</v>
      </c>
      <c r="N81" t="s">
        <v>341</v>
      </c>
      <c r="R81" s="32" t="str">
        <f t="shared" ref="R81" si="72">IFERROR(MID($N81,SEARCH(A$1&amp;"(",$N81)+LEN(A$1)+1,LEN($N81)),0)</f>
        <v>5)Hex(5)Fuc(1)NeuAc(1)</v>
      </c>
      <c r="S81" s="32" t="str">
        <f t="shared" ref="S81" si="73">IFERROR(MID($N81,SEARCH(B$1&amp;"(",$N81)+LEN(B$1)+1,LEN($N81)),0)</f>
        <v>5)Fuc(1)NeuAc(1)</v>
      </c>
      <c r="T81" s="32" t="str">
        <f t="shared" ref="T81" si="74">IFERROR(MID($N81,SEARCH(C$1&amp;"(",$N81)+LEN(C$1)+1,LEN($N81)),0)</f>
        <v>1)NeuAc(1)</v>
      </c>
      <c r="U81" s="32" t="str">
        <f t="shared" ref="U81" si="75">IFERROR(MID($N81,SEARCH(D$1&amp;"(",$N81)+LEN(D$1)+1,LEN($N81)),0)</f>
        <v>1)</v>
      </c>
      <c r="V81" s="32">
        <f t="shared" ref="V81" si="76">IFERROR(MID($N81,SEARCH(E$1&amp;"(",$N81)+LEN(E$1)+1,LEN($N81)),0)</f>
        <v>0</v>
      </c>
      <c r="W81" s="32">
        <f t="shared" ref="W81" si="77">IFERROR(MID($N81,SEARCH(F$1&amp;"(",$N81)+LEN(F$1)+1,LEN($N81)),0)</f>
        <v>0</v>
      </c>
      <c r="X81" s="32">
        <f t="shared" ref="X81" si="78">IFERROR(MID($N81,SEARCH(G$1&amp;"(",$N81)+LEN(G$1)+1,LEN($N81)),0)</f>
        <v>0</v>
      </c>
      <c r="Y81" s="32">
        <f t="shared" ref="Y81" si="79">IFERROR(MID($N81,SEARCH(H$1&amp;"(",$N81)+LEN(H$1)+1,LEN($N81)),0)</f>
        <v>0</v>
      </c>
      <c r="Z81" s="32">
        <f t="shared" ref="Z81" si="80">IFERROR(MID($N81,SEARCH(I$1&amp;"(",$N81)+LEN(I$1)+1,LEN($N81)),0)</f>
        <v>0</v>
      </c>
    </row>
    <row r="82" spans="1:26" x14ac:dyDescent="0.25">
      <c r="A82" s="30" t="str">
        <f t="shared" si="46"/>
        <v>5</v>
      </c>
      <c r="B82" s="30" t="str">
        <f t="shared" si="47"/>
        <v>6</v>
      </c>
      <c r="C82" s="30">
        <f t="shared" si="48"/>
        <v>0</v>
      </c>
      <c r="D82" s="31">
        <f t="shared" si="49"/>
        <v>0</v>
      </c>
      <c r="E82" s="31">
        <f t="shared" si="50"/>
        <v>0</v>
      </c>
      <c r="F82" s="32">
        <f t="shared" si="51"/>
        <v>0</v>
      </c>
      <c r="G82" s="31">
        <f t="shared" si="52"/>
        <v>0</v>
      </c>
      <c r="H82" s="31">
        <f t="shared" si="53"/>
        <v>0</v>
      </c>
      <c r="I82" s="32">
        <f t="shared" si="54"/>
        <v>0</v>
      </c>
      <c r="N82" t="s">
        <v>291</v>
      </c>
      <c r="R82" s="32" t="str">
        <f t="shared" si="55"/>
        <v>5)Hex(6)</v>
      </c>
      <c r="S82" s="32" t="str">
        <f t="shared" si="56"/>
        <v>6)</v>
      </c>
      <c r="T82" s="32">
        <f t="shared" si="57"/>
        <v>0</v>
      </c>
      <c r="U82" s="32">
        <f t="shared" si="58"/>
        <v>0</v>
      </c>
      <c r="V82" s="32">
        <f t="shared" si="59"/>
        <v>0</v>
      </c>
      <c r="W82" s="32">
        <f t="shared" si="60"/>
        <v>0</v>
      </c>
      <c r="X82" s="32">
        <f t="shared" si="61"/>
        <v>0</v>
      </c>
      <c r="Y82" s="32">
        <f t="shared" si="62"/>
        <v>0</v>
      </c>
      <c r="Z82" s="32">
        <f t="shared" si="63"/>
        <v>0</v>
      </c>
    </row>
    <row r="83" spans="1:26" x14ac:dyDescent="0.25">
      <c r="A83" s="30" t="str">
        <f t="shared" si="46"/>
        <v>6</v>
      </c>
      <c r="B83" s="30" t="str">
        <f t="shared" si="47"/>
        <v>3</v>
      </c>
      <c r="C83" s="30" t="str">
        <f t="shared" si="48"/>
        <v>2</v>
      </c>
      <c r="D83" s="31">
        <f t="shared" si="49"/>
        <v>0</v>
      </c>
      <c r="E83" s="31">
        <f t="shared" si="50"/>
        <v>0</v>
      </c>
      <c r="F83" s="32">
        <f t="shared" si="51"/>
        <v>0</v>
      </c>
      <c r="G83" s="31">
        <f t="shared" si="52"/>
        <v>0</v>
      </c>
      <c r="H83" s="31">
        <f t="shared" si="53"/>
        <v>0</v>
      </c>
      <c r="I83" s="32">
        <f t="shared" si="54"/>
        <v>0</v>
      </c>
      <c r="N83" t="s">
        <v>292</v>
      </c>
      <c r="R83" s="32" t="str">
        <f t="shared" si="55"/>
        <v>6)Hex(3)Fuc(2)</v>
      </c>
      <c r="S83" s="32" t="str">
        <f t="shared" si="56"/>
        <v>3)Fuc(2)</v>
      </c>
      <c r="T83" s="32" t="str">
        <f t="shared" si="57"/>
        <v>2)</v>
      </c>
      <c r="U83" s="32">
        <f t="shared" si="58"/>
        <v>0</v>
      </c>
      <c r="V83" s="32">
        <f t="shared" si="59"/>
        <v>0</v>
      </c>
      <c r="W83" s="32">
        <f t="shared" si="60"/>
        <v>0</v>
      </c>
      <c r="X83" s="32">
        <f t="shared" si="61"/>
        <v>0</v>
      </c>
      <c r="Y83" s="32">
        <f t="shared" si="62"/>
        <v>0</v>
      </c>
      <c r="Z83" s="32">
        <f t="shared" si="63"/>
        <v>0</v>
      </c>
    </row>
    <row r="84" spans="1:26" x14ac:dyDescent="0.25">
      <c r="A84" s="30" t="str">
        <f t="shared" si="46"/>
        <v>6</v>
      </c>
      <c r="B84" s="30" t="str">
        <f t="shared" si="47"/>
        <v>4</v>
      </c>
      <c r="C84" s="30" t="str">
        <f t="shared" si="48"/>
        <v>1</v>
      </c>
      <c r="D84" s="31">
        <f t="shared" si="49"/>
        <v>0</v>
      </c>
      <c r="E84" s="31">
        <f t="shared" si="50"/>
        <v>0</v>
      </c>
      <c r="F84" s="32">
        <f t="shared" si="51"/>
        <v>0</v>
      </c>
      <c r="G84" s="31">
        <f t="shared" si="52"/>
        <v>0</v>
      </c>
      <c r="H84" s="31">
        <f t="shared" si="53"/>
        <v>0</v>
      </c>
      <c r="I84" s="32">
        <f t="shared" si="54"/>
        <v>0</v>
      </c>
      <c r="N84" t="s">
        <v>293</v>
      </c>
      <c r="R84" s="32" t="str">
        <f t="shared" si="55"/>
        <v>6)Hex(4)Fuc(1)</v>
      </c>
      <c r="S84" s="32" t="str">
        <f t="shared" si="56"/>
        <v>4)Fuc(1)</v>
      </c>
      <c r="T84" s="32" t="str">
        <f t="shared" si="57"/>
        <v>1)</v>
      </c>
      <c r="U84" s="32">
        <f t="shared" si="58"/>
        <v>0</v>
      </c>
      <c r="V84" s="32">
        <f t="shared" si="59"/>
        <v>0</v>
      </c>
      <c r="W84" s="32">
        <f t="shared" si="60"/>
        <v>0</v>
      </c>
      <c r="X84" s="32">
        <f t="shared" si="61"/>
        <v>0</v>
      </c>
      <c r="Y84" s="32">
        <f t="shared" si="62"/>
        <v>0</v>
      </c>
      <c r="Z84" s="32">
        <f t="shared" si="63"/>
        <v>0</v>
      </c>
    </row>
    <row r="85" spans="1:26" x14ac:dyDescent="0.25">
      <c r="A85" s="30" t="str">
        <f t="shared" si="46"/>
        <v>3</v>
      </c>
      <c r="B85" s="30" t="str">
        <f t="shared" si="47"/>
        <v>6</v>
      </c>
      <c r="C85" s="30" t="str">
        <f t="shared" si="48"/>
        <v>1</v>
      </c>
      <c r="D85" s="31">
        <f t="shared" si="49"/>
        <v>1</v>
      </c>
      <c r="E85" s="31">
        <f t="shared" si="50"/>
        <v>0</v>
      </c>
      <c r="F85" s="32">
        <f t="shared" si="51"/>
        <v>1</v>
      </c>
      <c r="G85" s="31">
        <f t="shared" si="52"/>
        <v>0</v>
      </c>
      <c r="H85" s="31">
        <f t="shared" si="53"/>
        <v>0</v>
      </c>
      <c r="I85" s="32">
        <f t="shared" si="54"/>
        <v>0</v>
      </c>
      <c r="N85" t="s">
        <v>294</v>
      </c>
      <c r="R85" s="32" t="str">
        <f t="shared" si="55"/>
        <v>3)Hex(6)Fuc(1)NeuAc(1)</v>
      </c>
      <c r="S85" s="32" t="str">
        <f t="shared" si="56"/>
        <v>6)Fuc(1)NeuAc(1)</v>
      </c>
      <c r="T85" s="32" t="str">
        <f t="shared" si="57"/>
        <v>1)NeuAc(1)</v>
      </c>
      <c r="U85" s="32" t="str">
        <f t="shared" si="58"/>
        <v>1)</v>
      </c>
      <c r="V85" s="32">
        <f t="shared" si="59"/>
        <v>0</v>
      </c>
      <c r="W85" s="32">
        <f t="shared" si="60"/>
        <v>0</v>
      </c>
      <c r="X85" s="32">
        <f t="shared" si="61"/>
        <v>0</v>
      </c>
      <c r="Y85" s="32">
        <f t="shared" si="62"/>
        <v>0</v>
      </c>
      <c r="Z85" s="32">
        <f t="shared" si="63"/>
        <v>0</v>
      </c>
    </row>
    <row r="86" spans="1:26" x14ac:dyDescent="0.25">
      <c r="A86" s="30" t="str">
        <f t="shared" si="46"/>
        <v>2</v>
      </c>
      <c r="B86" s="30" t="str">
        <f t="shared" si="47"/>
        <v>10</v>
      </c>
      <c r="C86" s="30">
        <f t="shared" si="48"/>
        <v>0</v>
      </c>
      <c r="D86" s="31">
        <f t="shared" si="49"/>
        <v>0</v>
      </c>
      <c r="E86" s="31">
        <f t="shared" si="50"/>
        <v>0</v>
      </c>
      <c r="F86" s="32">
        <f t="shared" si="51"/>
        <v>0</v>
      </c>
      <c r="G86" s="31">
        <f t="shared" si="52"/>
        <v>0</v>
      </c>
      <c r="H86" s="31">
        <f t="shared" si="53"/>
        <v>0</v>
      </c>
      <c r="I86" s="32">
        <f t="shared" si="54"/>
        <v>0</v>
      </c>
      <c r="N86" t="s">
        <v>295</v>
      </c>
      <c r="R86" s="32" t="str">
        <f t="shared" si="55"/>
        <v>2)Hex(10)</v>
      </c>
      <c r="S86" s="32" t="str">
        <f t="shared" si="56"/>
        <v>10)</v>
      </c>
      <c r="T86" s="32">
        <f t="shared" si="57"/>
        <v>0</v>
      </c>
      <c r="U86" s="32">
        <f t="shared" si="58"/>
        <v>0</v>
      </c>
      <c r="V86" s="32">
        <f t="shared" si="59"/>
        <v>0</v>
      </c>
      <c r="W86" s="32">
        <f t="shared" si="60"/>
        <v>0</v>
      </c>
      <c r="X86" s="32">
        <f t="shared" si="61"/>
        <v>0</v>
      </c>
      <c r="Y86" s="32">
        <f t="shared" si="62"/>
        <v>0</v>
      </c>
      <c r="Z86" s="32">
        <f t="shared" si="63"/>
        <v>0</v>
      </c>
    </row>
    <row r="87" spans="1:26" x14ac:dyDescent="0.25">
      <c r="A87" s="30" t="str">
        <f t="shared" si="46"/>
        <v>6</v>
      </c>
      <c r="B87" s="30" t="str">
        <f t="shared" si="47"/>
        <v>5</v>
      </c>
      <c r="C87" s="30">
        <f t="shared" si="48"/>
        <v>0</v>
      </c>
      <c r="D87" s="31">
        <f t="shared" si="49"/>
        <v>0</v>
      </c>
      <c r="E87" s="31">
        <f t="shared" si="50"/>
        <v>0</v>
      </c>
      <c r="F87" s="32">
        <f t="shared" si="51"/>
        <v>0</v>
      </c>
      <c r="G87" s="31">
        <f t="shared" si="52"/>
        <v>0</v>
      </c>
      <c r="H87" s="31">
        <f t="shared" si="53"/>
        <v>0</v>
      </c>
      <c r="I87" s="32">
        <f t="shared" si="54"/>
        <v>0</v>
      </c>
      <c r="N87" t="s">
        <v>296</v>
      </c>
      <c r="R87" s="32" t="str">
        <f t="shared" si="55"/>
        <v>6)Hex(5)</v>
      </c>
      <c r="S87" s="32" t="str">
        <f t="shared" si="56"/>
        <v>5)</v>
      </c>
      <c r="T87" s="32">
        <f t="shared" si="57"/>
        <v>0</v>
      </c>
      <c r="U87" s="32">
        <f t="shared" si="58"/>
        <v>0</v>
      </c>
      <c r="V87" s="32">
        <f t="shared" si="59"/>
        <v>0</v>
      </c>
      <c r="W87" s="32">
        <f t="shared" si="60"/>
        <v>0</v>
      </c>
      <c r="X87" s="32">
        <f t="shared" si="61"/>
        <v>0</v>
      </c>
      <c r="Y87" s="32">
        <f t="shared" si="62"/>
        <v>0</v>
      </c>
      <c r="Z87" s="32">
        <f t="shared" si="63"/>
        <v>0</v>
      </c>
    </row>
    <row r="88" spans="1:26" x14ac:dyDescent="0.25">
      <c r="A88" s="30" t="str">
        <f t="shared" si="46"/>
        <v>3</v>
      </c>
      <c r="B88" s="30" t="str">
        <f t="shared" si="47"/>
        <v>6</v>
      </c>
      <c r="C88" s="30" t="str">
        <f t="shared" si="48"/>
        <v>1</v>
      </c>
      <c r="D88" s="31">
        <f t="shared" si="49"/>
        <v>0</v>
      </c>
      <c r="E88" s="31">
        <f t="shared" si="50"/>
        <v>1</v>
      </c>
      <c r="F88" s="32">
        <f t="shared" si="51"/>
        <v>1</v>
      </c>
      <c r="G88" s="31">
        <f t="shared" si="52"/>
        <v>0</v>
      </c>
      <c r="H88" s="31">
        <f t="shared" si="53"/>
        <v>0</v>
      </c>
      <c r="I88" s="32">
        <f t="shared" si="54"/>
        <v>0</v>
      </c>
      <c r="N88" t="s">
        <v>297</v>
      </c>
      <c r="R88" s="32" t="str">
        <f t="shared" si="55"/>
        <v>3)Hex(6)Fuc(1)NeuGc(1)</v>
      </c>
      <c r="S88" s="32" t="str">
        <f t="shared" si="56"/>
        <v>6)Fuc(1)NeuGc(1)</v>
      </c>
      <c r="T88" s="32" t="str">
        <f t="shared" si="57"/>
        <v>1)NeuGc(1)</v>
      </c>
      <c r="U88" s="32">
        <f t="shared" si="58"/>
        <v>0</v>
      </c>
      <c r="V88" s="32" t="str">
        <f t="shared" si="59"/>
        <v>1)</v>
      </c>
      <c r="W88" s="32">
        <f t="shared" si="60"/>
        <v>0</v>
      </c>
      <c r="X88" s="32">
        <f t="shared" si="61"/>
        <v>0</v>
      </c>
      <c r="Y88" s="32">
        <f t="shared" si="62"/>
        <v>0</v>
      </c>
      <c r="Z88" s="32">
        <f t="shared" si="63"/>
        <v>0</v>
      </c>
    </row>
    <row r="89" spans="1:26" x14ac:dyDescent="0.25">
      <c r="A89" s="30" t="str">
        <f t="shared" si="46"/>
        <v>4</v>
      </c>
      <c r="B89" s="30" t="str">
        <f t="shared" si="47"/>
        <v>4</v>
      </c>
      <c r="C89" s="30" t="str">
        <f t="shared" si="48"/>
        <v>2</v>
      </c>
      <c r="D89" s="31">
        <f t="shared" si="49"/>
        <v>1</v>
      </c>
      <c r="E89" s="31">
        <f t="shared" si="50"/>
        <v>0</v>
      </c>
      <c r="F89" s="32">
        <f t="shared" si="51"/>
        <v>1</v>
      </c>
      <c r="G89" s="31">
        <f t="shared" si="52"/>
        <v>0</v>
      </c>
      <c r="H89" s="31">
        <f t="shared" si="53"/>
        <v>0</v>
      </c>
      <c r="I89" s="32">
        <f t="shared" si="54"/>
        <v>0</v>
      </c>
      <c r="N89" t="s">
        <v>298</v>
      </c>
      <c r="R89" s="32" t="str">
        <f t="shared" si="55"/>
        <v>4)Hex(4)Fuc(2)NeuAc(1)</v>
      </c>
      <c r="S89" s="32" t="str">
        <f t="shared" si="56"/>
        <v>4)Fuc(2)NeuAc(1)</v>
      </c>
      <c r="T89" s="32" t="str">
        <f t="shared" si="57"/>
        <v>2)NeuAc(1)</v>
      </c>
      <c r="U89" s="32" t="str">
        <f t="shared" si="58"/>
        <v>1)</v>
      </c>
      <c r="V89" s="32">
        <f t="shared" si="59"/>
        <v>0</v>
      </c>
      <c r="W89" s="32">
        <f t="shared" si="60"/>
        <v>0</v>
      </c>
      <c r="X89" s="32">
        <f t="shared" si="61"/>
        <v>0</v>
      </c>
      <c r="Y89" s="32">
        <f t="shared" si="62"/>
        <v>0</v>
      </c>
      <c r="Z89" s="32">
        <f t="shared" si="63"/>
        <v>0</v>
      </c>
    </row>
    <row r="90" spans="1:26" x14ac:dyDescent="0.25">
      <c r="A90" s="30" t="str">
        <f t="shared" si="46"/>
        <v>7</v>
      </c>
      <c r="B90" s="30" t="str">
        <f t="shared" si="47"/>
        <v>3</v>
      </c>
      <c r="C90" s="30" t="str">
        <f t="shared" si="48"/>
        <v>1</v>
      </c>
      <c r="D90" s="31">
        <f t="shared" si="49"/>
        <v>0</v>
      </c>
      <c r="E90" s="31">
        <f t="shared" si="50"/>
        <v>0</v>
      </c>
      <c r="F90" s="32">
        <f t="shared" si="51"/>
        <v>0</v>
      </c>
      <c r="G90" s="31">
        <f t="shared" si="52"/>
        <v>0</v>
      </c>
      <c r="H90" s="31">
        <f t="shared" si="53"/>
        <v>0</v>
      </c>
      <c r="I90" s="32">
        <f t="shared" si="54"/>
        <v>0</v>
      </c>
      <c r="N90" t="s">
        <v>299</v>
      </c>
      <c r="R90" s="32" t="str">
        <f t="shared" si="55"/>
        <v>7)Hex(3)Fuc(1)</v>
      </c>
      <c r="S90" s="32" t="str">
        <f t="shared" si="56"/>
        <v>3)Fuc(1)</v>
      </c>
      <c r="T90" s="32" t="str">
        <f t="shared" si="57"/>
        <v>1)</v>
      </c>
      <c r="U90" s="32">
        <f t="shared" si="58"/>
        <v>0</v>
      </c>
      <c r="V90" s="32">
        <f t="shared" si="59"/>
        <v>0</v>
      </c>
      <c r="W90" s="32">
        <f t="shared" si="60"/>
        <v>0</v>
      </c>
      <c r="X90" s="32">
        <f t="shared" si="61"/>
        <v>0</v>
      </c>
      <c r="Y90" s="32">
        <f t="shared" si="62"/>
        <v>0</v>
      </c>
      <c r="Z90" s="32">
        <f t="shared" si="63"/>
        <v>0</v>
      </c>
    </row>
    <row r="91" spans="1:26" x14ac:dyDescent="0.25">
      <c r="A91" s="30" t="str">
        <f t="shared" si="46"/>
        <v>4</v>
      </c>
      <c r="B91" s="30" t="str">
        <f t="shared" si="47"/>
        <v>5</v>
      </c>
      <c r="C91" s="30" t="str">
        <f t="shared" si="48"/>
        <v>1</v>
      </c>
      <c r="D91" s="31">
        <f t="shared" si="49"/>
        <v>1</v>
      </c>
      <c r="E91" s="31">
        <f t="shared" si="50"/>
        <v>0</v>
      </c>
      <c r="F91" s="32">
        <f t="shared" si="51"/>
        <v>1</v>
      </c>
      <c r="G91" s="31">
        <f t="shared" si="52"/>
        <v>0</v>
      </c>
      <c r="H91" s="31">
        <f t="shared" si="53"/>
        <v>0</v>
      </c>
      <c r="I91" s="32">
        <f t="shared" si="54"/>
        <v>0</v>
      </c>
      <c r="N91" t="s">
        <v>300</v>
      </c>
      <c r="R91" s="32" t="str">
        <f t="shared" si="55"/>
        <v>4)Hex(5)Fuc(1)NeuAc(1)</v>
      </c>
      <c r="S91" s="32" t="str">
        <f t="shared" si="56"/>
        <v>5)Fuc(1)NeuAc(1)</v>
      </c>
      <c r="T91" s="32" t="str">
        <f t="shared" si="57"/>
        <v>1)NeuAc(1)</v>
      </c>
      <c r="U91" s="32" t="str">
        <f t="shared" si="58"/>
        <v>1)</v>
      </c>
      <c r="V91" s="32">
        <f t="shared" si="59"/>
        <v>0</v>
      </c>
      <c r="W91" s="32">
        <f t="shared" si="60"/>
        <v>0</v>
      </c>
      <c r="X91" s="32">
        <f t="shared" si="61"/>
        <v>0</v>
      </c>
      <c r="Y91" s="32">
        <f t="shared" si="62"/>
        <v>0</v>
      </c>
      <c r="Z91" s="32">
        <f t="shared" si="63"/>
        <v>0</v>
      </c>
    </row>
    <row r="92" spans="1:26" x14ac:dyDescent="0.25">
      <c r="A92" s="30" t="str">
        <f t="shared" si="46"/>
        <v>4</v>
      </c>
      <c r="B92" s="30" t="str">
        <f t="shared" si="47"/>
        <v>4</v>
      </c>
      <c r="C92" s="30" t="str">
        <f t="shared" si="48"/>
        <v>2</v>
      </c>
      <c r="D92" s="31">
        <f t="shared" si="49"/>
        <v>0</v>
      </c>
      <c r="E92" s="31">
        <f t="shared" si="50"/>
        <v>1</v>
      </c>
      <c r="F92" s="32">
        <f t="shared" si="51"/>
        <v>1</v>
      </c>
      <c r="G92" s="31">
        <f t="shared" si="52"/>
        <v>0</v>
      </c>
      <c r="H92" s="31">
        <f t="shared" si="53"/>
        <v>0</v>
      </c>
      <c r="I92" s="32">
        <f t="shared" si="54"/>
        <v>0</v>
      </c>
      <c r="N92" t="s">
        <v>301</v>
      </c>
      <c r="R92" s="32" t="str">
        <f t="shared" si="55"/>
        <v>4)Hex(4)Fuc(2)NeuGc(1)</v>
      </c>
      <c r="S92" s="32" t="str">
        <f t="shared" si="56"/>
        <v>4)Fuc(2)NeuGc(1)</v>
      </c>
      <c r="T92" s="32" t="str">
        <f t="shared" si="57"/>
        <v>2)NeuGc(1)</v>
      </c>
      <c r="U92" s="32">
        <f t="shared" si="58"/>
        <v>0</v>
      </c>
      <c r="V92" s="32" t="str">
        <f t="shared" si="59"/>
        <v>1)</v>
      </c>
      <c r="W92" s="32">
        <f t="shared" si="60"/>
        <v>0</v>
      </c>
      <c r="X92" s="32">
        <f t="shared" si="61"/>
        <v>0</v>
      </c>
      <c r="Y92" s="32">
        <f t="shared" si="62"/>
        <v>0</v>
      </c>
      <c r="Z92" s="32">
        <f t="shared" si="63"/>
        <v>0</v>
      </c>
    </row>
    <row r="93" spans="1:26" x14ac:dyDescent="0.25">
      <c r="A93" s="30" t="str">
        <f t="shared" si="46"/>
        <v>4</v>
      </c>
      <c r="B93" s="30" t="str">
        <f t="shared" si="47"/>
        <v>5</v>
      </c>
      <c r="C93" s="30" t="str">
        <f t="shared" si="48"/>
        <v>3</v>
      </c>
      <c r="D93" s="31">
        <f t="shared" si="49"/>
        <v>0</v>
      </c>
      <c r="E93" s="31">
        <f t="shared" si="50"/>
        <v>0</v>
      </c>
      <c r="F93" s="32">
        <f t="shared" si="51"/>
        <v>0</v>
      </c>
      <c r="G93" s="31">
        <f t="shared" si="52"/>
        <v>0</v>
      </c>
      <c r="H93" s="31">
        <f t="shared" si="53"/>
        <v>0</v>
      </c>
      <c r="I93" s="32">
        <f t="shared" si="54"/>
        <v>0</v>
      </c>
      <c r="N93" t="s">
        <v>302</v>
      </c>
      <c r="R93" s="32" t="str">
        <f t="shared" si="55"/>
        <v>4)Hex(5)Fuc(3)</v>
      </c>
      <c r="S93" s="32" t="str">
        <f t="shared" si="56"/>
        <v>5)Fuc(3)</v>
      </c>
      <c r="T93" s="32" t="str">
        <f t="shared" si="57"/>
        <v>3)</v>
      </c>
      <c r="U93" s="32">
        <f t="shared" si="58"/>
        <v>0</v>
      </c>
      <c r="V93" s="32">
        <f t="shared" si="59"/>
        <v>0</v>
      </c>
      <c r="W93" s="32">
        <f t="shared" si="60"/>
        <v>0</v>
      </c>
      <c r="X93" s="32">
        <f t="shared" si="61"/>
        <v>0</v>
      </c>
      <c r="Y93" s="32">
        <f t="shared" si="62"/>
        <v>0</v>
      </c>
      <c r="Z93" s="32">
        <f t="shared" si="63"/>
        <v>0</v>
      </c>
    </row>
    <row r="94" spans="1:26" x14ac:dyDescent="0.25">
      <c r="A94" s="30" t="str">
        <f t="shared" si="46"/>
        <v>7</v>
      </c>
      <c r="B94" s="30" t="str">
        <f t="shared" si="47"/>
        <v>4</v>
      </c>
      <c r="C94" s="30">
        <f t="shared" si="48"/>
        <v>0</v>
      </c>
      <c r="D94" s="31">
        <f t="shared" si="49"/>
        <v>0</v>
      </c>
      <c r="E94" s="31">
        <f t="shared" si="50"/>
        <v>0</v>
      </c>
      <c r="F94" s="32">
        <f t="shared" si="51"/>
        <v>0</v>
      </c>
      <c r="G94" s="31">
        <f t="shared" si="52"/>
        <v>0</v>
      </c>
      <c r="H94" s="31">
        <f t="shared" si="53"/>
        <v>0</v>
      </c>
      <c r="I94" s="32">
        <f t="shared" si="54"/>
        <v>0</v>
      </c>
      <c r="N94" t="s">
        <v>303</v>
      </c>
      <c r="R94" s="32" t="str">
        <f t="shared" si="55"/>
        <v>7)Hex(4)</v>
      </c>
      <c r="S94" s="32" t="str">
        <f t="shared" si="56"/>
        <v>4)</v>
      </c>
      <c r="T94" s="32">
        <f t="shared" si="57"/>
        <v>0</v>
      </c>
      <c r="U94" s="32">
        <f t="shared" si="58"/>
        <v>0</v>
      </c>
      <c r="V94" s="32">
        <f t="shared" si="59"/>
        <v>0</v>
      </c>
      <c r="W94" s="32">
        <f t="shared" si="60"/>
        <v>0</v>
      </c>
      <c r="X94" s="32">
        <f t="shared" si="61"/>
        <v>0</v>
      </c>
      <c r="Y94" s="32">
        <f t="shared" si="62"/>
        <v>0</v>
      </c>
      <c r="Z94" s="32">
        <f t="shared" si="63"/>
        <v>0</v>
      </c>
    </row>
    <row r="95" spans="1:26" x14ac:dyDescent="0.25">
      <c r="A95" s="30" t="str">
        <f t="shared" si="46"/>
        <v>4</v>
      </c>
      <c r="B95" s="30" t="str">
        <f t="shared" si="47"/>
        <v>6</v>
      </c>
      <c r="C95" s="30">
        <f t="shared" si="48"/>
        <v>0</v>
      </c>
      <c r="D95" s="31">
        <f t="shared" si="49"/>
        <v>1</v>
      </c>
      <c r="E95" s="31">
        <f t="shared" si="50"/>
        <v>0</v>
      </c>
      <c r="F95" s="32">
        <f t="shared" si="51"/>
        <v>1</v>
      </c>
      <c r="G95" s="31">
        <f t="shared" si="52"/>
        <v>0</v>
      </c>
      <c r="H95" s="31">
        <f t="shared" si="53"/>
        <v>0</v>
      </c>
      <c r="I95" s="32">
        <f t="shared" si="54"/>
        <v>0</v>
      </c>
      <c r="N95" t="s">
        <v>304</v>
      </c>
      <c r="R95" s="32" t="str">
        <f t="shared" si="55"/>
        <v>4)Hex(6)NeuAc(1)</v>
      </c>
      <c r="S95" s="32" t="str">
        <f t="shared" si="56"/>
        <v>6)NeuAc(1)</v>
      </c>
      <c r="T95" s="32">
        <f t="shared" si="57"/>
        <v>0</v>
      </c>
      <c r="U95" s="32" t="str">
        <f t="shared" si="58"/>
        <v>1)</v>
      </c>
      <c r="V95" s="32">
        <f t="shared" si="59"/>
        <v>0</v>
      </c>
      <c r="W95" s="32">
        <f t="shared" si="60"/>
        <v>0</v>
      </c>
      <c r="X95" s="32">
        <f t="shared" si="61"/>
        <v>0</v>
      </c>
      <c r="Y95" s="32">
        <f t="shared" si="62"/>
        <v>0</v>
      </c>
      <c r="Z95" s="32">
        <f t="shared" si="63"/>
        <v>0</v>
      </c>
    </row>
    <row r="96" spans="1:26" x14ac:dyDescent="0.25">
      <c r="A96" s="30" t="str">
        <f t="shared" si="46"/>
        <v>4</v>
      </c>
      <c r="B96" s="30" t="str">
        <f t="shared" si="47"/>
        <v>5</v>
      </c>
      <c r="C96" s="30" t="str">
        <f t="shared" si="48"/>
        <v>1</v>
      </c>
      <c r="D96" s="31">
        <f t="shared" si="49"/>
        <v>0</v>
      </c>
      <c r="E96" s="31">
        <f t="shared" si="50"/>
        <v>1</v>
      </c>
      <c r="F96" s="32">
        <f t="shared" si="51"/>
        <v>1</v>
      </c>
      <c r="G96" s="31">
        <f t="shared" si="52"/>
        <v>0</v>
      </c>
      <c r="H96" s="31">
        <f t="shared" si="53"/>
        <v>0</v>
      </c>
      <c r="I96" s="32">
        <f t="shared" si="54"/>
        <v>0</v>
      </c>
      <c r="N96" t="s">
        <v>305</v>
      </c>
      <c r="R96" s="32" t="str">
        <f t="shared" si="55"/>
        <v>4)Hex(5)Fuc(1)NeuGc(1)</v>
      </c>
      <c r="S96" s="32" t="str">
        <f t="shared" si="56"/>
        <v>5)Fuc(1)NeuGc(1)</v>
      </c>
      <c r="T96" s="32" t="str">
        <f t="shared" si="57"/>
        <v>1)NeuGc(1)</v>
      </c>
      <c r="U96" s="32">
        <f t="shared" si="58"/>
        <v>0</v>
      </c>
      <c r="V96" s="32" t="str">
        <f t="shared" si="59"/>
        <v>1)</v>
      </c>
      <c r="W96" s="32">
        <f t="shared" si="60"/>
        <v>0</v>
      </c>
      <c r="X96" s="32">
        <f t="shared" si="61"/>
        <v>0</v>
      </c>
      <c r="Y96" s="32">
        <f t="shared" si="62"/>
        <v>0</v>
      </c>
      <c r="Z96" s="32">
        <f t="shared" si="63"/>
        <v>0</v>
      </c>
    </row>
    <row r="97" spans="1:26" x14ac:dyDescent="0.25">
      <c r="A97" s="30" t="str">
        <f t="shared" si="46"/>
        <v>4</v>
      </c>
      <c r="B97" s="30" t="str">
        <f t="shared" si="47"/>
        <v>6</v>
      </c>
      <c r="C97" s="30" t="str">
        <f t="shared" si="48"/>
        <v>2</v>
      </c>
      <c r="D97" s="31">
        <f t="shared" si="49"/>
        <v>0</v>
      </c>
      <c r="E97" s="31">
        <f t="shared" si="50"/>
        <v>0</v>
      </c>
      <c r="F97" s="32">
        <f t="shared" si="51"/>
        <v>0</v>
      </c>
      <c r="G97" s="31">
        <f t="shared" si="52"/>
        <v>0</v>
      </c>
      <c r="H97" s="31">
        <f t="shared" si="53"/>
        <v>0</v>
      </c>
      <c r="I97" s="32">
        <f t="shared" si="54"/>
        <v>0</v>
      </c>
      <c r="N97" t="s">
        <v>306</v>
      </c>
      <c r="R97" s="32" t="str">
        <f t="shared" si="55"/>
        <v>4)Hex(6)Fuc(2)</v>
      </c>
      <c r="S97" s="32" t="str">
        <f t="shared" si="56"/>
        <v>6)Fuc(2)</v>
      </c>
      <c r="T97" s="32" t="str">
        <f t="shared" si="57"/>
        <v>2)</v>
      </c>
      <c r="U97" s="32">
        <f t="shared" si="58"/>
        <v>0</v>
      </c>
      <c r="V97" s="32">
        <f t="shared" si="59"/>
        <v>0</v>
      </c>
      <c r="W97" s="32">
        <f t="shared" si="60"/>
        <v>0</v>
      </c>
      <c r="X97" s="32">
        <f t="shared" si="61"/>
        <v>0</v>
      </c>
      <c r="Y97" s="32">
        <f t="shared" si="62"/>
        <v>0</v>
      </c>
      <c r="Z97" s="32">
        <f t="shared" si="63"/>
        <v>0</v>
      </c>
    </row>
    <row r="98" spans="1:26" x14ac:dyDescent="0.25">
      <c r="A98" s="30" t="str">
        <f t="shared" si="46"/>
        <v>4</v>
      </c>
      <c r="B98" s="30" t="str">
        <f t="shared" si="47"/>
        <v>6</v>
      </c>
      <c r="C98" s="30">
        <f t="shared" si="48"/>
        <v>0</v>
      </c>
      <c r="D98" s="31">
        <f t="shared" si="49"/>
        <v>0</v>
      </c>
      <c r="E98" s="31">
        <f t="shared" si="50"/>
        <v>1</v>
      </c>
      <c r="F98" s="32">
        <f t="shared" si="51"/>
        <v>1</v>
      </c>
      <c r="G98" s="31">
        <f t="shared" si="52"/>
        <v>0</v>
      </c>
      <c r="H98" s="31">
        <f t="shared" si="53"/>
        <v>0</v>
      </c>
      <c r="I98" s="32">
        <f t="shared" si="54"/>
        <v>0</v>
      </c>
      <c r="N98" t="s">
        <v>307</v>
      </c>
      <c r="R98" s="32" t="str">
        <f t="shared" si="55"/>
        <v>4)Hex(6)NeuGc(1)</v>
      </c>
      <c r="S98" s="32" t="str">
        <f t="shared" si="56"/>
        <v>6)NeuGc(1)</v>
      </c>
      <c r="T98" s="32">
        <f t="shared" si="57"/>
        <v>0</v>
      </c>
      <c r="U98" s="32">
        <f t="shared" si="58"/>
        <v>0</v>
      </c>
      <c r="V98" s="32" t="str">
        <f t="shared" si="59"/>
        <v>1)</v>
      </c>
      <c r="W98" s="32">
        <f t="shared" si="60"/>
        <v>0</v>
      </c>
      <c r="X98" s="32">
        <f t="shared" si="61"/>
        <v>0</v>
      </c>
      <c r="Y98" s="32">
        <f t="shared" si="62"/>
        <v>0</v>
      </c>
      <c r="Z98" s="32">
        <f t="shared" si="63"/>
        <v>0</v>
      </c>
    </row>
    <row r="99" spans="1:26" x14ac:dyDescent="0.25">
      <c r="A99" s="30" t="str">
        <f t="shared" si="46"/>
        <v>4</v>
      </c>
      <c r="B99" s="30" t="str">
        <f t="shared" si="47"/>
        <v>7</v>
      </c>
      <c r="C99" s="30" t="str">
        <f t="shared" si="48"/>
        <v>1</v>
      </c>
      <c r="D99" s="31">
        <f t="shared" si="49"/>
        <v>0</v>
      </c>
      <c r="E99" s="31">
        <f t="shared" si="50"/>
        <v>0</v>
      </c>
      <c r="F99" s="32">
        <f t="shared" si="51"/>
        <v>0</v>
      </c>
      <c r="G99" s="31">
        <f t="shared" si="52"/>
        <v>0</v>
      </c>
      <c r="H99" s="31">
        <f t="shared" si="53"/>
        <v>0</v>
      </c>
      <c r="I99" s="32">
        <f t="shared" si="54"/>
        <v>0</v>
      </c>
      <c r="N99" t="s">
        <v>308</v>
      </c>
      <c r="R99" s="32" t="str">
        <f t="shared" si="55"/>
        <v>4)Hex(7)Fuc(1)</v>
      </c>
      <c r="S99" s="32" t="str">
        <f t="shared" si="56"/>
        <v>7)Fuc(1)</v>
      </c>
      <c r="T99" s="32" t="str">
        <f t="shared" si="57"/>
        <v>1)</v>
      </c>
      <c r="U99" s="32">
        <f t="shared" si="58"/>
        <v>0</v>
      </c>
      <c r="V99" s="32">
        <f t="shared" si="59"/>
        <v>0</v>
      </c>
      <c r="W99" s="32">
        <f t="shared" si="60"/>
        <v>0</v>
      </c>
      <c r="X99" s="32">
        <f t="shared" si="61"/>
        <v>0</v>
      </c>
      <c r="Y99" s="32">
        <f t="shared" si="62"/>
        <v>0</v>
      </c>
      <c r="Z99" s="32">
        <f t="shared" si="63"/>
        <v>0</v>
      </c>
    </row>
    <row r="100" spans="1:26" x14ac:dyDescent="0.25">
      <c r="A100" s="30" t="str">
        <f t="shared" si="46"/>
        <v>5</v>
      </c>
      <c r="B100" s="30" t="str">
        <f t="shared" si="47"/>
        <v>4</v>
      </c>
      <c r="C100" s="30" t="str">
        <f t="shared" si="48"/>
        <v>1</v>
      </c>
      <c r="D100" s="31">
        <f t="shared" si="49"/>
        <v>1</v>
      </c>
      <c r="E100" s="31">
        <f t="shared" si="50"/>
        <v>0</v>
      </c>
      <c r="F100" s="32">
        <f t="shared" si="51"/>
        <v>1</v>
      </c>
      <c r="G100" s="31">
        <f t="shared" si="52"/>
        <v>0</v>
      </c>
      <c r="H100" s="31">
        <f t="shared" si="53"/>
        <v>0</v>
      </c>
      <c r="I100" s="32">
        <f t="shared" si="54"/>
        <v>0</v>
      </c>
      <c r="N100" t="s">
        <v>309</v>
      </c>
      <c r="R100" s="32" t="str">
        <f t="shared" si="55"/>
        <v>5)Hex(4)Fuc(1)NeuAc(1)</v>
      </c>
      <c r="S100" s="32" t="str">
        <f t="shared" si="56"/>
        <v>4)Fuc(1)NeuAc(1)</v>
      </c>
      <c r="T100" s="32" t="str">
        <f t="shared" si="57"/>
        <v>1)NeuAc(1)</v>
      </c>
      <c r="U100" s="32" t="str">
        <f t="shared" si="58"/>
        <v>1)</v>
      </c>
      <c r="V100" s="32">
        <f t="shared" si="59"/>
        <v>0</v>
      </c>
      <c r="W100" s="32">
        <f t="shared" si="60"/>
        <v>0</v>
      </c>
      <c r="X100" s="32">
        <f t="shared" si="61"/>
        <v>0</v>
      </c>
      <c r="Y100" s="32">
        <f t="shared" si="62"/>
        <v>0</v>
      </c>
      <c r="Z100" s="32">
        <f t="shared" si="63"/>
        <v>0</v>
      </c>
    </row>
    <row r="101" spans="1:26" x14ac:dyDescent="0.25">
      <c r="A101" s="30" t="str">
        <f t="shared" si="46"/>
        <v>8</v>
      </c>
      <c r="B101" s="30" t="str">
        <f t="shared" si="47"/>
        <v>3</v>
      </c>
      <c r="C101" s="30">
        <f t="shared" si="48"/>
        <v>0</v>
      </c>
      <c r="D101" s="31">
        <f t="shared" si="49"/>
        <v>0</v>
      </c>
      <c r="E101" s="31">
        <f t="shared" si="50"/>
        <v>0</v>
      </c>
      <c r="F101" s="32">
        <f t="shared" si="51"/>
        <v>0</v>
      </c>
      <c r="G101" s="31">
        <f t="shared" si="52"/>
        <v>0</v>
      </c>
      <c r="H101" s="31">
        <f t="shared" si="53"/>
        <v>0</v>
      </c>
      <c r="I101" s="32">
        <f t="shared" si="54"/>
        <v>0</v>
      </c>
      <c r="N101" t="s">
        <v>310</v>
      </c>
      <c r="R101" s="32" t="str">
        <f t="shared" si="55"/>
        <v>8)Hex(3)</v>
      </c>
      <c r="S101" s="32" t="str">
        <f t="shared" si="56"/>
        <v>3)</v>
      </c>
      <c r="T101" s="32">
        <f t="shared" si="57"/>
        <v>0</v>
      </c>
      <c r="U101" s="32">
        <f t="shared" si="58"/>
        <v>0</v>
      </c>
      <c r="V101" s="32">
        <f t="shared" si="59"/>
        <v>0</v>
      </c>
      <c r="W101" s="32">
        <f t="shared" si="60"/>
        <v>0</v>
      </c>
      <c r="X101" s="32">
        <f t="shared" si="61"/>
        <v>0</v>
      </c>
      <c r="Y101" s="32">
        <f t="shared" si="62"/>
        <v>0</v>
      </c>
      <c r="Z101" s="32">
        <f t="shared" si="63"/>
        <v>0</v>
      </c>
    </row>
    <row r="102" spans="1:26" x14ac:dyDescent="0.25">
      <c r="A102" s="30" t="str">
        <f t="shared" si="46"/>
        <v>5</v>
      </c>
      <c r="B102" s="30" t="str">
        <f t="shared" si="47"/>
        <v>4</v>
      </c>
      <c r="C102" s="30" t="str">
        <f t="shared" si="48"/>
        <v>1</v>
      </c>
      <c r="D102" s="31">
        <f t="shared" si="49"/>
        <v>0</v>
      </c>
      <c r="E102" s="31">
        <f t="shared" si="50"/>
        <v>1</v>
      </c>
      <c r="F102" s="32">
        <f t="shared" si="51"/>
        <v>1</v>
      </c>
      <c r="G102" s="31">
        <f t="shared" si="52"/>
        <v>0</v>
      </c>
      <c r="H102" s="31">
        <f t="shared" si="53"/>
        <v>0</v>
      </c>
      <c r="I102" s="32">
        <f t="shared" si="54"/>
        <v>0</v>
      </c>
      <c r="N102" t="s">
        <v>311</v>
      </c>
      <c r="R102" s="32" t="str">
        <f t="shared" si="55"/>
        <v>5)Hex(4)Fuc(1)NeuGc(1)</v>
      </c>
      <c r="S102" s="32" t="str">
        <f t="shared" si="56"/>
        <v>4)Fuc(1)NeuGc(1)</v>
      </c>
      <c r="T102" s="32" t="str">
        <f t="shared" si="57"/>
        <v>1)NeuGc(1)</v>
      </c>
      <c r="U102" s="32">
        <f t="shared" si="58"/>
        <v>0</v>
      </c>
      <c r="V102" s="32" t="str">
        <f t="shared" si="59"/>
        <v>1)</v>
      </c>
      <c r="W102" s="32">
        <f t="shared" si="60"/>
        <v>0</v>
      </c>
      <c r="X102" s="32">
        <f t="shared" si="61"/>
        <v>0</v>
      </c>
      <c r="Y102" s="32">
        <f t="shared" si="62"/>
        <v>0</v>
      </c>
      <c r="Z102" s="32">
        <f t="shared" si="63"/>
        <v>0</v>
      </c>
    </row>
    <row r="103" spans="1:26" x14ac:dyDescent="0.25">
      <c r="A103" s="30" t="str">
        <f t="shared" si="46"/>
        <v>5</v>
      </c>
      <c r="B103" s="30" t="str">
        <f t="shared" si="47"/>
        <v>5</v>
      </c>
      <c r="C103" s="30">
        <f t="shared" si="48"/>
        <v>0</v>
      </c>
      <c r="D103" s="31">
        <f t="shared" si="49"/>
        <v>1</v>
      </c>
      <c r="E103" s="31">
        <f t="shared" si="50"/>
        <v>0</v>
      </c>
      <c r="F103" s="32">
        <f t="shared" si="51"/>
        <v>1</v>
      </c>
      <c r="G103" s="31">
        <f t="shared" si="52"/>
        <v>0</v>
      </c>
      <c r="H103" s="31">
        <f t="shared" si="53"/>
        <v>0</v>
      </c>
      <c r="I103" s="32">
        <f t="shared" si="54"/>
        <v>0</v>
      </c>
      <c r="N103" t="s">
        <v>312</v>
      </c>
      <c r="R103" s="32" t="str">
        <f t="shared" si="55"/>
        <v>5)Hex(5)NeuAc(1)</v>
      </c>
      <c r="S103" s="32" t="str">
        <f t="shared" si="56"/>
        <v>5)NeuAc(1)</v>
      </c>
      <c r="T103" s="32">
        <f t="shared" si="57"/>
        <v>0</v>
      </c>
      <c r="U103" s="32" t="str">
        <f t="shared" si="58"/>
        <v>1)</v>
      </c>
      <c r="V103" s="32">
        <f t="shared" si="59"/>
        <v>0</v>
      </c>
      <c r="W103" s="32">
        <f t="shared" si="60"/>
        <v>0</v>
      </c>
      <c r="X103" s="32">
        <f t="shared" si="61"/>
        <v>0</v>
      </c>
      <c r="Y103" s="32">
        <f t="shared" si="62"/>
        <v>0</v>
      </c>
      <c r="Z103" s="32">
        <f t="shared" si="63"/>
        <v>0</v>
      </c>
    </row>
    <row r="104" spans="1:26" x14ac:dyDescent="0.25">
      <c r="A104" s="30" t="str">
        <f t="shared" si="46"/>
        <v>5</v>
      </c>
      <c r="B104" s="30" t="str">
        <f t="shared" si="47"/>
        <v>5</v>
      </c>
      <c r="C104" s="30" t="str">
        <f t="shared" si="48"/>
        <v>2</v>
      </c>
      <c r="D104" s="31">
        <f t="shared" si="49"/>
        <v>0</v>
      </c>
      <c r="E104" s="31">
        <f t="shared" si="50"/>
        <v>0</v>
      </c>
      <c r="F104" s="32">
        <f t="shared" si="51"/>
        <v>0</v>
      </c>
      <c r="G104" s="31">
        <f t="shared" si="52"/>
        <v>0</v>
      </c>
      <c r="H104" s="31">
        <f t="shared" si="53"/>
        <v>0</v>
      </c>
      <c r="I104" s="32">
        <f t="shared" si="54"/>
        <v>0</v>
      </c>
      <c r="N104" t="s">
        <v>313</v>
      </c>
      <c r="R104" s="32" t="str">
        <f t="shared" si="55"/>
        <v>5)Hex(5)Fuc(2)</v>
      </c>
      <c r="S104" s="32" t="str">
        <f t="shared" si="56"/>
        <v>5)Fuc(2)</v>
      </c>
      <c r="T104" s="32" t="str">
        <f t="shared" si="57"/>
        <v>2)</v>
      </c>
      <c r="U104" s="32">
        <f t="shared" si="58"/>
        <v>0</v>
      </c>
      <c r="V104" s="32">
        <f t="shared" si="59"/>
        <v>0</v>
      </c>
      <c r="W104" s="32">
        <f t="shared" si="60"/>
        <v>0</v>
      </c>
      <c r="X104" s="32">
        <f t="shared" si="61"/>
        <v>0</v>
      </c>
      <c r="Y104" s="32">
        <f t="shared" si="62"/>
        <v>0</v>
      </c>
      <c r="Z104" s="32">
        <f t="shared" si="63"/>
        <v>0</v>
      </c>
    </row>
    <row r="105" spans="1:26" x14ac:dyDescent="0.25">
      <c r="A105" s="30" t="str">
        <f t="shared" si="46"/>
        <v>5</v>
      </c>
      <c r="B105" s="30" t="str">
        <f t="shared" si="47"/>
        <v>5</v>
      </c>
      <c r="C105" s="30">
        <f t="shared" si="48"/>
        <v>0</v>
      </c>
      <c r="D105" s="31">
        <f t="shared" si="49"/>
        <v>0</v>
      </c>
      <c r="E105" s="31">
        <f t="shared" si="50"/>
        <v>1</v>
      </c>
      <c r="F105" s="32">
        <f t="shared" si="51"/>
        <v>1</v>
      </c>
      <c r="G105" s="31">
        <f t="shared" si="52"/>
        <v>0</v>
      </c>
      <c r="H105" s="31">
        <f t="shared" si="53"/>
        <v>0</v>
      </c>
      <c r="I105" s="32">
        <f t="shared" si="54"/>
        <v>0</v>
      </c>
      <c r="N105" t="s">
        <v>314</v>
      </c>
      <c r="R105" s="32" t="str">
        <f t="shared" si="55"/>
        <v>5)Hex(5)NeuGc(1)</v>
      </c>
      <c r="S105" s="32" t="str">
        <f t="shared" si="56"/>
        <v>5)NeuGc(1)</v>
      </c>
      <c r="T105" s="32">
        <f t="shared" si="57"/>
        <v>0</v>
      </c>
      <c r="U105" s="32">
        <f t="shared" si="58"/>
        <v>0</v>
      </c>
      <c r="V105" s="32" t="str">
        <f t="shared" si="59"/>
        <v>1)</v>
      </c>
      <c r="W105" s="32">
        <f t="shared" si="60"/>
        <v>0</v>
      </c>
      <c r="X105" s="32">
        <f t="shared" si="61"/>
        <v>0</v>
      </c>
      <c r="Y105" s="32">
        <f t="shared" si="62"/>
        <v>0</v>
      </c>
      <c r="Z105" s="32">
        <f t="shared" si="63"/>
        <v>0</v>
      </c>
    </row>
    <row r="106" spans="1:26" x14ac:dyDescent="0.25">
      <c r="A106" s="30" t="str">
        <f t="shared" si="46"/>
        <v>5</v>
      </c>
      <c r="B106" s="30" t="str">
        <f t="shared" si="47"/>
        <v>6</v>
      </c>
      <c r="C106" s="30" t="str">
        <f t="shared" si="48"/>
        <v>1</v>
      </c>
      <c r="D106" s="31">
        <f t="shared" si="49"/>
        <v>0</v>
      </c>
      <c r="E106" s="31">
        <f t="shared" si="50"/>
        <v>0</v>
      </c>
      <c r="F106" s="32">
        <f t="shared" si="51"/>
        <v>0</v>
      </c>
      <c r="G106" s="31">
        <f t="shared" si="52"/>
        <v>0</v>
      </c>
      <c r="H106" s="31">
        <f t="shared" si="53"/>
        <v>0</v>
      </c>
      <c r="I106" s="32">
        <f t="shared" si="54"/>
        <v>0</v>
      </c>
      <c r="N106" t="s">
        <v>315</v>
      </c>
      <c r="R106" s="32" t="str">
        <f t="shared" si="55"/>
        <v>5)Hex(6)Fuc(1)</v>
      </c>
      <c r="S106" s="32" t="str">
        <f t="shared" si="56"/>
        <v>6)Fuc(1)</v>
      </c>
      <c r="T106" s="32" t="str">
        <f t="shared" si="57"/>
        <v>1)</v>
      </c>
      <c r="U106" s="32">
        <f t="shared" si="58"/>
        <v>0</v>
      </c>
      <c r="V106" s="32">
        <f t="shared" si="59"/>
        <v>0</v>
      </c>
      <c r="W106" s="32">
        <f t="shared" si="60"/>
        <v>0</v>
      </c>
      <c r="X106" s="32">
        <f t="shared" si="61"/>
        <v>0</v>
      </c>
      <c r="Y106" s="32">
        <f t="shared" si="62"/>
        <v>0</v>
      </c>
      <c r="Z106" s="32">
        <f t="shared" si="63"/>
        <v>0</v>
      </c>
    </row>
    <row r="107" spans="1:26" x14ac:dyDescent="0.25">
      <c r="A107" s="30" t="str">
        <f t="shared" si="46"/>
        <v>6</v>
      </c>
      <c r="B107" s="30" t="str">
        <f t="shared" si="47"/>
        <v>3</v>
      </c>
      <c r="C107" s="30" t="str">
        <f t="shared" si="48"/>
        <v>1</v>
      </c>
      <c r="D107" s="31">
        <f t="shared" si="49"/>
        <v>1</v>
      </c>
      <c r="E107" s="31">
        <f t="shared" si="50"/>
        <v>0</v>
      </c>
      <c r="F107" s="32">
        <f t="shared" si="51"/>
        <v>1</v>
      </c>
      <c r="G107" s="31">
        <f t="shared" si="52"/>
        <v>0</v>
      </c>
      <c r="H107" s="31">
        <f t="shared" si="53"/>
        <v>0</v>
      </c>
      <c r="I107" s="32">
        <f t="shared" si="54"/>
        <v>0</v>
      </c>
      <c r="N107" t="s">
        <v>316</v>
      </c>
      <c r="R107" s="32" t="str">
        <f t="shared" si="55"/>
        <v>6)Hex(3)Fuc(1)NeuAc(1)</v>
      </c>
      <c r="S107" s="32" t="str">
        <f t="shared" si="56"/>
        <v>3)Fuc(1)NeuAc(1)</v>
      </c>
      <c r="T107" s="32" t="str">
        <f t="shared" si="57"/>
        <v>1)NeuAc(1)</v>
      </c>
      <c r="U107" s="32" t="str">
        <f t="shared" si="58"/>
        <v>1)</v>
      </c>
      <c r="V107" s="32">
        <f t="shared" si="59"/>
        <v>0</v>
      </c>
      <c r="W107" s="32">
        <f t="shared" si="60"/>
        <v>0</v>
      </c>
      <c r="X107" s="32">
        <f t="shared" si="61"/>
        <v>0</v>
      </c>
      <c r="Y107" s="32">
        <f t="shared" si="62"/>
        <v>0</v>
      </c>
      <c r="Z107" s="32">
        <f t="shared" si="63"/>
        <v>0</v>
      </c>
    </row>
    <row r="108" spans="1:26" x14ac:dyDescent="0.25">
      <c r="A108" s="30" t="str">
        <f t="shared" si="46"/>
        <v>6</v>
      </c>
      <c r="B108" s="30" t="str">
        <f t="shared" si="47"/>
        <v>3</v>
      </c>
      <c r="C108" s="30" t="str">
        <f t="shared" si="48"/>
        <v>3</v>
      </c>
      <c r="D108" s="31">
        <f t="shared" si="49"/>
        <v>0</v>
      </c>
      <c r="E108" s="31">
        <f t="shared" si="50"/>
        <v>0</v>
      </c>
      <c r="F108" s="32">
        <f t="shared" si="51"/>
        <v>0</v>
      </c>
      <c r="G108" s="31">
        <f t="shared" si="52"/>
        <v>0</v>
      </c>
      <c r="H108" s="31">
        <f t="shared" si="53"/>
        <v>0</v>
      </c>
      <c r="I108" s="32">
        <f t="shared" si="54"/>
        <v>0</v>
      </c>
      <c r="N108" t="s">
        <v>317</v>
      </c>
      <c r="R108" s="32" t="str">
        <f t="shared" si="55"/>
        <v>6)Hex(3)Fuc(3)</v>
      </c>
      <c r="S108" s="32" t="str">
        <f t="shared" si="56"/>
        <v>3)Fuc(3)</v>
      </c>
      <c r="T108" s="32" t="str">
        <f t="shared" si="57"/>
        <v>3)</v>
      </c>
      <c r="U108" s="32">
        <f t="shared" si="58"/>
        <v>0</v>
      </c>
      <c r="V108" s="32">
        <f t="shared" si="59"/>
        <v>0</v>
      </c>
      <c r="W108" s="32">
        <f t="shared" si="60"/>
        <v>0</v>
      </c>
      <c r="X108" s="32">
        <f t="shared" si="61"/>
        <v>0</v>
      </c>
      <c r="Y108" s="32">
        <f t="shared" si="62"/>
        <v>0</v>
      </c>
      <c r="Z108" s="32">
        <f t="shared" si="63"/>
        <v>0</v>
      </c>
    </row>
    <row r="109" spans="1:26" x14ac:dyDescent="0.25">
      <c r="A109" s="30" t="str">
        <f t="shared" si="46"/>
        <v>5</v>
      </c>
      <c r="B109" s="30" t="str">
        <f t="shared" si="47"/>
        <v>7</v>
      </c>
      <c r="C109" s="30">
        <f t="shared" si="48"/>
        <v>0</v>
      </c>
      <c r="D109" s="31">
        <f t="shared" si="49"/>
        <v>0</v>
      </c>
      <c r="E109" s="31">
        <f t="shared" si="50"/>
        <v>0</v>
      </c>
      <c r="F109" s="32">
        <f t="shared" si="51"/>
        <v>0</v>
      </c>
      <c r="G109" s="31">
        <f t="shared" si="52"/>
        <v>0</v>
      </c>
      <c r="H109" s="31">
        <f t="shared" si="53"/>
        <v>0</v>
      </c>
      <c r="I109" s="32">
        <f t="shared" si="54"/>
        <v>0</v>
      </c>
      <c r="N109" t="s">
        <v>318</v>
      </c>
      <c r="R109" s="32" t="str">
        <f t="shared" si="55"/>
        <v>5)Hex(7)</v>
      </c>
      <c r="S109" s="32" t="str">
        <f t="shared" si="56"/>
        <v>7)</v>
      </c>
      <c r="T109" s="32">
        <f t="shared" si="57"/>
        <v>0</v>
      </c>
      <c r="U109" s="32">
        <f t="shared" si="58"/>
        <v>0</v>
      </c>
      <c r="V109" s="32">
        <f t="shared" si="59"/>
        <v>0</v>
      </c>
      <c r="W109" s="32">
        <f t="shared" si="60"/>
        <v>0</v>
      </c>
      <c r="X109" s="32">
        <f t="shared" si="61"/>
        <v>0</v>
      </c>
      <c r="Y109" s="32">
        <f t="shared" si="62"/>
        <v>0</v>
      </c>
      <c r="Z109" s="32">
        <f t="shared" si="63"/>
        <v>0</v>
      </c>
    </row>
    <row r="110" spans="1:26" x14ac:dyDescent="0.25">
      <c r="A110" s="30" t="str">
        <f t="shared" si="46"/>
        <v>6</v>
      </c>
      <c r="B110" s="30" t="str">
        <f t="shared" si="47"/>
        <v>4</v>
      </c>
      <c r="C110" s="30">
        <f t="shared" si="48"/>
        <v>0</v>
      </c>
      <c r="D110" s="31">
        <f t="shared" si="49"/>
        <v>1</v>
      </c>
      <c r="E110" s="31">
        <f t="shared" si="50"/>
        <v>0</v>
      </c>
      <c r="F110" s="32">
        <f t="shared" si="51"/>
        <v>1</v>
      </c>
      <c r="G110" s="31">
        <f t="shared" si="52"/>
        <v>0</v>
      </c>
      <c r="H110" s="31">
        <f t="shared" si="53"/>
        <v>0</v>
      </c>
      <c r="I110" s="32">
        <f t="shared" si="54"/>
        <v>0</v>
      </c>
      <c r="N110" t="s">
        <v>319</v>
      </c>
      <c r="R110" s="32" t="str">
        <f t="shared" si="55"/>
        <v>6)Hex(4)NeuAc(1)</v>
      </c>
      <c r="S110" s="32" t="str">
        <f t="shared" si="56"/>
        <v>4)NeuAc(1)</v>
      </c>
      <c r="T110" s="32">
        <f t="shared" si="57"/>
        <v>0</v>
      </c>
      <c r="U110" s="32" t="str">
        <f t="shared" si="58"/>
        <v>1)</v>
      </c>
      <c r="V110" s="32">
        <f t="shared" si="59"/>
        <v>0</v>
      </c>
      <c r="W110" s="32">
        <f t="shared" si="60"/>
        <v>0</v>
      </c>
      <c r="X110" s="32">
        <f t="shared" si="61"/>
        <v>0</v>
      </c>
      <c r="Y110" s="32">
        <f t="shared" si="62"/>
        <v>0</v>
      </c>
      <c r="Z110" s="32">
        <f t="shared" si="63"/>
        <v>0</v>
      </c>
    </row>
    <row r="111" spans="1:26" x14ac:dyDescent="0.25">
      <c r="A111" s="30" t="str">
        <f t="shared" si="46"/>
        <v>6</v>
      </c>
      <c r="B111" s="30" t="str">
        <f t="shared" si="47"/>
        <v>3</v>
      </c>
      <c r="C111" s="30" t="str">
        <f t="shared" si="48"/>
        <v>1</v>
      </c>
      <c r="D111" s="31">
        <f t="shared" si="49"/>
        <v>0</v>
      </c>
      <c r="E111" s="31">
        <f t="shared" si="50"/>
        <v>1</v>
      </c>
      <c r="F111" s="32">
        <f t="shared" si="51"/>
        <v>1</v>
      </c>
      <c r="G111" s="31">
        <f t="shared" si="52"/>
        <v>0</v>
      </c>
      <c r="H111" s="31">
        <f t="shared" si="53"/>
        <v>0</v>
      </c>
      <c r="I111" s="32">
        <f t="shared" si="54"/>
        <v>0</v>
      </c>
      <c r="N111" t="s">
        <v>320</v>
      </c>
      <c r="R111" s="32" t="str">
        <f t="shared" si="55"/>
        <v>6)Hex(3)Fuc(1)NeuGc(1)</v>
      </c>
      <c r="S111" s="32" t="str">
        <f t="shared" si="56"/>
        <v>3)Fuc(1)NeuGc(1)</v>
      </c>
      <c r="T111" s="32" t="str">
        <f t="shared" si="57"/>
        <v>1)NeuGc(1)</v>
      </c>
      <c r="U111" s="32">
        <f t="shared" si="58"/>
        <v>0</v>
      </c>
      <c r="V111" s="32" t="str">
        <f t="shared" si="59"/>
        <v>1)</v>
      </c>
      <c r="W111" s="32">
        <f t="shared" si="60"/>
        <v>0</v>
      </c>
      <c r="X111" s="32">
        <f t="shared" si="61"/>
        <v>0</v>
      </c>
      <c r="Y111" s="32">
        <f t="shared" si="62"/>
        <v>0</v>
      </c>
      <c r="Z111" s="32">
        <f t="shared" si="63"/>
        <v>0</v>
      </c>
    </row>
    <row r="112" spans="1:26" x14ac:dyDescent="0.25">
      <c r="A112" s="30" t="str">
        <f t="shared" si="46"/>
        <v>6</v>
      </c>
      <c r="B112" s="30" t="str">
        <f t="shared" si="47"/>
        <v>4</v>
      </c>
      <c r="C112" s="30" t="str">
        <f t="shared" si="48"/>
        <v>2</v>
      </c>
      <c r="D112" s="31">
        <f t="shared" si="49"/>
        <v>0</v>
      </c>
      <c r="E112" s="31">
        <f t="shared" si="50"/>
        <v>0</v>
      </c>
      <c r="F112" s="32">
        <f t="shared" si="51"/>
        <v>0</v>
      </c>
      <c r="G112" s="31">
        <f t="shared" si="52"/>
        <v>0</v>
      </c>
      <c r="H112" s="31">
        <f t="shared" si="53"/>
        <v>0</v>
      </c>
      <c r="I112" s="32">
        <f t="shared" si="54"/>
        <v>0</v>
      </c>
      <c r="N112" t="s">
        <v>321</v>
      </c>
      <c r="R112" s="32" t="str">
        <f t="shared" si="55"/>
        <v>6)Hex(4)Fuc(2)</v>
      </c>
      <c r="S112" s="32" t="str">
        <f t="shared" si="56"/>
        <v>4)Fuc(2)</v>
      </c>
      <c r="T112" s="32" t="str">
        <f t="shared" si="57"/>
        <v>2)</v>
      </c>
      <c r="U112" s="32">
        <f t="shared" si="58"/>
        <v>0</v>
      </c>
      <c r="V112" s="32">
        <f t="shared" si="59"/>
        <v>0</v>
      </c>
      <c r="W112" s="32">
        <f t="shared" si="60"/>
        <v>0</v>
      </c>
      <c r="X112" s="32">
        <f t="shared" si="61"/>
        <v>0</v>
      </c>
      <c r="Y112" s="32">
        <f t="shared" si="62"/>
        <v>0</v>
      </c>
      <c r="Z112" s="32">
        <f t="shared" si="63"/>
        <v>0</v>
      </c>
    </row>
    <row r="113" spans="1:26" x14ac:dyDescent="0.25">
      <c r="A113" s="30" t="str">
        <f t="shared" si="46"/>
        <v>6</v>
      </c>
      <c r="B113" s="30" t="str">
        <f t="shared" si="47"/>
        <v>5</v>
      </c>
      <c r="C113" s="30" t="str">
        <f t="shared" si="48"/>
        <v>1</v>
      </c>
      <c r="D113" s="31">
        <f t="shared" si="49"/>
        <v>0</v>
      </c>
      <c r="E113" s="31">
        <f t="shared" si="50"/>
        <v>0</v>
      </c>
      <c r="F113" s="32">
        <f t="shared" si="51"/>
        <v>0</v>
      </c>
      <c r="G113" s="31">
        <f t="shared" si="52"/>
        <v>0</v>
      </c>
      <c r="H113" s="31">
        <f t="shared" si="53"/>
        <v>0</v>
      </c>
      <c r="I113" s="32">
        <f t="shared" si="54"/>
        <v>0</v>
      </c>
      <c r="N113" t="s">
        <v>322</v>
      </c>
      <c r="R113" s="32" t="str">
        <f t="shared" si="55"/>
        <v>6)Hex(5)Fuc(1)</v>
      </c>
      <c r="S113" s="32" t="str">
        <f t="shared" si="56"/>
        <v>5)Fuc(1)</v>
      </c>
      <c r="T113" s="32" t="str">
        <f t="shared" si="57"/>
        <v>1)</v>
      </c>
      <c r="U113" s="32">
        <f t="shared" si="58"/>
        <v>0</v>
      </c>
      <c r="V113" s="32">
        <f t="shared" si="59"/>
        <v>0</v>
      </c>
      <c r="W113" s="32">
        <f t="shared" si="60"/>
        <v>0</v>
      </c>
      <c r="X113" s="32">
        <f t="shared" si="61"/>
        <v>0</v>
      </c>
      <c r="Y113" s="32">
        <f t="shared" si="62"/>
        <v>0</v>
      </c>
      <c r="Z113" s="32">
        <f t="shared" si="63"/>
        <v>0</v>
      </c>
    </row>
    <row r="114" spans="1:26" x14ac:dyDescent="0.25">
      <c r="A114" s="30" t="str">
        <f t="shared" si="46"/>
        <v>2</v>
      </c>
      <c r="B114" s="30" t="str">
        <f t="shared" si="47"/>
        <v>11</v>
      </c>
      <c r="C114" s="30">
        <f t="shared" si="48"/>
        <v>0</v>
      </c>
      <c r="D114" s="31">
        <f t="shared" si="49"/>
        <v>0</v>
      </c>
      <c r="E114" s="31">
        <f t="shared" si="50"/>
        <v>0</v>
      </c>
      <c r="F114" s="32">
        <f t="shared" si="51"/>
        <v>0</v>
      </c>
      <c r="G114" s="31">
        <f t="shared" si="52"/>
        <v>0</v>
      </c>
      <c r="H114" s="31">
        <f t="shared" si="53"/>
        <v>0</v>
      </c>
      <c r="I114" s="32">
        <f t="shared" si="54"/>
        <v>0</v>
      </c>
      <c r="N114" t="s">
        <v>323</v>
      </c>
      <c r="R114" s="32" t="str">
        <f t="shared" si="55"/>
        <v>2)Hex(11)</v>
      </c>
      <c r="S114" s="32" t="str">
        <f t="shared" si="56"/>
        <v>11)</v>
      </c>
      <c r="T114" s="32">
        <f t="shared" si="57"/>
        <v>0</v>
      </c>
      <c r="U114" s="32">
        <f t="shared" si="58"/>
        <v>0</v>
      </c>
      <c r="V114" s="32">
        <f t="shared" si="59"/>
        <v>0</v>
      </c>
      <c r="W114" s="32">
        <f t="shared" si="60"/>
        <v>0</v>
      </c>
      <c r="X114" s="32">
        <f t="shared" si="61"/>
        <v>0</v>
      </c>
      <c r="Y114" s="32">
        <f t="shared" si="62"/>
        <v>0</v>
      </c>
      <c r="Z114" s="32">
        <f t="shared" si="63"/>
        <v>0</v>
      </c>
    </row>
    <row r="115" spans="1:26" x14ac:dyDescent="0.25">
      <c r="A115" s="30" t="str">
        <f t="shared" si="46"/>
        <v>6</v>
      </c>
      <c r="B115" s="30" t="str">
        <f t="shared" si="47"/>
        <v>6</v>
      </c>
      <c r="C115" s="30">
        <f t="shared" si="48"/>
        <v>0</v>
      </c>
      <c r="D115" s="31">
        <f t="shared" si="49"/>
        <v>0</v>
      </c>
      <c r="E115" s="31">
        <f t="shared" si="50"/>
        <v>0</v>
      </c>
      <c r="F115" s="32">
        <f t="shared" si="51"/>
        <v>0</v>
      </c>
      <c r="G115" s="31">
        <f t="shared" si="52"/>
        <v>0</v>
      </c>
      <c r="H115" s="31">
        <f t="shared" si="53"/>
        <v>0</v>
      </c>
      <c r="I115" s="32">
        <f t="shared" si="54"/>
        <v>0</v>
      </c>
      <c r="N115" t="s">
        <v>324</v>
      </c>
      <c r="R115" s="32" t="str">
        <f t="shared" si="55"/>
        <v>6)Hex(6)</v>
      </c>
      <c r="S115" s="32" t="str">
        <f t="shared" si="56"/>
        <v>6)</v>
      </c>
      <c r="T115" s="32">
        <f t="shared" si="57"/>
        <v>0</v>
      </c>
      <c r="U115" s="32">
        <f t="shared" si="58"/>
        <v>0</v>
      </c>
      <c r="V115" s="32">
        <f t="shared" si="59"/>
        <v>0</v>
      </c>
      <c r="W115" s="32">
        <f t="shared" si="60"/>
        <v>0</v>
      </c>
      <c r="X115" s="32">
        <f t="shared" si="61"/>
        <v>0</v>
      </c>
      <c r="Y115" s="32">
        <f t="shared" si="62"/>
        <v>0</v>
      </c>
      <c r="Z115" s="32">
        <f t="shared" si="63"/>
        <v>0</v>
      </c>
    </row>
    <row r="116" spans="1:26" x14ac:dyDescent="0.25">
      <c r="A116" s="30" t="str">
        <f t="shared" si="46"/>
        <v>4</v>
      </c>
      <c r="B116" s="30" t="str">
        <f t="shared" si="47"/>
        <v>5</v>
      </c>
      <c r="C116" s="30">
        <f t="shared" si="48"/>
        <v>0</v>
      </c>
      <c r="D116" s="31">
        <f t="shared" si="49"/>
        <v>2</v>
      </c>
      <c r="E116" s="31">
        <f t="shared" si="50"/>
        <v>0</v>
      </c>
      <c r="F116" s="32">
        <f t="shared" si="51"/>
        <v>2</v>
      </c>
      <c r="G116" s="31">
        <f t="shared" si="52"/>
        <v>0</v>
      </c>
      <c r="H116" s="31">
        <f t="shared" si="53"/>
        <v>0</v>
      </c>
      <c r="I116" s="32">
        <f t="shared" si="54"/>
        <v>0</v>
      </c>
      <c r="N116" t="s">
        <v>325</v>
      </c>
      <c r="R116" s="32" t="str">
        <f t="shared" si="55"/>
        <v>4)Hex(5)NeuAc(2)</v>
      </c>
      <c r="S116" s="32" t="str">
        <f t="shared" si="56"/>
        <v>5)NeuAc(2)</v>
      </c>
      <c r="T116" s="32">
        <f t="shared" si="57"/>
        <v>0</v>
      </c>
      <c r="U116" s="32" t="str">
        <f t="shared" si="58"/>
        <v>2)</v>
      </c>
      <c r="V116" s="32">
        <f t="shared" si="59"/>
        <v>0</v>
      </c>
      <c r="W116" s="32">
        <f t="shared" si="60"/>
        <v>0</v>
      </c>
      <c r="X116" s="32">
        <f t="shared" si="61"/>
        <v>0</v>
      </c>
      <c r="Y116" s="32">
        <f t="shared" si="62"/>
        <v>0</v>
      </c>
      <c r="Z116" s="32">
        <f t="shared" si="63"/>
        <v>0</v>
      </c>
    </row>
    <row r="117" spans="1:26" x14ac:dyDescent="0.25">
      <c r="A117" s="30" t="str">
        <f t="shared" si="46"/>
        <v>4</v>
      </c>
      <c r="B117" s="30" t="str">
        <f t="shared" si="47"/>
        <v>5</v>
      </c>
      <c r="C117" s="30" t="str">
        <f t="shared" si="48"/>
        <v>2</v>
      </c>
      <c r="D117" s="31">
        <f t="shared" si="49"/>
        <v>1</v>
      </c>
      <c r="E117" s="31">
        <f t="shared" si="50"/>
        <v>0</v>
      </c>
      <c r="F117" s="32">
        <f t="shared" si="51"/>
        <v>1</v>
      </c>
      <c r="G117" s="31">
        <f t="shared" si="52"/>
        <v>0</v>
      </c>
      <c r="H117" s="31">
        <f t="shared" si="53"/>
        <v>0</v>
      </c>
      <c r="I117" s="32">
        <f t="shared" si="54"/>
        <v>0</v>
      </c>
      <c r="N117" t="s">
        <v>326</v>
      </c>
      <c r="R117" s="32" t="str">
        <f t="shared" si="55"/>
        <v>4)Hex(5)Fuc(2)NeuAc(1)</v>
      </c>
      <c r="S117" s="32" t="str">
        <f t="shared" si="56"/>
        <v>5)Fuc(2)NeuAc(1)</v>
      </c>
      <c r="T117" s="32" t="str">
        <f t="shared" si="57"/>
        <v>2)NeuAc(1)</v>
      </c>
      <c r="U117" s="32" t="str">
        <f t="shared" si="58"/>
        <v>1)</v>
      </c>
      <c r="V117" s="32">
        <f t="shared" si="59"/>
        <v>0</v>
      </c>
      <c r="W117" s="32">
        <f t="shared" si="60"/>
        <v>0</v>
      </c>
      <c r="X117" s="32">
        <f t="shared" si="61"/>
        <v>0</v>
      </c>
      <c r="Y117" s="32">
        <f t="shared" si="62"/>
        <v>0</v>
      </c>
      <c r="Z117" s="32">
        <f t="shared" si="63"/>
        <v>0</v>
      </c>
    </row>
    <row r="118" spans="1:26" x14ac:dyDescent="0.25">
      <c r="A118" s="30" t="str">
        <f t="shared" si="46"/>
        <v>4</v>
      </c>
      <c r="B118" s="30" t="str">
        <f t="shared" si="47"/>
        <v>5</v>
      </c>
      <c r="C118" s="30" t="str">
        <f t="shared" si="48"/>
        <v>4</v>
      </c>
      <c r="D118" s="31">
        <f t="shared" si="49"/>
        <v>0</v>
      </c>
      <c r="E118" s="31">
        <f t="shared" si="50"/>
        <v>0</v>
      </c>
      <c r="F118" s="32">
        <f t="shared" si="51"/>
        <v>0</v>
      </c>
      <c r="G118" s="31">
        <f t="shared" si="52"/>
        <v>0</v>
      </c>
      <c r="H118" s="31">
        <f t="shared" si="53"/>
        <v>0</v>
      </c>
      <c r="I118" s="32">
        <f t="shared" si="54"/>
        <v>0</v>
      </c>
      <c r="N118" t="s">
        <v>327</v>
      </c>
      <c r="R118" s="32" t="str">
        <f t="shared" si="55"/>
        <v>4)Hex(5)Fuc(4)</v>
      </c>
      <c r="S118" s="32" t="str">
        <f t="shared" si="56"/>
        <v>5)Fuc(4)</v>
      </c>
      <c r="T118" s="32" t="str">
        <f t="shared" si="57"/>
        <v>4)</v>
      </c>
      <c r="U118" s="32">
        <f t="shared" si="58"/>
        <v>0</v>
      </c>
      <c r="V118" s="32">
        <f t="shared" si="59"/>
        <v>0</v>
      </c>
      <c r="W118" s="32">
        <f t="shared" si="60"/>
        <v>0</v>
      </c>
      <c r="X118" s="32">
        <f t="shared" si="61"/>
        <v>0</v>
      </c>
      <c r="Y118" s="32">
        <f t="shared" si="62"/>
        <v>0</v>
      </c>
      <c r="Z118" s="32">
        <f t="shared" si="63"/>
        <v>0</v>
      </c>
    </row>
    <row r="119" spans="1:26" x14ac:dyDescent="0.25">
      <c r="A119" s="30" t="str">
        <f t="shared" si="46"/>
        <v>7</v>
      </c>
      <c r="B119" s="30" t="str">
        <f t="shared" si="47"/>
        <v>4</v>
      </c>
      <c r="C119" s="30" t="str">
        <f t="shared" si="48"/>
        <v>1</v>
      </c>
      <c r="D119" s="31">
        <f t="shared" si="49"/>
        <v>0</v>
      </c>
      <c r="E119" s="31">
        <f t="shared" si="50"/>
        <v>0</v>
      </c>
      <c r="F119" s="32">
        <f t="shared" si="51"/>
        <v>0</v>
      </c>
      <c r="G119" s="31">
        <f t="shared" si="52"/>
        <v>0</v>
      </c>
      <c r="H119" s="31">
        <f t="shared" si="53"/>
        <v>0</v>
      </c>
      <c r="I119" s="32">
        <f t="shared" si="54"/>
        <v>0</v>
      </c>
      <c r="N119" t="s">
        <v>328</v>
      </c>
      <c r="R119" s="32" t="str">
        <f t="shared" si="55"/>
        <v>7)Hex(4)Fuc(1)</v>
      </c>
      <c r="S119" s="32" t="str">
        <f t="shared" si="56"/>
        <v>4)Fuc(1)</v>
      </c>
      <c r="T119" s="32" t="str">
        <f t="shared" si="57"/>
        <v>1)</v>
      </c>
      <c r="U119" s="32">
        <f t="shared" si="58"/>
        <v>0</v>
      </c>
      <c r="V119" s="32">
        <f t="shared" si="59"/>
        <v>0</v>
      </c>
      <c r="W119" s="32">
        <f t="shared" si="60"/>
        <v>0</v>
      </c>
      <c r="X119" s="32">
        <f t="shared" si="61"/>
        <v>0</v>
      </c>
      <c r="Y119" s="32">
        <f t="shared" si="62"/>
        <v>0</v>
      </c>
      <c r="Z119" s="32">
        <f t="shared" si="63"/>
        <v>0</v>
      </c>
    </row>
    <row r="120" spans="1:26" x14ac:dyDescent="0.25">
      <c r="A120" s="30" t="str">
        <f t="shared" si="46"/>
        <v>4</v>
      </c>
      <c r="B120" s="30" t="str">
        <f t="shared" si="47"/>
        <v>5</v>
      </c>
      <c r="C120" s="30">
        <f t="shared" si="48"/>
        <v>0</v>
      </c>
      <c r="D120" s="31">
        <f t="shared" si="49"/>
        <v>1</v>
      </c>
      <c r="E120" s="31">
        <f t="shared" si="50"/>
        <v>1</v>
      </c>
      <c r="F120" s="32">
        <f t="shared" si="51"/>
        <v>2</v>
      </c>
      <c r="G120" s="31">
        <f t="shared" si="52"/>
        <v>0</v>
      </c>
      <c r="H120" s="31">
        <f t="shared" si="53"/>
        <v>0</v>
      </c>
      <c r="I120" s="32">
        <f t="shared" si="54"/>
        <v>0</v>
      </c>
      <c r="N120" t="s">
        <v>329</v>
      </c>
      <c r="R120" s="32" t="str">
        <f t="shared" si="55"/>
        <v>4)Hex(5)NeuAc(1)NeuGc(1)</v>
      </c>
      <c r="S120" s="32" t="str">
        <f t="shared" si="56"/>
        <v>5)NeuAc(1)NeuGc(1)</v>
      </c>
      <c r="T120" s="32">
        <f t="shared" si="57"/>
        <v>0</v>
      </c>
      <c r="U120" s="32" t="str">
        <f t="shared" si="58"/>
        <v>1)NeuGc(1)</v>
      </c>
      <c r="V120" s="32" t="str">
        <f t="shared" si="59"/>
        <v>1)</v>
      </c>
      <c r="W120" s="32">
        <f t="shared" si="60"/>
        <v>0</v>
      </c>
      <c r="X120" s="32">
        <f t="shared" si="61"/>
        <v>0</v>
      </c>
      <c r="Y120" s="32">
        <f t="shared" si="62"/>
        <v>0</v>
      </c>
      <c r="Z120" s="32">
        <f t="shared" si="63"/>
        <v>0</v>
      </c>
    </row>
    <row r="121" spans="1:26" x14ac:dyDescent="0.25">
      <c r="A121" s="30" t="str">
        <f t="shared" si="46"/>
        <v>4</v>
      </c>
      <c r="B121" s="30" t="str">
        <f t="shared" si="47"/>
        <v>5</v>
      </c>
      <c r="C121" s="30" t="str">
        <f t="shared" si="48"/>
        <v>2</v>
      </c>
      <c r="D121" s="31">
        <f t="shared" si="49"/>
        <v>0</v>
      </c>
      <c r="E121" s="31">
        <f t="shared" si="50"/>
        <v>1</v>
      </c>
      <c r="F121" s="32">
        <f t="shared" si="51"/>
        <v>1</v>
      </c>
      <c r="G121" s="31">
        <f t="shared" si="52"/>
        <v>0</v>
      </c>
      <c r="H121" s="31">
        <f t="shared" si="53"/>
        <v>0</v>
      </c>
      <c r="I121" s="32">
        <f t="shared" si="54"/>
        <v>0</v>
      </c>
      <c r="N121" t="s">
        <v>330</v>
      </c>
      <c r="R121" s="32" t="str">
        <f t="shared" si="55"/>
        <v>4)Hex(5)Fuc(2)NeuGc(1)</v>
      </c>
      <c r="S121" s="32" t="str">
        <f t="shared" si="56"/>
        <v>5)Fuc(2)NeuGc(1)</v>
      </c>
      <c r="T121" s="32" t="str">
        <f t="shared" si="57"/>
        <v>2)NeuGc(1)</v>
      </c>
      <c r="U121" s="32">
        <f t="shared" si="58"/>
        <v>0</v>
      </c>
      <c r="V121" s="32" t="str">
        <f t="shared" si="59"/>
        <v>1)</v>
      </c>
      <c r="W121" s="32">
        <f t="shared" si="60"/>
        <v>0</v>
      </c>
      <c r="X121" s="32">
        <f t="shared" si="61"/>
        <v>0</v>
      </c>
      <c r="Y121" s="32">
        <f t="shared" si="62"/>
        <v>0</v>
      </c>
      <c r="Z121" s="32">
        <f t="shared" si="63"/>
        <v>0</v>
      </c>
    </row>
    <row r="122" spans="1:26" x14ac:dyDescent="0.25">
      <c r="A122" s="30" t="str">
        <f t="shared" si="46"/>
        <v>4</v>
      </c>
      <c r="B122" s="30" t="str">
        <f t="shared" si="47"/>
        <v>6</v>
      </c>
      <c r="C122" s="30" t="str">
        <f t="shared" si="48"/>
        <v>1</v>
      </c>
      <c r="D122" s="31">
        <f t="shared" si="49"/>
        <v>1</v>
      </c>
      <c r="E122" s="31">
        <f t="shared" si="50"/>
        <v>0</v>
      </c>
      <c r="F122" s="32">
        <f t="shared" si="51"/>
        <v>1</v>
      </c>
      <c r="G122" s="31">
        <f t="shared" si="52"/>
        <v>0</v>
      </c>
      <c r="H122" s="31">
        <f t="shared" si="53"/>
        <v>0</v>
      </c>
      <c r="I122" s="32">
        <f t="shared" si="54"/>
        <v>0</v>
      </c>
      <c r="N122" t="s">
        <v>331</v>
      </c>
      <c r="R122" s="32" t="str">
        <f t="shared" si="55"/>
        <v>4)Hex(6)Fuc(1)NeuAc(1)</v>
      </c>
      <c r="S122" s="32" t="str">
        <f t="shared" si="56"/>
        <v>6)Fuc(1)NeuAc(1)</v>
      </c>
      <c r="T122" s="32" t="str">
        <f t="shared" si="57"/>
        <v>1)NeuAc(1)</v>
      </c>
      <c r="U122" s="32" t="str">
        <f t="shared" si="58"/>
        <v>1)</v>
      </c>
      <c r="V122" s="32">
        <f t="shared" si="59"/>
        <v>0</v>
      </c>
      <c r="W122" s="32">
        <f t="shared" si="60"/>
        <v>0</v>
      </c>
      <c r="X122" s="32">
        <f t="shared" si="61"/>
        <v>0</v>
      </c>
      <c r="Y122" s="32">
        <f t="shared" si="62"/>
        <v>0</v>
      </c>
      <c r="Z122" s="32">
        <f t="shared" si="63"/>
        <v>0</v>
      </c>
    </row>
    <row r="123" spans="1:26" x14ac:dyDescent="0.25">
      <c r="A123" s="30" t="str">
        <f t="shared" si="46"/>
        <v>4</v>
      </c>
      <c r="B123" s="30" t="str">
        <f t="shared" si="47"/>
        <v>6</v>
      </c>
      <c r="C123" s="30" t="str">
        <f t="shared" si="48"/>
        <v>3</v>
      </c>
      <c r="D123" s="31">
        <f t="shared" si="49"/>
        <v>0</v>
      </c>
      <c r="E123" s="31">
        <f t="shared" si="50"/>
        <v>0</v>
      </c>
      <c r="F123" s="32">
        <f t="shared" si="51"/>
        <v>0</v>
      </c>
      <c r="G123" s="31">
        <f t="shared" si="52"/>
        <v>0</v>
      </c>
      <c r="H123" s="31">
        <f t="shared" si="53"/>
        <v>0</v>
      </c>
      <c r="I123" s="32">
        <f t="shared" si="54"/>
        <v>0</v>
      </c>
      <c r="N123" t="s">
        <v>332</v>
      </c>
      <c r="R123" s="32" t="str">
        <f t="shared" si="55"/>
        <v>4)Hex(6)Fuc(3)</v>
      </c>
      <c r="S123" s="32" t="str">
        <f t="shared" si="56"/>
        <v>6)Fuc(3)</v>
      </c>
      <c r="T123" s="32" t="str">
        <f t="shared" si="57"/>
        <v>3)</v>
      </c>
      <c r="U123" s="32">
        <f t="shared" si="58"/>
        <v>0</v>
      </c>
      <c r="V123" s="32">
        <f t="shared" si="59"/>
        <v>0</v>
      </c>
      <c r="W123" s="32">
        <f t="shared" si="60"/>
        <v>0</v>
      </c>
      <c r="X123" s="32">
        <f t="shared" si="61"/>
        <v>0</v>
      </c>
      <c r="Y123" s="32">
        <f t="shared" si="62"/>
        <v>0</v>
      </c>
      <c r="Z123" s="32">
        <f t="shared" si="63"/>
        <v>0</v>
      </c>
    </row>
    <row r="124" spans="1:26" x14ac:dyDescent="0.25">
      <c r="A124" s="30" t="str">
        <f t="shared" si="46"/>
        <v>4</v>
      </c>
      <c r="B124" s="30" t="str">
        <f t="shared" si="47"/>
        <v>5</v>
      </c>
      <c r="C124" s="30">
        <f t="shared" si="48"/>
        <v>0</v>
      </c>
      <c r="D124" s="31">
        <f t="shared" si="49"/>
        <v>0</v>
      </c>
      <c r="E124" s="31">
        <f t="shared" si="50"/>
        <v>2</v>
      </c>
      <c r="F124" s="32">
        <f t="shared" si="51"/>
        <v>2</v>
      </c>
      <c r="G124" s="31">
        <f t="shared" si="52"/>
        <v>0</v>
      </c>
      <c r="H124" s="31">
        <f t="shared" si="53"/>
        <v>0</v>
      </c>
      <c r="I124" s="32">
        <f t="shared" si="54"/>
        <v>0</v>
      </c>
      <c r="N124" t="s">
        <v>333</v>
      </c>
      <c r="R124" s="32" t="str">
        <f t="shared" si="55"/>
        <v>4)Hex(5)NeuGc(2)</v>
      </c>
      <c r="S124" s="32" t="str">
        <f t="shared" si="56"/>
        <v>5)NeuGc(2)</v>
      </c>
      <c r="T124" s="32">
        <f t="shared" si="57"/>
        <v>0</v>
      </c>
      <c r="U124" s="32">
        <f t="shared" si="58"/>
        <v>0</v>
      </c>
      <c r="V124" s="32" t="str">
        <f t="shared" si="59"/>
        <v>2)</v>
      </c>
      <c r="W124" s="32">
        <f t="shared" si="60"/>
        <v>0</v>
      </c>
      <c r="X124" s="32">
        <f t="shared" si="61"/>
        <v>0</v>
      </c>
      <c r="Y124" s="32">
        <f t="shared" si="62"/>
        <v>0</v>
      </c>
      <c r="Z124" s="32">
        <f t="shared" si="63"/>
        <v>0</v>
      </c>
    </row>
    <row r="125" spans="1:26" x14ac:dyDescent="0.25">
      <c r="A125" s="30" t="str">
        <f t="shared" si="46"/>
        <v>4</v>
      </c>
      <c r="B125" s="30" t="str">
        <f t="shared" si="47"/>
        <v>6</v>
      </c>
      <c r="C125" s="30" t="str">
        <f t="shared" si="48"/>
        <v>1</v>
      </c>
      <c r="D125" s="31">
        <f t="shared" si="49"/>
        <v>0</v>
      </c>
      <c r="E125" s="31">
        <f t="shared" si="50"/>
        <v>1</v>
      </c>
      <c r="F125" s="32">
        <f t="shared" si="51"/>
        <v>1</v>
      </c>
      <c r="G125" s="31">
        <f t="shared" si="52"/>
        <v>0</v>
      </c>
      <c r="H125" s="31">
        <f t="shared" si="53"/>
        <v>0</v>
      </c>
      <c r="I125" s="32">
        <f t="shared" si="54"/>
        <v>0</v>
      </c>
      <c r="N125" t="s">
        <v>334</v>
      </c>
      <c r="R125" s="32" t="str">
        <f t="shared" si="55"/>
        <v>4)Hex(6)Fuc(1)NeuGc(1)</v>
      </c>
      <c r="S125" s="32" t="str">
        <f t="shared" si="56"/>
        <v>6)Fuc(1)NeuGc(1)</v>
      </c>
      <c r="T125" s="32" t="str">
        <f t="shared" si="57"/>
        <v>1)NeuGc(1)</v>
      </c>
      <c r="U125" s="32">
        <f t="shared" si="58"/>
        <v>0</v>
      </c>
      <c r="V125" s="32" t="str">
        <f t="shared" si="59"/>
        <v>1)</v>
      </c>
      <c r="W125" s="32">
        <f t="shared" si="60"/>
        <v>0</v>
      </c>
      <c r="X125" s="32">
        <f t="shared" si="61"/>
        <v>0</v>
      </c>
      <c r="Y125" s="32">
        <f t="shared" si="62"/>
        <v>0</v>
      </c>
      <c r="Z125" s="32">
        <f t="shared" si="63"/>
        <v>0</v>
      </c>
    </row>
    <row r="126" spans="1:26" x14ac:dyDescent="0.25">
      <c r="A126" s="30" t="str">
        <f t="shared" si="46"/>
        <v>4</v>
      </c>
      <c r="B126" s="30" t="str">
        <f t="shared" si="47"/>
        <v>7</v>
      </c>
      <c r="C126" s="30">
        <f t="shared" si="48"/>
        <v>0</v>
      </c>
      <c r="D126" s="31">
        <f t="shared" si="49"/>
        <v>1</v>
      </c>
      <c r="E126" s="31">
        <f t="shared" si="50"/>
        <v>0</v>
      </c>
      <c r="F126" s="32">
        <f t="shared" si="51"/>
        <v>1</v>
      </c>
      <c r="G126" s="31">
        <f t="shared" si="52"/>
        <v>0</v>
      </c>
      <c r="H126" s="31">
        <f t="shared" si="53"/>
        <v>0</v>
      </c>
      <c r="I126" s="32">
        <f t="shared" si="54"/>
        <v>0</v>
      </c>
      <c r="N126" t="s">
        <v>335</v>
      </c>
      <c r="R126" s="32" t="str">
        <f t="shared" si="55"/>
        <v>4)Hex(7)NeuAc(1)</v>
      </c>
      <c r="S126" s="32" t="str">
        <f t="shared" si="56"/>
        <v>7)NeuAc(1)</v>
      </c>
      <c r="T126" s="32">
        <f t="shared" si="57"/>
        <v>0</v>
      </c>
      <c r="U126" s="32" t="str">
        <f t="shared" si="58"/>
        <v>1)</v>
      </c>
      <c r="V126" s="32">
        <f t="shared" si="59"/>
        <v>0</v>
      </c>
      <c r="W126" s="32">
        <f t="shared" si="60"/>
        <v>0</v>
      </c>
      <c r="X126" s="32">
        <f t="shared" si="61"/>
        <v>0</v>
      </c>
      <c r="Y126" s="32">
        <f t="shared" si="62"/>
        <v>0</v>
      </c>
      <c r="Z126" s="32">
        <f t="shared" si="63"/>
        <v>0</v>
      </c>
    </row>
    <row r="127" spans="1:26" x14ac:dyDescent="0.25">
      <c r="A127" s="30" t="str">
        <f t="shared" si="46"/>
        <v>4</v>
      </c>
      <c r="B127" s="30" t="str">
        <f t="shared" si="47"/>
        <v>7</v>
      </c>
      <c r="C127" s="30" t="str">
        <f t="shared" si="48"/>
        <v>2</v>
      </c>
      <c r="D127" s="31">
        <f t="shared" si="49"/>
        <v>0</v>
      </c>
      <c r="E127" s="31">
        <f t="shared" si="50"/>
        <v>0</v>
      </c>
      <c r="F127" s="32">
        <f t="shared" si="51"/>
        <v>0</v>
      </c>
      <c r="G127" s="31">
        <f t="shared" si="52"/>
        <v>0</v>
      </c>
      <c r="H127" s="31">
        <f t="shared" si="53"/>
        <v>0</v>
      </c>
      <c r="I127" s="32">
        <f t="shared" si="54"/>
        <v>0</v>
      </c>
      <c r="N127" t="s">
        <v>336</v>
      </c>
      <c r="R127" s="32" t="str">
        <f t="shared" si="55"/>
        <v>4)Hex(7)Fuc(2)</v>
      </c>
      <c r="S127" s="32" t="str">
        <f t="shared" si="56"/>
        <v>7)Fuc(2)</v>
      </c>
      <c r="T127" s="32" t="str">
        <f t="shared" si="57"/>
        <v>2)</v>
      </c>
      <c r="U127" s="32">
        <f t="shared" si="58"/>
        <v>0</v>
      </c>
      <c r="V127" s="32">
        <f t="shared" si="59"/>
        <v>0</v>
      </c>
      <c r="W127" s="32">
        <f t="shared" si="60"/>
        <v>0</v>
      </c>
      <c r="X127" s="32">
        <f t="shared" si="61"/>
        <v>0</v>
      </c>
      <c r="Y127" s="32">
        <f t="shared" si="62"/>
        <v>0</v>
      </c>
      <c r="Z127" s="32">
        <f t="shared" si="63"/>
        <v>0</v>
      </c>
    </row>
    <row r="128" spans="1:26" x14ac:dyDescent="0.25">
      <c r="A128" s="30" t="str">
        <f t="shared" si="46"/>
        <v>5</v>
      </c>
      <c r="B128" s="30" t="str">
        <f t="shared" si="47"/>
        <v>4</v>
      </c>
      <c r="C128" s="30">
        <f t="shared" si="48"/>
        <v>0</v>
      </c>
      <c r="D128" s="31">
        <f t="shared" si="49"/>
        <v>2</v>
      </c>
      <c r="E128" s="31">
        <f t="shared" si="50"/>
        <v>0</v>
      </c>
      <c r="F128" s="32">
        <f t="shared" si="51"/>
        <v>2</v>
      </c>
      <c r="G128" s="31">
        <f t="shared" si="52"/>
        <v>0</v>
      </c>
      <c r="H128" s="31">
        <f t="shared" si="53"/>
        <v>0</v>
      </c>
      <c r="I128" s="32">
        <f t="shared" si="54"/>
        <v>0</v>
      </c>
      <c r="N128" t="s">
        <v>337</v>
      </c>
      <c r="R128" s="32" t="str">
        <f t="shared" si="55"/>
        <v>5)Hex(4)NeuAc(2)</v>
      </c>
      <c r="S128" s="32" t="str">
        <f t="shared" si="56"/>
        <v>4)NeuAc(2)</v>
      </c>
      <c r="T128" s="32">
        <f t="shared" si="57"/>
        <v>0</v>
      </c>
      <c r="U128" s="32" t="str">
        <f t="shared" si="58"/>
        <v>2)</v>
      </c>
      <c r="V128" s="32">
        <f t="shared" si="59"/>
        <v>0</v>
      </c>
      <c r="W128" s="32">
        <f t="shared" si="60"/>
        <v>0</v>
      </c>
      <c r="X128" s="32">
        <f t="shared" si="61"/>
        <v>0</v>
      </c>
      <c r="Y128" s="32">
        <f t="shared" si="62"/>
        <v>0</v>
      </c>
      <c r="Z128" s="32">
        <f t="shared" si="63"/>
        <v>0</v>
      </c>
    </row>
    <row r="129" spans="1:26" x14ac:dyDescent="0.25">
      <c r="A129" s="30" t="str">
        <f t="shared" si="46"/>
        <v>5</v>
      </c>
      <c r="B129" s="30" t="str">
        <f t="shared" si="47"/>
        <v>4</v>
      </c>
      <c r="C129" s="30" t="str">
        <f t="shared" si="48"/>
        <v>2</v>
      </c>
      <c r="D129" s="31">
        <f t="shared" si="49"/>
        <v>1</v>
      </c>
      <c r="E129" s="31">
        <f t="shared" si="50"/>
        <v>0</v>
      </c>
      <c r="F129" s="32">
        <f t="shared" si="51"/>
        <v>1</v>
      </c>
      <c r="G129" s="31">
        <f t="shared" si="52"/>
        <v>0</v>
      </c>
      <c r="H129" s="31">
        <f t="shared" si="53"/>
        <v>0</v>
      </c>
      <c r="I129" s="32">
        <f t="shared" si="54"/>
        <v>0</v>
      </c>
      <c r="N129" t="s">
        <v>338</v>
      </c>
      <c r="R129" s="32" t="str">
        <f t="shared" si="55"/>
        <v>5)Hex(4)Fuc(2)NeuAc(1)</v>
      </c>
      <c r="S129" s="32" t="str">
        <f t="shared" si="56"/>
        <v>4)Fuc(2)NeuAc(1)</v>
      </c>
      <c r="T129" s="32" t="str">
        <f t="shared" si="57"/>
        <v>2)NeuAc(1)</v>
      </c>
      <c r="U129" s="32" t="str">
        <f t="shared" si="58"/>
        <v>1)</v>
      </c>
      <c r="V129" s="32">
        <f t="shared" si="59"/>
        <v>0</v>
      </c>
      <c r="W129" s="32">
        <f t="shared" si="60"/>
        <v>0</v>
      </c>
      <c r="X129" s="32">
        <f t="shared" si="61"/>
        <v>0</v>
      </c>
      <c r="Y129" s="32">
        <f t="shared" si="62"/>
        <v>0</v>
      </c>
      <c r="Z129" s="32">
        <f t="shared" si="63"/>
        <v>0</v>
      </c>
    </row>
    <row r="130" spans="1:26" x14ac:dyDescent="0.25">
      <c r="A130" s="30" t="str">
        <f t="shared" si="46"/>
        <v>8</v>
      </c>
      <c r="B130" s="30" t="str">
        <f t="shared" si="47"/>
        <v>3</v>
      </c>
      <c r="C130" s="30" t="str">
        <f t="shared" si="48"/>
        <v>1</v>
      </c>
      <c r="D130" s="31">
        <f t="shared" si="49"/>
        <v>0</v>
      </c>
      <c r="E130" s="31">
        <f t="shared" si="50"/>
        <v>0</v>
      </c>
      <c r="F130" s="32">
        <f t="shared" si="51"/>
        <v>0</v>
      </c>
      <c r="G130" s="31">
        <f t="shared" si="52"/>
        <v>0</v>
      </c>
      <c r="H130" s="31">
        <f t="shared" si="53"/>
        <v>0</v>
      </c>
      <c r="I130" s="32">
        <f t="shared" si="54"/>
        <v>0</v>
      </c>
      <c r="N130" t="s">
        <v>339</v>
      </c>
      <c r="R130" s="32" t="str">
        <f t="shared" si="55"/>
        <v>8)Hex(3)Fuc(1)</v>
      </c>
      <c r="S130" s="32" t="str">
        <f t="shared" si="56"/>
        <v>3)Fuc(1)</v>
      </c>
      <c r="T130" s="32" t="str">
        <f t="shared" si="57"/>
        <v>1)</v>
      </c>
      <c r="U130" s="32">
        <f t="shared" si="58"/>
        <v>0</v>
      </c>
      <c r="V130" s="32">
        <f t="shared" si="59"/>
        <v>0</v>
      </c>
      <c r="W130" s="32">
        <f t="shared" si="60"/>
        <v>0</v>
      </c>
      <c r="X130" s="32">
        <f t="shared" si="61"/>
        <v>0</v>
      </c>
      <c r="Y130" s="32">
        <f t="shared" si="62"/>
        <v>0</v>
      </c>
      <c r="Z130" s="32">
        <f t="shared" si="63"/>
        <v>0</v>
      </c>
    </row>
    <row r="131" spans="1:26" x14ac:dyDescent="0.25">
      <c r="A131" s="30" t="str">
        <f t="shared" si="46"/>
        <v>5</v>
      </c>
      <c r="B131" s="30" t="str">
        <f t="shared" si="47"/>
        <v>4</v>
      </c>
      <c r="C131" s="30">
        <f t="shared" si="48"/>
        <v>0</v>
      </c>
      <c r="D131" s="31">
        <f t="shared" si="49"/>
        <v>1</v>
      </c>
      <c r="E131" s="31">
        <f t="shared" si="50"/>
        <v>1</v>
      </c>
      <c r="F131" s="32">
        <f t="shared" si="51"/>
        <v>2</v>
      </c>
      <c r="G131" s="31">
        <f t="shared" si="52"/>
        <v>0</v>
      </c>
      <c r="H131" s="31">
        <f t="shared" si="53"/>
        <v>0</v>
      </c>
      <c r="I131" s="32">
        <f t="shared" si="54"/>
        <v>0</v>
      </c>
      <c r="N131" t="s">
        <v>340</v>
      </c>
      <c r="R131" s="32" t="str">
        <f t="shared" si="55"/>
        <v>5)Hex(4)NeuAc(1)NeuGc(1)</v>
      </c>
      <c r="S131" s="32" t="str">
        <f t="shared" si="56"/>
        <v>4)NeuAc(1)NeuGc(1)</v>
      </c>
      <c r="T131" s="32">
        <f t="shared" si="57"/>
        <v>0</v>
      </c>
      <c r="U131" s="32" t="str">
        <f t="shared" si="58"/>
        <v>1)NeuGc(1)</v>
      </c>
      <c r="V131" s="32" t="str">
        <f t="shared" si="59"/>
        <v>1)</v>
      </c>
      <c r="W131" s="32">
        <f t="shared" si="60"/>
        <v>0</v>
      </c>
      <c r="X131" s="32">
        <f t="shared" si="61"/>
        <v>0</v>
      </c>
      <c r="Y131" s="32">
        <f t="shared" si="62"/>
        <v>0</v>
      </c>
      <c r="Z131" s="32">
        <f t="shared" si="63"/>
        <v>0</v>
      </c>
    </row>
    <row r="132" spans="1:26" x14ac:dyDescent="0.25">
      <c r="A132" s="30" t="str">
        <f t="shared" si="46"/>
        <v>5</v>
      </c>
      <c r="B132" s="30" t="str">
        <f t="shared" si="47"/>
        <v>5</v>
      </c>
      <c r="C132" s="30" t="str">
        <f t="shared" si="48"/>
        <v>1</v>
      </c>
      <c r="D132" s="31">
        <f t="shared" si="49"/>
        <v>1</v>
      </c>
      <c r="E132" s="31">
        <f t="shared" si="50"/>
        <v>0</v>
      </c>
      <c r="F132" s="32">
        <f t="shared" si="51"/>
        <v>1</v>
      </c>
      <c r="G132" s="31">
        <f t="shared" si="52"/>
        <v>0</v>
      </c>
      <c r="H132" s="31">
        <f t="shared" si="53"/>
        <v>0</v>
      </c>
      <c r="I132" s="32">
        <f t="shared" si="54"/>
        <v>0</v>
      </c>
      <c r="N132" t="s">
        <v>341</v>
      </c>
      <c r="R132" s="32" t="str">
        <f t="shared" si="55"/>
        <v>5)Hex(5)Fuc(1)NeuAc(1)</v>
      </c>
      <c r="S132" s="32" t="str">
        <f t="shared" si="56"/>
        <v>5)Fuc(1)NeuAc(1)</v>
      </c>
      <c r="T132" s="32" t="str">
        <f t="shared" si="57"/>
        <v>1)NeuAc(1)</v>
      </c>
      <c r="U132" s="32" t="str">
        <f t="shared" si="58"/>
        <v>1)</v>
      </c>
      <c r="V132" s="32">
        <f t="shared" si="59"/>
        <v>0</v>
      </c>
      <c r="W132" s="32">
        <f t="shared" si="60"/>
        <v>0</v>
      </c>
      <c r="X132" s="32">
        <f t="shared" si="61"/>
        <v>0</v>
      </c>
      <c r="Y132" s="32">
        <f t="shared" si="62"/>
        <v>0</v>
      </c>
      <c r="Z132" s="32">
        <f t="shared" si="63"/>
        <v>0</v>
      </c>
    </row>
    <row r="133" spans="1:26" x14ac:dyDescent="0.25">
      <c r="A133" s="30" t="str">
        <f t="shared" si="46"/>
        <v>5</v>
      </c>
      <c r="B133" s="30" t="str">
        <f t="shared" si="47"/>
        <v>4</v>
      </c>
      <c r="C133" s="30" t="str">
        <f t="shared" si="48"/>
        <v>2</v>
      </c>
      <c r="D133" s="31">
        <f t="shared" si="49"/>
        <v>0</v>
      </c>
      <c r="E133" s="31">
        <f t="shared" si="50"/>
        <v>1</v>
      </c>
      <c r="F133" s="32">
        <f t="shared" si="51"/>
        <v>1</v>
      </c>
      <c r="G133" s="31">
        <f t="shared" si="52"/>
        <v>0</v>
      </c>
      <c r="H133" s="31">
        <f t="shared" si="53"/>
        <v>0</v>
      </c>
      <c r="I133" s="32">
        <f t="shared" si="54"/>
        <v>0</v>
      </c>
      <c r="N133" t="s">
        <v>342</v>
      </c>
      <c r="R133" s="32" t="str">
        <f t="shared" si="55"/>
        <v>5)Hex(4)Fuc(2)NeuGc(1)</v>
      </c>
      <c r="S133" s="32" t="str">
        <f t="shared" si="56"/>
        <v>4)Fuc(2)NeuGc(1)</v>
      </c>
      <c r="T133" s="32" t="str">
        <f t="shared" si="57"/>
        <v>2)NeuGc(1)</v>
      </c>
      <c r="U133" s="32">
        <f t="shared" si="58"/>
        <v>0</v>
      </c>
      <c r="V133" s="32" t="str">
        <f t="shared" si="59"/>
        <v>1)</v>
      </c>
      <c r="W133" s="32">
        <f t="shared" si="60"/>
        <v>0</v>
      </c>
      <c r="X133" s="32">
        <f t="shared" si="61"/>
        <v>0</v>
      </c>
      <c r="Y133" s="32">
        <f t="shared" si="62"/>
        <v>0</v>
      </c>
      <c r="Z133" s="32">
        <f t="shared" si="63"/>
        <v>0</v>
      </c>
    </row>
    <row r="134" spans="1:26" x14ac:dyDescent="0.25">
      <c r="A134" s="30" t="str">
        <f t="shared" si="46"/>
        <v>5</v>
      </c>
      <c r="B134" s="30" t="str">
        <f t="shared" si="47"/>
        <v>5</v>
      </c>
      <c r="C134" s="30" t="str">
        <f t="shared" si="48"/>
        <v>3</v>
      </c>
      <c r="D134" s="31">
        <f t="shared" si="49"/>
        <v>0</v>
      </c>
      <c r="E134" s="31">
        <f t="shared" si="50"/>
        <v>0</v>
      </c>
      <c r="F134" s="32">
        <f t="shared" si="51"/>
        <v>0</v>
      </c>
      <c r="G134" s="31">
        <f t="shared" si="52"/>
        <v>0</v>
      </c>
      <c r="H134" s="31">
        <f t="shared" si="53"/>
        <v>0</v>
      </c>
      <c r="I134" s="32">
        <f t="shared" si="54"/>
        <v>0</v>
      </c>
      <c r="N134" t="s">
        <v>343</v>
      </c>
      <c r="R134" s="32" t="str">
        <f t="shared" si="55"/>
        <v>5)Hex(5)Fuc(3)</v>
      </c>
      <c r="S134" s="32" t="str">
        <f t="shared" si="56"/>
        <v>5)Fuc(3)</v>
      </c>
      <c r="T134" s="32" t="str">
        <f t="shared" si="57"/>
        <v>3)</v>
      </c>
      <c r="U134" s="32">
        <f t="shared" si="58"/>
        <v>0</v>
      </c>
      <c r="V134" s="32">
        <f t="shared" si="59"/>
        <v>0</v>
      </c>
      <c r="W134" s="32">
        <f t="shared" si="60"/>
        <v>0</v>
      </c>
      <c r="X134" s="32">
        <f t="shared" si="61"/>
        <v>0</v>
      </c>
      <c r="Y134" s="32">
        <f t="shared" si="62"/>
        <v>0</v>
      </c>
      <c r="Z134" s="32">
        <f t="shared" si="63"/>
        <v>0</v>
      </c>
    </row>
    <row r="135" spans="1:26" x14ac:dyDescent="0.25">
      <c r="A135" s="30" t="str">
        <f t="shared" si="46"/>
        <v>8</v>
      </c>
      <c r="B135" s="30" t="str">
        <f t="shared" si="47"/>
        <v>4</v>
      </c>
      <c r="C135" s="30">
        <f t="shared" si="48"/>
        <v>0</v>
      </c>
      <c r="D135" s="31">
        <f t="shared" si="49"/>
        <v>0</v>
      </c>
      <c r="E135" s="31">
        <f t="shared" si="50"/>
        <v>0</v>
      </c>
      <c r="F135" s="32">
        <f t="shared" si="51"/>
        <v>0</v>
      </c>
      <c r="G135" s="31">
        <f t="shared" si="52"/>
        <v>0</v>
      </c>
      <c r="H135" s="31">
        <f t="shared" si="53"/>
        <v>0</v>
      </c>
      <c r="I135" s="32">
        <f t="shared" si="54"/>
        <v>0</v>
      </c>
      <c r="N135" t="s">
        <v>344</v>
      </c>
      <c r="R135" s="32" t="str">
        <f t="shared" si="55"/>
        <v>8)Hex(4)</v>
      </c>
      <c r="S135" s="32" t="str">
        <f t="shared" si="56"/>
        <v>4)</v>
      </c>
      <c r="T135" s="32">
        <f t="shared" si="57"/>
        <v>0</v>
      </c>
      <c r="U135" s="32">
        <f t="shared" si="58"/>
        <v>0</v>
      </c>
      <c r="V135" s="32">
        <f t="shared" si="59"/>
        <v>0</v>
      </c>
      <c r="W135" s="32">
        <f t="shared" si="60"/>
        <v>0</v>
      </c>
      <c r="X135" s="32">
        <f t="shared" si="61"/>
        <v>0</v>
      </c>
      <c r="Y135" s="32">
        <f t="shared" si="62"/>
        <v>0</v>
      </c>
      <c r="Z135" s="32">
        <f t="shared" si="63"/>
        <v>0</v>
      </c>
    </row>
    <row r="136" spans="1:26" x14ac:dyDescent="0.25">
      <c r="A136" s="30" t="str">
        <f t="shared" si="46"/>
        <v>5</v>
      </c>
      <c r="B136" s="30" t="str">
        <f t="shared" si="47"/>
        <v>4</v>
      </c>
      <c r="C136" s="30">
        <f t="shared" si="48"/>
        <v>0</v>
      </c>
      <c r="D136" s="31">
        <f t="shared" si="49"/>
        <v>0</v>
      </c>
      <c r="E136" s="31">
        <f t="shared" si="50"/>
        <v>2</v>
      </c>
      <c r="F136" s="32">
        <f t="shared" si="51"/>
        <v>2</v>
      </c>
      <c r="G136" s="31">
        <f t="shared" si="52"/>
        <v>0</v>
      </c>
      <c r="H136" s="31">
        <f t="shared" si="53"/>
        <v>0</v>
      </c>
      <c r="I136" s="32">
        <f t="shared" si="54"/>
        <v>0</v>
      </c>
      <c r="N136" t="s">
        <v>345</v>
      </c>
      <c r="R136" s="32" t="str">
        <f t="shared" si="55"/>
        <v>5)Hex(4)NeuGc(2)</v>
      </c>
      <c r="S136" s="32" t="str">
        <f t="shared" si="56"/>
        <v>4)NeuGc(2)</v>
      </c>
      <c r="T136" s="32">
        <f t="shared" si="57"/>
        <v>0</v>
      </c>
      <c r="U136" s="32">
        <f t="shared" si="58"/>
        <v>0</v>
      </c>
      <c r="V136" s="32" t="str">
        <f t="shared" si="59"/>
        <v>2)</v>
      </c>
      <c r="W136" s="32">
        <f t="shared" si="60"/>
        <v>0</v>
      </c>
      <c r="X136" s="32">
        <f t="shared" si="61"/>
        <v>0</v>
      </c>
      <c r="Y136" s="32">
        <f t="shared" si="62"/>
        <v>0</v>
      </c>
      <c r="Z136" s="32">
        <f t="shared" si="63"/>
        <v>0</v>
      </c>
    </row>
    <row r="137" spans="1:26" x14ac:dyDescent="0.25">
      <c r="A137" s="30" t="str">
        <f t="shared" si="46"/>
        <v>5</v>
      </c>
      <c r="B137" s="30" t="str">
        <f t="shared" si="47"/>
        <v>5</v>
      </c>
      <c r="C137" s="30" t="str">
        <f t="shared" si="48"/>
        <v>1</v>
      </c>
      <c r="D137" s="31">
        <f t="shared" si="49"/>
        <v>0</v>
      </c>
      <c r="E137" s="31">
        <f t="shared" si="50"/>
        <v>1</v>
      </c>
      <c r="F137" s="32">
        <f t="shared" si="51"/>
        <v>1</v>
      </c>
      <c r="G137" s="31">
        <f t="shared" si="52"/>
        <v>0</v>
      </c>
      <c r="H137" s="31">
        <f t="shared" si="53"/>
        <v>0</v>
      </c>
      <c r="I137" s="32">
        <f t="shared" si="54"/>
        <v>0</v>
      </c>
      <c r="N137" t="s">
        <v>346</v>
      </c>
      <c r="R137" s="32" t="str">
        <f t="shared" si="55"/>
        <v>5)Hex(5)Fuc(1)NeuGc(1)</v>
      </c>
      <c r="S137" s="32" t="str">
        <f t="shared" si="56"/>
        <v>5)Fuc(1)NeuGc(1)</v>
      </c>
      <c r="T137" s="32" t="str">
        <f t="shared" si="57"/>
        <v>1)NeuGc(1)</v>
      </c>
      <c r="U137" s="32">
        <f t="shared" si="58"/>
        <v>0</v>
      </c>
      <c r="V137" s="32" t="str">
        <f t="shared" si="59"/>
        <v>1)</v>
      </c>
      <c r="W137" s="32">
        <f t="shared" si="60"/>
        <v>0</v>
      </c>
      <c r="X137" s="32">
        <f t="shared" si="61"/>
        <v>0</v>
      </c>
      <c r="Y137" s="32">
        <f t="shared" si="62"/>
        <v>0</v>
      </c>
      <c r="Z137" s="32">
        <f t="shared" si="63"/>
        <v>0</v>
      </c>
    </row>
    <row r="138" spans="1:26" x14ac:dyDescent="0.25">
      <c r="A138" s="30" t="str">
        <f t="shared" si="46"/>
        <v>5</v>
      </c>
      <c r="B138" s="30" t="str">
        <f t="shared" si="47"/>
        <v>6</v>
      </c>
      <c r="C138" s="30">
        <f t="shared" si="48"/>
        <v>0</v>
      </c>
      <c r="D138" s="31">
        <f t="shared" si="49"/>
        <v>1</v>
      </c>
      <c r="E138" s="31">
        <f t="shared" si="50"/>
        <v>0</v>
      </c>
      <c r="F138" s="32">
        <f t="shared" si="51"/>
        <v>1</v>
      </c>
      <c r="G138" s="31">
        <f t="shared" si="52"/>
        <v>0</v>
      </c>
      <c r="H138" s="31">
        <f t="shared" si="53"/>
        <v>0</v>
      </c>
      <c r="I138" s="32">
        <f t="shared" si="54"/>
        <v>0</v>
      </c>
      <c r="N138" t="s">
        <v>347</v>
      </c>
      <c r="R138" s="32" t="str">
        <f t="shared" si="55"/>
        <v>5)Hex(6)NeuAc(1)</v>
      </c>
      <c r="S138" s="32" t="str">
        <f t="shared" si="56"/>
        <v>6)NeuAc(1)</v>
      </c>
      <c r="T138" s="32">
        <f t="shared" si="57"/>
        <v>0</v>
      </c>
      <c r="U138" s="32" t="str">
        <f t="shared" si="58"/>
        <v>1)</v>
      </c>
      <c r="V138" s="32">
        <f t="shared" si="59"/>
        <v>0</v>
      </c>
      <c r="W138" s="32">
        <f t="shared" si="60"/>
        <v>0</v>
      </c>
      <c r="X138" s="32">
        <f t="shared" si="61"/>
        <v>0</v>
      </c>
      <c r="Y138" s="32">
        <f t="shared" si="62"/>
        <v>0</v>
      </c>
      <c r="Z138" s="32">
        <f t="shared" si="63"/>
        <v>0</v>
      </c>
    </row>
    <row r="139" spans="1:26" x14ac:dyDescent="0.25">
      <c r="A139" s="30" t="str">
        <f t="shared" ref="A139:A202" si="81">IFERROR(LEFT(R139,FIND(")",R139)-1),0)</f>
        <v>5</v>
      </c>
      <c r="B139" s="30" t="str">
        <f t="shared" ref="B139:B202" si="82">IFERROR(LEFT(S139,FIND(")",S139)-1),0)</f>
        <v>6</v>
      </c>
      <c r="C139" s="30" t="str">
        <f t="shared" ref="C139:C202" si="83">IFERROR(LEFT(T139,FIND(")",T139)-1),0)</f>
        <v>2</v>
      </c>
      <c r="D139" s="31">
        <f t="shared" ref="D139:D202" si="84">VALUE(IFERROR(LEFT(U139,FIND(")",U139)-1),0))</f>
        <v>0</v>
      </c>
      <c r="E139" s="31">
        <f t="shared" ref="E139:E202" si="85">VALUE(IFERROR(LEFT(V139,FIND(")",V139)-1),0))</f>
        <v>0</v>
      </c>
      <c r="F139" s="32">
        <f t="shared" ref="F139:F202" si="86">SUM(D139:E139)</f>
        <v>0</v>
      </c>
      <c r="G139" s="31">
        <f t="shared" ref="G139:G202" si="87">VALUE(IFERROR(LEFT(X139,FIND(")",X139)-1),0))</f>
        <v>0</v>
      </c>
      <c r="H139" s="31">
        <f t="shared" ref="H139:H202" si="88">VALUE(IFERROR(LEFT(Y139,FIND(")",Y139)-1),0))</f>
        <v>0</v>
      </c>
      <c r="I139" s="32">
        <f t="shared" ref="I139:I202" si="89">SUM(G139:H139)</f>
        <v>0</v>
      </c>
      <c r="N139" t="s">
        <v>348</v>
      </c>
      <c r="R139" s="32" t="str">
        <f t="shared" si="55"/>
        <v>5)Hex(6)Fuc(2)</v>
      </c>
      <c r="S139" s="32" t="str">
        <f t="shared" si="56"/>
        <v>6)Fuc(2)</v>
      </c>
      <c r="T139" s="32" t="str">
        <f t="shared" si="57"/>
        <v>2)</v>
      </c>
      <c r="U139" s="32">
        <f t="shared" si="58"/>
        <v>0</v>
      </c>
      <c r="V139" s="32">
        <f t="shared" si="59"/>
        <v>0</v>
      </c>
      <c r="W139" s="32">
        <f t="shared" si="60"/>
        <v>0</v>
      </c>
      <c r="X139" s="32">
        <f t="shared" si="61"/>
        <v>0</v>
      </c>
      <c r="Y139" s="32">
        <f t="shared" si="62"/>
        <v>0</v>
      </c>
      <c r="Z139" s="32">
        <f t="shared" si="63"/>
        <v>0</v>
      </c>
    </row>
    <row r="140" spans="1:26" x14ac:dyDescent="0.25">
      <c r="A140" s="30" t="str">
        <f t="shared" si="81"/>
        <v>6</v>
      </c>
      <c r="B140" s="30" t="str">
        <f t="shared" si="82"/>
        <v>3</v>
      </c>
      <c r="C140" s="30" t="str">
        <f t="shared" si="83"/>
        <v>2</v>
      </c>
      <c r="D140" s="31">
        <f t="shared" si="84"/>
        <v>1</v>
      </c>
      <c r="E140" s="31">
        <f t="shared" si="85"/>
        <v>0</v>
      </c>
      <c r="F140" s="32">
        <f t="shared" si="86"/>
        <v>1</v>
      </c>
      <c r="G140" s="31">
        <f t="shared" si="87"/>
        <v>0</v>
      </c>
      <c r="H140" s="31">
        <f t="shared" si="88"/>
        <v>0</v>
      </c>
      <c r="I140" s="32">
        <f t="shared" si="89"/>
        <v>0</v>
      </c>
      <c r="N140" t="s">
        <v>349</v>
      </c>
      <c r="R140" s="32" t="str">
        <f t="shared" si="55"/>
        <v>6)Hex(3)Fuc(2)NeuAc(1)</v>
      </c>
      <c r="S140" s="32" t="str">
        <f t="shared" si="56"/>
        <v>3)Fuc(2)NeuAc(1)</v>
      </c>
      <c r="T140" s="32" t="str">
        <f t="shared" si="57"/>
        <v>2)NeuAc(1)</v>
      </c>
      <c r="U140" s="32" t="str">
        <f t="shared" si="58"/>
        <v>1)</v>
      </c>
      <c r="V140" s="32">
        <f t="shared" si="59"/>
        <v>0</v>
      </c>
      <c r="W140" s="32">
        <f t="shared" si="60"/>
        <v>0</v>
      </c>
      <c r="X140" s="32">
        <f t="shared" si="61"/>
        <v>0</v>
      </c>
      <c r="Y140" s="32">
        <f t="shared" si="62"/>
        <v>0</v>
      </c>
      <c r="Z140" s="32">
        <f t="shared" si="63"/>
        <v>0</v>
      </c>
    </row>
    <row r="141" spans="1:26" x14ac:dyDescent="0.25">
      <c r="A141" s="30" t="str">
        <f t="shared" si="81"/>
        <v>5</v>
      </c>
      <c r="B141" s="30" t="str">
        <f t="shared" si="82"/>
        <v>6</v>
      </c>
      <c r="C141" s="30">
        <f t="shared" si="83"/>
        <v>0</v>
      </c>
      <c r="D141" s="31">
        <f t="shared" si="84"/>
        <v>0</v>
      </c>
      <c r="E141" s="31">
        <f t="shared" si="85"/>
        <v>1</v>
      </c>
      <c r="F141" s="32">
        <f t="shared" si="86"/>
        <v>1</v>
      </c>
      <c r="G141" s="31">
        <f t="shared" si="87"/>
        <v>0</v>
      </c>
      <c r="H141" s="31">
        <f t="shared" si="88"/>
        <v>0</v>
      </c>
      <c r="I141" s="32">
        <f t="shared" si="89"/>
        <v>0</v>
      </c>
      <c r="N141" t="s">
        <v>350</v>
      </c>
      <c r="R141" s="32" t="str">
        <f t="shared" si="55"/>
        <v>5)Hex(6)NeuGc(1)</v>
      </c>
      <c r="S141" s="32" t="str">
        <f t="shared" si="56"/>
        <v>6)NeuGc(1)</v>
      </c>
      <c r="T141" s="32">
        <f t="shared" si="57"/>
        <v>0</v>
      </c>
      <c r="U141" s="32">
        <f t="shared" si="58"/>
        <v>0</v>
      </c>
      <c r="V141" s="32" t="str">
        <f t="shared" si="59"/>
        <v>1)</v>
      </c>
      <c r="W141" s="32">
        <f t="shared" si="60"/>
        <v>0</v>
      </c>
      <c r="X141" s="32">
        <f t="shared" si="61"/>
        <v>0</v>
      </c>
      <c r="Y141" s="32">
        <f t="shared" si="62"/>
        <v>0</v>
      </c>
      <c r="Z141" s="32">
        <f t="shared" si="63"/>
        <v>0</v>
      </c>
    </row>
    <row r="142" spans="1:26" x14ac:dyDescent="0.25">
      <c r="A142" s="30" t="str">
        <f t="shared" si="81"/>
        <v>5</v>
      </c>
      <c r="B142" s="30" t="str">
        <f t="shared" si="82"/>
        <v>7</v>
      </c>
      <c r="C142" s="30" t="str">
        <f t="shared" si="83"/>
        <v>1</v>
      </c>
      <c r="D142" s="31">
        <f t="shared" si="84"/>
        <v>0</v>
      </c>
      <c r="E142" s="31">
        <f t="shared" si="85"/>
        <v>0</v>
      </c>
      <c r="F142" s="32">
        <f t="shared" si="86"/>
        <v>0</v>
      </c>
      <c r="G142" s="31">
        <f t="shared" si="87"/>
        <v>0</v>
      </c>
      <c r="H142" s="31">
        <f t="shared" si="88"/>
        <v>0</v>
      </c>
      <c r="I142" s="32">
        <f t="shared" si="89"/>
        <v>0</v>
      </c>
      <c r="N142" t="s">
        <v>351</v>
      </c>
      <c r="R142" s="32" t="str">
        <f t="shared" ref="R142:R205" si="90">IFERROR(MID($N142,SEARCH(A$1&amp;"(",$N142)+LEN(A$1)+1,LEN($N142)),0)</f>
        <v>5)Hex(7)Fuc(1)</v>
      </c>
      <c r="S142" s="32" t="str">
        <f t="shared" ref="S142:S205" si="91">IFERROR(MID($N142,SEARCH(B$1&amp;"(",$N142)+LEN(B$1)+1,LEN($N142)),0)</f>
        <v>7)Fuc(1)</v>
      </c>
      <c r="T142" s="32" t="str">
        <f t="shared" ref="T142:T205" si="92">IFERROR(MID($N142,SEARCH(C$1&amp;"(",$N142)+LEN(C$1)+1,LEN($N142)),0)</f>
        <v>1)</v>
      </c>
      <c r="U142" s="32">
        <f t="shared" ref="U142:U205" si="93">IFERROR(MID($N142,SEARCH(D$1&amp;"(",$N142)+LEN(D$1)+1,LEN($N142)),0)</f>
        <v>0</v>
      </c>
      <c r="V142" s="32">
        <f t="shared" ref="V142:V205" si="94">IFERROR(MID($N142,SEARCH(E$1&amp;"(",$N142)+LEN(E$1)+1,LEN($N142)),0)</f>
        <v>0</v>
      </c>
      <c r="W142" s="32">
        <f t="shared" ref="W142:W205" si="95">IFERROR(MID($N142,SEARCH(F$1&amp;"(",$N142)+LEN(F$1)+1,LEN($N142)),0)</f>
        <v>0</v>
      </c>
      <c r="X142" s="32">
        <f t="shared" ref="X142:X205" si="96">IFERROR(MID($N142,SEARCH(G$1&amp;"(",$N142)+LEN(G$1)+1,LEN($N142)),0)</f>
        <v>0</v>
      </c>
      <c r="Y142" s="32">
        <f t="shared" ref="Y142:Y205" si="97">IFERROR(MID($N142,SEARCH(H$1&amp;"(",$N142)+LEN(H$1)+1,LEN($N142)),0)</f>
        <v>0</v>
      </c>
      <c r="Z142" s="32">
        <f t="shared" ref="Z142:Z205" si="98">IFERROR(MID($N142,SEARCH(I$1&amp;"(",$N142)+LEN(I$1)+1,LEN($N142)),0)</f>
        <v>0</v>
      </c>
    </row>
    <row r="143" spans="1:26" x14ac:dyDescent="0.25">
      <c r="A143" s="30" t="str">
        <f t="shared" si="81"/>
        <v>6</v>
      </c>
      <c r="B143" s="30" t="str">
        <f t="shared" si="82"/>
        <v>3</v>
      </c>
      <c r="C143" s="30" t="str">
        <f t="shared" si="83"/>
        <v>2</v>
      </c>
      <c r="D143" s="31">
        <f t="shared" si="84"/>
        <v>0</v>
      </c>
      <c r="E143" s="31">
        <f t="shared" si="85"/>
        <v>1</v>
      </c>
      <c r="F143" s="32">
        <f t="shared" si="86"/>
        <v>1</v>
      </c>
      <c r="G143" s="31">
        <f t="shared" si="87"/>
        <v>0</v>
      </c>
      <c r="H143" s="31">
        <f t="shared" si="88"/>
        <v>0</v>
      </c>
      <c r="I143" s="32">
        <f t="shared" si="89"/>
        <v>0</v>
      </c>
      <c r="N143" t="s">
        <v>352</v>
      </c>
      <c r="R143" s="32" t="str">
        <f t="shared" si="90"/>
        <v>6)Hex(3)Fuc(2)NeuGc(1)</v>
      </c>
      <c r="S143" s="32" t="str">
        <f t="shared" si="91"/>
        <v>3)Fuc(2)NeuGc(1)</v>
      </c>
      <c r="T143" s="32" t="str">
        <f t="shared" si="92"/>
        <v>2)NeuGc(1)</v>
      </c>
      <c r="U143" s="32">
        <f t="shared" si="93"/>
        <v>0</v>
      </c>
      <c r="V143" s="32" t="str">
        <f t="shared" si="94"/>
        <v>1)</v>
      </c>
      <c r="W143" s="32">
        <f t="shared" si="95"/>
        <v>0</v>
      </c>
      <c r="X143" s="32">
        <f t="shared" si="96"/>
        <v>0</v>
      </c>
      <c r="Y143" s="32">
        <f t="shared" si="97"/>
        <v>0</v>
      </c>
      <c r="Z143" s="32">
        <f t="shared" si="98"/>
        <v>0</v>
      </c>
    </row>
    <row r="144" spans="1:26" x14ac:dyDescent="0.25">
      <c r="A144" s="30" t="str">
        <f t="shared" si="81"/>
        <v>5</v>
      </c>
      <c r="B144" s="30" t="str">
        <f t="shared" si="82"/>
        <v>8</v>
      </c>
      <c r="C144" s="30">
        <f t="shared" si="83"/>
        <v>0</v>
      </c>
      <c r="D144" s="31">
        <f t="shared" si="84"/>
        <v>0</v>
      </c>
      <c r="E144" s="31">
        <f t="shared" si="85"/>
        <v>0</v>
      </c>
      <c r="F144" s="32">
        <f t="shared" si="86"/>
        <v>0</v>
      </c>
      <c r="G144" s="31">
        <f t="shared" si="87"/>
        <v>0</v>
      </c>
      <c r="H144" s="31">
        <f t="shared" si="88"/>
        <v>0</v>
      </c>
      <c r="I144" s="32">
        <f t="shared" si="89"/>
        <v>0</v>
      </c>
      <c r="N144" t="s">
        <v>353</v>
      </c>
      <c r="R144" s="32" t="str">
        <f t="shared" si="90"/>
        <v>5)Hex(8)</v>
      </c>
      <c r="S144" s="32" t="str">
        <f t="shared" si="91"/>
        <v>8)</v>
      </c>
      <c r="T144" s="32">
        <f t="shared" si="92"/>
        <v>0</v>
      </c>
      <c r="U144" s="32">
        <f t="shared" si="93"/>
        <v>0</v>
      </c>
      <c r="V144" s="32">
        <f t="shared" si="94"/>
        <v>0</v>
      </c>
      <c r="W144" s="32">
        <f t="shared" si="95"/>
        <v>0</v>
      </c>
      <c r="X144" s="32">
        <f t="shared" si="96"/>
        <v>0</v>
      </c>
      <c r="Y144" s="32">
        <f t="shared" si="97"/>
        <v>0</v>
      </c>
      <c r="Z144" s="32">
        <f t="shared" si="98"/>
        <v>0</v>
      </c>
    </row>
    <row r="145" spans="1:26" x14ac:dyDescent="0.25">
      <c r="A145" s="30" t="str">
        <f t="shared" si="81"/>
        <v>9</v>
      </c>
      <c r="B145" s="30" t="str">
        <f t="shared" si="82"/>
        <v>3</v>
      </c>
      <c r="C145" s="30">
        <f t="shared" si="83"/>
        <v>0</v>
      </c>
      <c r="D145" s="31">
        <f t="shared" si="84"/>
        <v>0</v>
      </c>
      <c r="E145" s="31">
        <f t="shared" si="85"/>
        <v>0</v>
      </c>
      <c r="F145" s="32">
        <f t="shared" si="86"/>
        <v>0</v>
      </c>
      <c r="G145" s="31">
        <f t="shared" si="87"/>
        <v>0</v>
      </c>
      <c r="H145" s="31">
        <f t="shared" si="88"/>
        <v>0</v>
      </c>
      <c r="I145" s="32">
        <f t="shared" si="89"/>
        <v>0</v>
      </c>
      <c r="N145" t="s">
        <v>354</v>
      </c>
      <c r="R145" s="32" t="str">
        <f t="shared" si="90"/>
        <v>9)Hex(3)</v>
      </c>
      <c r="S145" s="32" t="str">
        <f t="shared" si="91"/>
        <v>3)</v>
      </c>
      <c r="T145" s="32">
        <f t="shared" si="92"/>
        <v>0</v>
      </c>
      <c r="U145" s="32">
        <f t="shared" si="93"/>
        <v>0</v>
      </c>
      <c r="V145" s="32">
        <f t="shared" si="94"/>
        <v>0</v>
      </c>
      <c r="W145" s="32">
        <f t="shared" si="95"/>
        <v>0</v>
      </c>
      <c r="X145" s="32">
        <f t="shared" si="96"/>
        <v>0</v>
      </c>
      <c r="Y145" s="32">
        <f t="shared" si="97"/>
        <v>0</v>
      </c>
      <c r="Z145" s="32">
        <f t="shared" si="98"/>
        <v>0</v>
      </c>
    </row>
    <row r="146" spans="1:26" x14ac:dyDescent="0.25">
      <c r="A146" s="30" t="str">
        <f t="shared" si="81"/>
        <v>6</v>
      </c>
      <c r="B146" s="30" t="str">
        <f t="shared" si="82"/>
        <v>5</v>
      </c>
      <c r="C146" s="30" t="str">
        <f t="shared" si="83"/>
        <v>2</v>
      </c>
      <c r="D146" s="31">
        <f t="shared" si="84"/>
        <v>0</v>
      </c>
      <c r="E146" s="31">
        <f t="shared" si="85"/>
        <v>0</v>
      </c>
      <c r="F146" s="32">
        <f t="shared" si="86"/>
        <v>0</v>
      </c>
      <c r="G146" s="31">
        <f t="shared" si="87"/>
        <v>0</v>
      </c>
      <c r="H146" s="31">
        <f t="shared" si="88"/>
        <v>0</v>
      </c>
      <c r="I146" s="32">
        <f t="shared" si="89"/>
        <v>0</v>
      </c>
      <c r="N146" t="s">
        <v>355</v>
      </c>
      <c r="R146" s="32" t="str">
        <f t="shared" si="90"/>
        <v>6)Hex(5)Fuc(2)</v>
      </c>
      <c r="S146" s="32" t="str">
        <f t="shared" si="91"/>
        <v>5)Fuc(2)</v>
      </c>
      <c r="T146" s="32" t="str">
        <f t="shared" si="92"/>
        <v>2)</v>
      </c>
      <c r="U146" s="32">
        <f t="shared" si="93"/>
        <v>0</v>
      </c>
      <c r="V146" s="32">
        <f t="shared" si="94"/>
        <v>0</v>
      </c>
      <c r="W146" s="32">
        <f t="shared" si="95"/>
        <v>0</v>
      </c>
      <c r="X146" s="32">
        <f t="shared" si="96"/>
        <v>0</v>
      </c>
      <c r="Y146" s="32">
        <f t="shared" si="97"/>
        <v>0</v>
      </c>
      <c r="Z146" s="32">
        <f t="shared" si="98"/>
        <v>0</v>
      </c>
    </row>
    <row r="147" spans="1:26" x14ac:dyDescent="0.25">
      <c r="A147" s="30" t="str">
        <f t="shared" si="81"/>
        <v>6</v>
      </c>
      <c r="B147" s="30" t="str">
        <f t="shared" si="82"/>
        <v>6</v>
      </c>
      <c r="C147" s="30" t="str">
        <f t="shared" si="83"/>
        <v>1</v>
      </c>
      <c r="D147" s="31">
        <f t="shared" si="84"/>
        <v>0</v>
      </c>
      <c r="E147" s="31">
        <f t="shared" si="85"/>
        <v>0</v>
      </c>
      <c r="F147" s="32">
        <f t="shared" si="86"/>
        <v>0</v>
      </c>
      <c r="G147" s="31">
        <f t="shared" si="87"/>
        <v>0</v>
      </c>
      <c r="H147" s="31">
        <f t="shared" si="88"/>
        <v>0</v>
      </c>
      <c r="I147" s="32">
        <f t="shared" si="89"/>
        <v>0</v>
      </c>
      <c r="N147" t="s">
        <v>356</v>
      </c>
      <c r="R147" s="32" t="str">
        <f t="shared" si="90"/>
        <v>6)Hex(6)Fuc(1)</v>
      </c>
      <c r="S147" s="32" t="str">
        <f t="shared" si="91"/>
        <v>6)Fuc(1)</v>
      </c>
      <c r="T147" s="32" t="str">
        <f t="shared" si="92"/>
        <v>1)</v>
      </c>
      <c r="U147" s="32">
        <f t="shared" si="93"/>
        <v>0</v>
      </c>
      <c r="V147" s="32">
        <f t="shared" si="94"/>
        <v>0</v>
      </c>
      <c r="W147" s="32">
        <f t="shared" si="95"/>
        <v>0</v>
      </c>
      <c r="X147" s="32">
        <f t="shared" si="96"/>
        <v>0</v>
      </c>
      <c r="Y147" s="32">
        <f t="shared" si="97"/>
        <v>0</v>
      </c>
      <c r="Z147" s="32">
        <f t="shared" si="98"/>
        <v>0</v>
      </c>
    </row>
    <row r="148" spans="1:26" x14ac:dyDescent="0.25">
      <c r="A148" s="30" t="str">
        <f t="shared" si="81"/>
        <v>2</v>
      </c>
      <c r="B148" s="30" t="str">
        <f t="shared" si="82"/>
        <v>12</v>
      </c>
      <c r="C148" s="30">
        <f t="shared" si="83"/>
        <v>0</v>
      </c>
      <c r="D148" s="31">
        <f t="shared" si="84"/>
        <v>0</v>
      </c>
      <c r="E148" s="31">
        <f t="shared" si="85"/>
        <v>0</v>
      </c>
      <c r="F148" s="32">
        <f t="shared" si="86"/>
        <v>0</v>
      </c>
      <c r="G148" s="31">
        <f t="shared" si="87"/>
        <v>0</v>
      </c>
      <c r="H148" s="31">
        <f t="shared" si="88"/>
        <v>0</v>
      </c>
      <c r="I148" s="32">
        <f t="shared" si="89"/>
        <v>0</v>
      </c>
      <c r="N148" t="s">
        <v>357</v>
      </c>
      <c r="R148" s="32" t="str">
        <f t="shared" si="90"/>
        <v>2)Hex(12)</v>
      </c>
      <c r="S148" s="32" t="str">
        <f t="shared" si="91"/>
        <v>12)</v>
      </c>
      <c r="T148" s="32">
        <f t="shared" si="92"/>
        <v>0</v>
      </c>
      <c r="U148" s="32">
        <f t="shared" si="93"/>
        <v>0</v>
      </c>
      <c r="V148" s="32">
        <f t="shared" si="94"/>
        <v>0</v>
      </c>
      <c r="W148" s="32">
        <f t="shared" si="95"/>
        <v>0</v>
      </c>
      <c r="X148" s="32">
        <f t="shared" si="96"/>
        <v>0</v>
      </c>
      <c r="Y148" s="32">
        <f t="shared" si="97"/>
        <v>0</v>
      </c>
      <c r="Z148" s="32">
        <f t="shared" si="98"/>
        <v>0</v>
      </c>
    </row>
    <row r="149" spans="1:26" x14ac:dyDescent="0.25">
      <c r="A149" s="30" t="str">
        <f t="shared" si="81"/>
        <v>4</v>
      </c>
      <c r="B149" s="30" t="str">
        <f t="shared" si="82"/>
        <v>5</v>
      </c>
      <c r="C149" s="30" t="str">
        <f t="shared" si="83"/>
        <v>1</v>
      </c>
      <c r="D149" s="31">
        <f t="shared" si="84"/>
        <v>2</v>
      </c>
      <c r="E149" s="31">
        <f t="shared" si="85"/>
        <v>0</v>
      </c>
      <c r="F149" s="32">
        <f t="shared" si="86"/>
        <v>2</v>
      </c>
      <c r="G149" s="31">
        <f t="shared" si="87"/>
        <v>0</v>
      </c>
      <c r="H149" s="31">
        <f t="shared" si="88"/>
        <v>0</v>
      </c>
      <c r="I149" s="32">
        <f t="shared" si="89"/>
        <v>0</v>
      </c>
      <c r="N149" t="s">
        <v>358</v>
      </c>
      <c r="R149" s="32" t="str">
        <f t="shared" si="90"/>
        <v>4)Hex(5)Fuc(1)NeuAc(2)</v>
      </c>
      <c r="S149" s="32" t="str">
        <f t="shared" si="91"/>
        <v>5)Fuc(1)NeuAc(2)</v>
      </c>
      <c r="T149" s="32" t="str">
        <f t="shared" si="92"/>
        <v>1)NeuAc(2)</v>
      </c>
      <c r="U149" s="32" t="str">
        <f t="shared" si="93"/>
        <v>2)</v>
      </c>
      <c r="V149" s="32">
        <f t="shared" si="94"/>
        <v>0</v>
      </c>
      <c r="W149" s="32">
        <f t="shared" si="95"/>
        <v>0</v>
      </c>
      <c r="X149" s="32">
        <f t="shared" si="96"/>
        <v>0</v>
      </c>
      <c r="Y149" s="32">
        <f t="shared" si="97"/>
        <v>0</v>
      </c>
      <c r="Z149" s="32">
        <f t="shared" si="98"/>
        <v>0</v>
      </c>
    </row>
    <row r="150" spans="1:26" x14ac:dyDescent="0.25">
      <c r="A150" s="30" t="str">
        <f t="shared" si="81"/>
        <v>6</v>
      </c>
      <c r="B150" s="30" t="str">
        <f t="shared" si="82"/>
        <v>7</v>
      </c>
      <c r="C150" s="30">
        <f t="shared" si="83"/>
        <v>0</v>
      </c>
      <c r="D150" s="31">
        <f t="shared" si="84"/>
        <v>0</v>
      </c>
      <c r="E150" s="31">
        <f t="shared" si="85"/>
        <v>0</v>
      </c>
      <c r="F150" s="32">
        <f t="shared" si="86"/>
        <v>0</v>
      </c>
      <c r="G150" s="31">
        <f t="shared" si="87"/>
        <v>0</v>
      </c>
      <c r="H150" s="31">
        <f t="shared" si="88"/>
        <v>0</v>
      </c>
      <c r="I150" s="32">
        <f t="shared" si="89"/>
        <v>0</v>
      </c>
      <c r="N150" t="s">
        <v>359</v>
      </c>
      <c r="R150" s="32" t="str">
        <f t="shared" si="90"/>
        <v>6)Hex(7)</v>
      </c>
      <c r="S150" s="32" t="str">
        <f t="shared" si="91"/>
        <v>7)</v>
      </c>
      <c r="T150" s="32">
        <f t="shared" si="92"/>
        <v>0</v>
      </c>
      <c r="U150" s="32">
        <f t="shared" si="93"/>
        <v>0</v>
      </c>
      <c r="V150" s="32">
        <f t="shared" si="94"/>
        <v>0</v>
      </c>
      <c r="W150" s="32">
        <f t="shared" si="95"/>
        <v>0</v>
      </c>
      <c r="X150" s="32">
        <f t="shared" si="96"/>
        <v>0</v>
      </c>
      <c r="Y150" s="32">
        <f t="shared" si="97"/>
        <v>0</v>
      </c>
      <c r="Z150" s="32">
        <f t="shared" si="98"/>
        <v>0</v>
      </c>
    </row>
    <row r="151" spans="1:26" x14ac:dyDescent="0.25">
      <c r="A151" s="30" t="str">
        <f t="shared" si="81"/>
        <v>7</v>
      </c>
      <c r="B151" s="30" t="str">
        <f t="shared" si="82"/>
        <v>4</v>
      </c>
      <c r="C151" s="30" t="str">
        <f t="shared" si="83"/>
        <v>2</v>
      </c>
      <c r="D151" s="31">
        <f t="shared" si="84"/>
        <v>0</v>
      </c>
      <c r="E151" s="31">
        <f t="shared" si="85"/>
        <v>0</v>
      </c>
      <c r="F151" s="32">
        <f t="shared" si="86"/>
        <v>0</v>
      </c>
      <c r="G151" s="31">
        <f t="shared" si="87"/>
        <v>0</v>
      </c>
      <c r="H151" s="31">
        <f t="shared" si="88"/>
        <v>0</v>
      </c>
      <c r="I151" s="32">
        <f t="shared" si="89"/>
        <v>0</v>
      </c>
      <c r="N151" t="s">
        <v>360</v>
      </c>
      <c r="R151" s="32" t="str">
        <f t="shared" si="90"/>
        <v>7)Hex(4)Fuc(2)</v>
      </c>
      <c r="S151" s="32" t="str">
        <f t="shared" si="91"/>
        <v>4)Fuc(2)</v>
      </c>
      <c r="T151" s="32" t="str">
        <f t="shared" si="92"/>
        <v>2)</v>
      </c>
      <c r="U151" s="32">
        <f t="shared" si="93"/>
        <v>0</v>
      </c>
      <c r="V151" s="32">
        <f t="shared" si="94"/>
        <v>0</v>
      </c>
      <c r="W151" s="32">
        <f t="shared" si="95"/>
        <v>0</v>
      </c>
      <c r="X151" s="32">
        <f t="shared" si="96"/>
        <v>0</v>
      </c>
      <c r="Y151" s="32">
        <f t="shared" si="97"/>
        <v>0</v>
      </c>
      <c r="Z151" s="32">
        <f t="shared" si="98"/>
        <v>0</v>
      </c>
    </row>
    <row r="152" spans="1:26" x14ac:dyDescent="0.25">
      <c r="A152" s="30" t="str">
        <f t="shared" si="81"/>
        <v>4</v>
      </c>
      <c r="B152" s="30" t="str">
        <f t="shared" si="82"/>
        <v>5</v>
      </c>
      <c r="C152" s="30" t="str">
        <f t="shared" si="83"/>
        <v>1</v>
      </c>
      <c r="D152" s="31">
        <f t="shared" si="84"/>
        <v>1</v>
      </c>
      <c r="E152" s="31">
        <f t="shared" si="85"/>
        <v>1</v>
      </c>
      <c r="F152" s="32">
        <f t="shared" si="86"/>
        <v>2</v>
      </c>
      <c r="G152" s="31">
        <f t="shared" si="87"/>
        <v>0</v>
      </c>
      <c r="H152" s="31">
        <f t="shared" si="88"/>
        <v>0</v>
      </c>
      <c r="I152" s="32">
        <f t="shared" si="89"/>
        <v>0</v>
      </c>
      <c r="N152" t="s">
        <v>361</v>
      </c>
      <c r="R152" s="32" t="str">
        <f t="shared" si="90"/>
        <v>4)Hex(5)Fuc(1)NeuAc(1)NeuGc(1)</v>
      </c>
      <c r="S152" s="32" t="str">
        <f t="shared" si="91"/>
        <v>5)Fuc(1)NeuAc(1)NeuGc(1)</v>
      </c>
      <c r="T152" s="32" t="str">
        <f t="shared" si="92"/>
        <v>1)NeuAc(1)NeuGc(1)</v>
      </c>
      <c r="U152" s="32" t="str">
        <f t="shared" si="93"/>
        <v>1)NeuGc(1)</v>
      </c>
      <c r="V152" s="32" t="str">
        <f t="shared" si="94"/>
        <v>1)</v>
      </c>
      <c r="W152" s="32">
        <f t="shared" si="95"/>
        <v>0</v>
      </c>
      <c r="X152" s="32">
        <f t="shared" si="96"/>
        <v>0</v>
      </c>
      <c r="Y152" s="32">
        <f t="shared" si="97"/>
        <v>0</v>
      </c>
      <c r="Z152" s="32">
        <f t="shared" si="98"/>
        <v>0</v>
      </c>
    </row>
    <row r="153" spans="1:26" x14ac:dyDescent="0.25">
      <c r="A153" s="30" t="str">
        <f t="shared" si="81"/>
        <v>4</v>
      </c>
      <c r="B153" s="30" t="str">
        <f t="shared" si="82"/>
        <v>5</v>
      </c>
      <c r="C153" s="30" t="str">
        <f t="shared" si="83"/>
        <v>1</v>
      </c>
      <c r="D153" s="31">
        <f t="shared" si="84"/>
        <v>0</v>
      </c>
      <c r="E153" s="31">
        <f t="shared" si="85"/>
        <v>2</v>
      </c>
      <c r="F153" s="32">
        <f t="shared" si="86"/>
        <v>2</v>
      </c>
      <c r="G153" s="31">
        <f t="shared" si="87"/>
        <v>0</v>
      </c>
      <c r="H153" s="31">
        <f t="shared" si="88"/>
        <v>0</v>
      </c>
      <c r="I153" s="32">
        <f t="shared" si="89"/>
        <v>0</v>
      </c>
      <c r="N153" t="s">
        <v>362</v>
      </c>
      <c r="R153" s="32" t="str">
        <f t="shared" si="90"/>
        <v>4)Hex(5)Fuc(1)NeuGc(2)</v>
      </c>
      <c r="S153" s="32" t="str">
        <f t="shared" si="91"/>
        <v>5)Fuc(1)NeuGc(2)</v>
      </c>
      <c r="T153" s="32" t="str">
        <f t="shared" si="92"/>
        <v>1)NeuGc(2)</v>
      </c>
      <c r="U153" s="32">
        <f t="shared" si="93"/>
        <v>0</v>
      </c>
      <c r="V153" s="32" t="str">
        <f t="shared" si="94"/>
        <v>2)</v>
      </c>
      <c r="W153" s="32">
        <f t="shared" si="95"/>
        <v>0</v>
      </c>
      <c r="X153" s="32">
        <f t="shared" si="96"/>
        <v>0</v>
      </c>
      <c r="Y153" s="32">
        <f t="shared" si="97"/>
        <v>0</v>
      </c>
      <c r="Z153" s="32">
        <f t="shared" si="98"/>
        <v>0</v>
      </c>
    </row>
    <row r="154" spans="1:26" x14ac:dyDescent="0.25">
      <c r="A154" s="30" t="str">
        <f t="shared" si="81"/>
        <v>5</v>
      </c>
      <c r="B154" s="30" t="str">
        <f t="shared" si="82"/>
        <v>4</v>
      </c>
      <c r="C154" s="30" t="str">
        <f t="shared" si="83"/>
        <v>1</v>
      </c>
      <c r="D154" s="31">
        <f t="shared" si="84"/>
        <v>2</v>
      </c>
      <c r="E154" s="31">
        <f t="shared" si="85"/>
        <v>0</v>
      </c>
      <c r="F154" s="32">
        <f t="shared" si="86"/>
        <v>2</v>
      </c>
      <c r="G154" s="31">
        <f t="shared" si="87"/>
        <v>0</v>
      </c>
      <c r="H154" s="31">
        <f t="shared" si="88"/>
        <v>0</v>
      </c>
      <c r="I154" s="32">
        <f t="shared" si="89"/>
        <v>0</v>
      </c>
      <c r="N154" t="s">
        <v>363</v>
      </c>
      <c r="R154" s="32" t="str">
        <f t="shared" si="90"/>
        <v>5)Hex(4)Fuc(1)NeuAc(2)</v>
      </c>
      <c r="S154" s="32" t="str">
        <f t="shared" si="91"/>
        <v>4)Fuc(1)NeuAc(2)</v>
      </c>
      <c r="T154" s="32" t="str">
        <f t="shared" si="92"/>
        <v>1)NeuAc(2)</v>
      </c>
      <c r="U154" s="32" t="str">
        <f t="shared" si="93"/>
        <v>2)</v>
      </c>
      <c r="V154" s="32">
        <f t="shared" si="94"/>
        <v>0</v>
      </c>
      <c r="W154" s="32">
        <f t="shared" si="95"/>
        <v>0</v>
      </c>
      <c r="X154" s="32">
        <f t="shared" si="96"/>
        <v>0</v>
      </c>
      <c r="Y154" s="32">
        <f t="shared" si="97"/>
        <v>0</v>
      </c>
      <c r="Z154" s="32">
        <f t="shared" si="98"/>
        <v>0</v>
      </c>
    </row>
    <row r="155" spans="1:26" x14ac:dyDescent="0.25">
      <c r="A155" s="30" t="str">
        <f t="shared" si="81"/>
        <v>7</v>
      </c>
      <c r="B155" s="30" t="str">
        <f t="shared" si="82"/>
        <v>6</v>
      </c>
      <c r="C155" s="30">
        <f t="shared" si="83"/>
        <v>0</v>
      </c>
      <c r="D155" s="31">
        <f t="shared" si="84"/>
        <v>0</v>
      </c>
      <c r="E155" s="31">
        <f t="shared" si="85"/>
        <v>0</v>
      </c>
      <c r="F155" s="32">
        <f t="shared" si="86"/>
        <v>0</v>
      </c>
      <c r="G155" s="31">
        <f t="shared" si="87"/>
        <v>0</v>
      </c>
      <c r="H155" s="31">
        <f t="shared" si="88"/>
        <v>0</v>
      </c>
      <c r="I155" s="32">
        <f t="shared" si="89"/>
        <v>0</v>
      </c>
      <c r="N155" t="s">
        <v>364</v>
      </c>
      <c r="R155" s="32" t="str">
        <f t="shared" si="90"/>
        <v>7)Hex(6)</v>
      </c>
      <c r="S155" s="32" t="str">
        <f t="shared" si="91"/>
        <v>6)</v>
      </c>
      <c r="T155" s="32">
        <f t="shared" si="92"/>
        <v>0</v>
      </c>
      <c r="U155" s="32">
        <f t="shared" si="93"/>
        <v>0</v>
      </c>
      <c r="V155" s="32">
        <f t="shared" si="94"/>
        <v>0</v>
      </c>
      <c r="W155" s="32">
        <f t="shared" si="95"/>
        <v>0</v>
      </c>
      <c r="X155" s="32">
        <f t="shared" si="96"/>
        <v>0</v>
      </c>
      <c r="Y155" s="32">
        <f t="shared" si="97"/>
        <v>0</v>
      </c>
      <c r="Z155" s="32">
        <f t="shared" si="98"/>
        <v>0</v>
      </c>
    </row>
    <row r="156" spans="1:26" x14ac:dyDescent="0.25">
      <c r="A156" s="30" t="str">
        <f t="shared" si="81"/>
        <v>5</v>
      </c>
      <c r="B156" s="30" t="str">
        <f t="shared" si="82"/>
        <v>5</v>
      </c>
      <c r="C156" s="30">
        <f t="shared" si="83"/>
        <v>0</v>
      </c>
      <c r="D156" s="31">
        <f t="shared" si="84"/>
        <v>2</v>
      </c>
      <c r="E156" s="31">
        <f t="shared" si="85"/>
        <v>0</v>
      </c>
      <c r="F156" s="32">
        <f t="shared" si="86"/>
        <v>2</v>
      </c>
      <c r="G156" s="31">
        <f t="shared" si="87"/>
        <v>0</v>
      </c>
      <c r="H156" s="31">
        <f t="shared" si="88"/>
        <v>0</v>
      </c>
      <c r="I156" s="32">
        <f t="shared" si="89"/>
        <v>0</v>
      </c>
      <c r="N156" t="s">
        <v>365</v>
      </c>
      <c r="R156" s="32" t="str">
        <f t="shared" si="90"/>
        <v>5)Hex(5)NeuAc(2)</v>
      </c>
      <c r="S156" s="32" t="str">
        <f t="shared" si="91"/>
        <v>5)NeuAc(2)</v>
      </c>
      <c r="T156" s="32">
        <f t="shared" si="92"/>
        <v>0</v>
      </c>
      <c r="U156" s="32" t="str">
        <f t="shared" si="93"/>
        <v>2)</v>
      </c>
      <c r="V156" s="32">
        <f t="shared" si="94"/>
        <v>0</v>
      </c>
      <c r="W156" s="32">
        <f t="shared" si="95"/>
        <v>0</v>
      </c>
      <c r="X156" s="32">
        <f t="shared" si="96"/>
        <v>0</v>
      </c>
      <c r="Y156" s="32">
        <f t="shared" si="97"/>
        <v>0</v>
      </c>
      <c r="Z156" s="32">
        <f t="shared" si="98"/>
        <v>0</v>
      </c>
    </row>
    <row r="157" spans="1:26" x14ac:dyDescent="0.25">
      <c r="A157" s="30" t="str">
        <f t="shared" si="81"/>
        <v>5</v>
      </c>
      <c r="B157" s="30" t="str">
        <f t="shared" si="82"/>
        <v>4</v>
      </c>
      <c r="C157" s="30" t="str">
        <f t="shared" si="83"/>
        <v>1</v>
      </c>
      <c r="D157" s="31">
        <f t="shared" si="84"/>
        <v>1</v>
      </c>
      <c r="E157" s="31">
        <f t="shared" si="85"/>
        <v>1</v>
      </c>
      <c r="F157" s="32">
        <f t="shared" si="86"/>
        <v>2</v>
      </c>
      <c r="G157" s="31">
        <f t="shared" si="87"/>
        <v>0</v>
      </c>
      <c r="H157" s="31">
        <f t="shared" si="88"/>
        <v>0</v>
      </c>
      <c r="I157" s="32">
        <f t="shared" si="89"/>
        <v>0</v>
      </c>
      <c r="N157" t="s">
        <v>366</v>
      </c>
      <c r="R157" s="32" t="str">
        <f t="shared" si="90"/>
        <v>5)Hex(4)Fuc(1)NeuAc(1)NeuGc(1)</v>
      </c>
      <c r="S157" s="32" t="str">
        <f t="shared" si="91"/>
        <v>4)Fuc(1)NeuAc(1)NeuGc(1)</v>
      </c>
      <c r="T157" s="32" t="str">
        <f t="shared" si="92"/>
        <v>1)NeuAc(1)NeuGc(1)</v>
      </c>
      <c r="U157" s="32" t="str">
        <f t="shared" si="93"/>
        <v>1)NeuGc(1)</v>
      </c>
      <c r="V157" s="32" t="str">
        <f t="shared" si="94"/>
        <v>1)</v>
      </c>
      <c r="W157" s="32">
        <f t="shared" si="95"/>
        <v>0</v>
      </c>
      <c r="X157" s="32">
        <f t="shared" si="96"/>
        <v>0</v>
      </c>
      <c r="Y157" s="32">
        <f t="shared" si="97"/>
        <v>0</v>
      </c>
      <c r="Z157" s="32">
        <f t="shared" si="98"/>
        <v>0</v>
      </c>
    </row>
    <row r="158" spans="1:26" x14ac:dyDescent="0.25">
      <c r="A158" s="30" t="str">
        <f t="shared" si="81"/>
        <v>5</v>
      </c>
      <c r="B158" s="30" t="str">
        <f t="shared" si="82"/>
        <v>4</v>
      </c>
      <c r="C158" s="30" t="str">
        <f t="shared" si="83"/>
        <v>1</v>
      </c>
      <c r="D158" s="31">
        <f t="shared" si="84"/>
        <v>0</v>
      </c>
      <c r="E158" s="31">
        <f t="shared" si="85"/>
        <v>2</v>
      </c>
      <c r="F158" s="32">
        <f t="shared" si="86"/>
        <v>2</v>
      </c>
      <c r="G158" s="31">
        <f t="shared" si="87"/>
        <v>0</v>
      </c>
      <c r="H158" s="31">
        <f t="shared" si="88"/>
        <v>0</v>
      </c>
      <c r="I158" s="32">
        <f t="shared" si="89"/>
        <v>0</v>
      </c>
      <c r="N158" t="s">
        <v>367</v>
      </c>
      <c r="R158" s="32" t="str">
        <f t="shared" si="90"/>
        <v>5)Hex(4)Fuc(1)NeuGc(2)</v>
      </c>
      <c r="S158" s="32" t="str">
        <f t="shared" si="91"/>
        <v>4)Fuc(1)NeuGc(2)</v>
      </c>
      <c r="T158" s="32" t="str">
        <f t="shared" si="92"/>
        <v>1)NeuGc(2)</v>
      </c>
      <c r="U158" s="32">
        <f t="shared" si="93"/>
        <v>0</v>
      </c>
      <c r="V158" s="32" t="str">
        <f t="shared" si="94"/>
        <v>2)</v>
      </c>
      <c r="W158" s="32">
        <f t="shared" si="95"/>
        <v>0</v>
      </c>
      <c r="X158" s="32">
        <f t="shared" si="96"/>
        <v>0</v>
      </c>
      <c r="Y158" s="32">
        <f t="shared" si="97"/>
        <v>0</v>
      </c>
      <c r="Z158" s="32">
        <f t="shared" si="98"/>
        <v>0</v>
      </c>
    </row>
    <row r="159" spans="1:26" x14ac:dyDescent="0.25">
      <c r="A159" s="30" t="str">
        <f t="shared" si="81"/>
        <v>5</v>
      </c>
      <c r="B159" s="30" t="str">
        <f t="shared" si="82"/>
        <v>5</v>
      </c>
      <c r="C159" s="30">
        <f t="shared" si="83"/>
        <v>0</v>
      </c>
      <c r="D159" s="31">
        <f t="shared" si="84"/>
        <v>1</v>
      </c>
      <c r="E159" s="31">
        <f t="shared" si="85"/>
        <v>1</v>
      </c>
      <c r="F159" s="32">
        <f t="shared" si="86"/>
        <v>2</v>
      </c>
      <c r="G159" s="31">
        <f t="shared" si="87"/>
        <v>0</v>
      </c>
      <c r="H159" s="31">
        <f t="shared" si="88"/>
        <v>0</v>
      </c>
      <c r="I159" s="32">
        <f t="shared" si="89"/>
        <v>0</v>
      </c>
      <c r="N159" t="s">
        <v>368</v>
      </c>
      <c r="R159" s="32" t="str">
        <f t="shared" si="90"/>
        <v>5)Hex(5)NeuAc(1)NeuGc(1)</v>
      </c>
      <c r="S159" s="32" t="str">
        <f t="shared" si="91"/>
        <v>5)NeuAc(1)NeuGc(1)</v>
      </c>
      <c r="T159" s="32">
        <f t="shared" si="92"/>
        <v>0</v>
      </c>
      <c r="U159" s="32" t="str">
        <f t="shared" si="93"/>
        <v>1)NeuGc(1)</v>
      </c>
      <c r="V159" s="32" t="str">
        <f t="shared" si="94"/>
        <v>1)</v>
      </c>
      <c r="W159" s="32">
        <f t="shared" si="95"/>
        <v>0</v>
      </c>
      <c r="X159" s="32">
        <f t="shared" si="96"/>
        <v>0</v>
      </c>
      <c r="Y159" s="32">
        <f t="shared" si="97"/>
        <v>0</v>
      </c>
      <c r="Z159" s="32">
        <f t="shared" si="98"/>
        <v>0</v>
      </c>
    </row>
    <row r="160" spans="1:26" x14ac:dyDescent="0.25">
      <c r="A160" s="30" t="str">
        <f t="shared" si="81"/>
        <v>5</v>
      </c>
      <c r="B160" s="30" t="str">
        <f t="shared" si="82"/>
        <v>6</v>
      </c>
      <c r="C160" s="30" t="str">
        <f t="shared" si="83"/>
        <v>1</v>
      </c>
      <c r="D160" s="31">
        <f t="shared" si="84"/>
        <v>1</v>
      </c>
      <c r="E160" s="31">
        <f t="shared" si="85"/>
        <v>0</v>
      </c>
      <c r="F160" s="32">
        <f t="shared" si="86"/>
        <v>1</v>
      </c>
      <c r="G160" s="31">
        <f t="shared" si="87"/>
        <v>0</v>
      </c>
      <c r="H160" s="31">
        <f t="shared" si="88"/>
        <v>0</v>
      </c>
      <c r="I160" s="32">
        <f t="shared" si="89"/>
        <v>0</v>
      </c>
      <c r="N160" t="s">
        <v>369</v>
      </c>
      <c r="R160" s="32" t="str">
        <f t="shared" si="90"/>
        <v>5)Hex(6)Fuc(1)NeuAc(1)</v>
      </c>
      <c r="S160" s="32" t="str">
        <f t="shared" si="91"/>
        <v>6)Fuc(1)NeuAc(1)</v>
      </c>
      <c r="T160" s="32" t="str">
        <f t="shared" si="92"/>
        <v>1)NeuAc(1)</v>
      </c>
      <c r="U160" s="32" t="str">
        <f t="shared" si="93"/>
        <v>1)</v>
      </c>
      <c r="V160" s="32">
        <f t="shared" si="94"/>
        <v>0</v>
      </c>
      <c r="W160" s="32">
        <f t="shared" si="95"/>
        <v>0</v>
      </c>
      <c r="X160" s="32">
        <f t="shared" si="96"/>
        <v>0</v>
      </c>
      <c r="Y160" s="32">
        <f t="shared" si="97"/>
        <v>0</v>
      </c>
      <c r="Z160" s="32">
        <f t="shared" si="98"/>
        <v>0</v>
      </c>
    </row>
    <row r="161" spans="1:26" x14ac:dyDescent="0.25">
      <c r="A161" s="30" t="str">
        <f t="shared" si="81"/>
        <v>5</v>
      </c>
      <c r="B161" s="30" t="str">
        <f t="shared" si="82"/>
        <v>6</v>
      </c>
      <c r="C161" s="30" t="str">
        <f t="shared" si="83"/>
        <v>3</v>
      </c>
      <c r="D161" s="31">
        <f t="shared" si="84"/>
        <v>0</v>
      </c>
      <c r="E161" s="31">
        <f t="shared" si="85"/>
        <v>0</v>
      </c>
      <c r="F161" s="32">
        <f t="shared" si="86"/>
        <v>0</v>
      </c>
      <c r="G161" s="31">
        <f t="shared" si="87"/>
        <v>0</v>
      </c>
      <c r="H161" s="31">
        <f t="shared" si="88"/>
        <v>0</v>
      </c>
      <c r="I161" s="32">
        <f t="shared" si="89"/>
        <v>0</v>
      </c>
      <c r="N161" t="s">
        <v>370</v>
      </c>
      <c r="R161" s="32" t="str">
        <f t="shared" si="90"/>
        <v>5)Hex(6)Fuc(3)</v>
      </c>
      <c r="S161" s="32" t="str">
        <f t="shared" si="91"/>
        <v>6)Fuc(3)</v>
      </c>
      <c r="T161" s="32" t="str">
        <f t="shared" si="92"/>
        <v>3)</v>
      </c>
      <c r="U161" s="32">
        <f t="shared" si="93"/>
        <v>0</v>
      </c>
      <c r="V161" s="32">
        <f t="shared" si="94"/>
        <v>0</v>
      </c>
      <c r="W161" s="32">
        <f t="shared" si="95"/>
        <v>0</v>
      </c>
      <c r="X161" s="32">
        <f t="shared" si="96"/>
        <v>0</v>
      </c>
      <c r="Y161" s="32">
        <f t="shared" si="97"/>
        <v>0</v>
      </c>
      <c r="Z161" s="32">
        <f t="shared" si="98"/>
        <v>0</v>
      </c>
    </row>
    <row r="162" spans="1:26" x14ac:dyDescent="0.25">
      <c r="A162" s="30" t="str">
        <f t="shared" si="81"/>
        <v>6</v>
      </c>
      <c r="B162" s="30" t="str">
        <f t="shared" si="82"/>
        <v>3</v>
      </c>
      <c r="C162" s="30" t="str">
        <f t="shared" si="83"/>
        <v>1</v>
      </c>
      <c r="D162" s="31">
        <f t="shared" si="84"/>
        <v>2</v>
      </c>
      <c r="E162" s="31">
        <f t="shared" si="85"/>
        <v>0</v>
      </c>
      <c r="F162" s="32">
        <f t="shared" si="86"/>
        <v>2</v>
      </c>
      <c r="G162" s="31">
        <f t="shared" si="87"/>
        <v>0</v>
      </c>
      <c r="H162" s="31">
        <f t="shared" si="88"/>
        <v>0</v>
      </c>
      <c r="I162" s="32">
        <f t="shared" si="89"/>
        <v>0</v>
      </c>
      <c r="N162" t="s">
        <v>371</v>
      </c>
      <c r="R162" s="32" t="str">
        <f t="shared" si="90"/>
        <v>6)Hex(3)Fuc(1)NeuAc(2)</v>
      </c>
      <c r="S162" s="32" t="str">
        <f t="shared" si="91"/>
        <v>3)Fuc(1)NeuAc(2)</v>
      </c>
      <c r="T162" s="32" t="str">
        <f t="shared" si="92"/>
        <v>1)NeuAc(2)</v>
      </c>
      <c r="U162" s="32" t="str">
        <f t="shared" si="93"/>
        <v>2)</v>
      </c>
      <c r="V162" s="32">
        <f t="shared" si="94"/>
        <v>0</v>
      </c>
      <c r="W162" s="32">
        <f t="shared" si="95"/>
        <v>0</v>
      </c>
      <c r="X162" s="32">
        <f t="shared" si="96"/>
        <v>0</v>
      </c>
      <c r="Y162" s="32">
        <f t="shared" si="97"/>
        <v>0</v>
      </c>
      <c r="Z162" s="32">
        <f t="shared" si="98"/>
        <v>0</v>
      </c>
    </row>
    <row r="163" spans="1:26" x14ac:dyDescent="0.25">
      <c r="A163" s="30" t="str">
        <f t="shared" si="81"/>
        <v>8</v>
      </c>
      <c r="B163" s="30" t="str">
        <f t="shared" si="82"/>
        <v>5</v>
      </c>
      <c r="C163" s="30">
        <f t="shared" si="83"/>
        <v>0</v>
      </c>
      <c r="D163" s="31">
        <f t="shared" si="84"/>
        <v>0</v>
      </c>
      <c r="E163" s="31">
        <f t="shared" si="85"/>
        <v>0</v>
      </c>
      <c r="F163" s="32">
        <f t="shared" si="86"/>
        <v>0</v>
      </c>
      <c r="G163" s="31">
        <f t="shared" si="87"/>
        <v>0</v>
      </c>
      <c r="H163" s="31">
        <f t="shared" si="88"/>
        <v>0</v>
      </c>
      <c r="I163" s="32">
        <f t="shared" si="89"/>
        <v>0</v>
      </c>
      <c r="N163" t="s">
        <v>372</v>
      </c>
      <c r="R163" s="32" t="str">
        <f t="shared" si="90"/>
        <v>8)Hex(5)</v>
      </c>
      <c r="S163" s="32" t="str">
        <f t="shared" si="91"/>
        <v>5)</v>
      </c>
      <c r="T163" s="32">
        <f t="shared" si="92"/>
        <v>0</v>
      </c>
      <c r="U163" s="32">
        <f t="shared" si="93"/>
        <v>0</v>
      </c>
      <c r="V163" s="32">
        <f t="shared" si="94"/>
        <v>0</v>
      </c>
      <c r="W163" s="32">
        <f t="shared" si="95"/>
        <v>0</v>
      </c>
      <c r="X163" s="32">
        <f t="shared" si="96"/>
        <v>0</v>
      </c>
      <c r="Y163" s="32">
        <f t="shared" si="97"/>
        <v>0</v>
      </c>
      <c r="Z163" s="32">
        <f t="shared" si="98"/>
        <v>0</v>
      </c>
    </row>
    <row r="164" spans="1:26" x14ac:dyDescent="0.25">
      <c r="A164" s="30" t="str">
        <f t="shared" si="81"/>
        <v>5</v>
      </c>
      <c r="B164" s="30" t="str">
        <f t="shared" si="82"/>
        <v>5</v>
      </c>
      <c r="C164" s="30">
        <f t="shared" si="83"/>
        <v>0</v>
      </c>
      <c r="D164" s="31">
        <f t="shared" si="84"/>
        <v>0</v>
      </c>
      <c r="E164" s="31">
        <f t="shared" si="85"/>
        <v>2</v>
      </c>
      <c r="F164" s="32">
        <f t="shared" si="86"/>
        <v>2</v>
      </c>
      <c r="G164" s="31">
        <f t="shared" si="87"/>
        <v>0</v>
      </c>
      <c r="H164" s="31">
        <f t="shared" si="88"/>
        <v>0</v>
      </c>
      <c r="I164" s="32">
        <f t="shared" si="89"/>
        <v>0</v>
      </c>
      <c r="N164" t="s">
        <v>373</v>
      </c>
      <c r="R164" s="32" t="str">
        <f t="shared" si="90"/>
        <v>5)Hex(5)NeuGc(2)</v>
      </c>
      <c r="S164" s="32" t="str">
        <f t="shared" si="91"/>
        <v>5)NeuGc(2)</v>
      </c>
      <c r="T164" s="32">
        <f t="shared" si="92"/>
        <v>0</v>
      </c>
      <c r="U164" s="32">
        <f t="shared" si="93"/>
        <v>0</v>
      </c>
      <c r="V164" s="32" t="str">
        <f t="shared" si="94"/>
        <v>2)</v>
      </c>
      <c r="W164" s="32">
        <f t="shared" si="95"/>
        <v>0</v>
      </c>
      <c r="X164" s="32">
        <f t="shared" si="96"/>
        <v>0</v>
      </c>
      <c r="Y164" s="32">
        <f t="shared" si="97"/>
        <v>0</v>
      </c>
      <c r="Z164" s="32">
        <f t="shared" si="98"/>
        <v>0</v>
      </c>
    </row>
    <row r="165" spans="1:26" x14ac:dyDescent="0.25">
      <c r="A165" s="30" t="str">
        <f t="shared" si="81"/>
        <v>5</v>
      </c>
      <c r="B165" s="30" t="str">
        <f t="shared" si="82"/>
        <v>6</v>
      </c>
      <c r="C165" s="30" t="str">
        <f t="shared" si="83"/>
        <v>1</v>
      </c>
      <c r="D165" s="31">
        <f t="shared" si="84"/>
        <v>0</v>
      </c>
      <c r="E165" s="31">
        <f t="shared" si="85"/>
        <v>1</v>
      </c>
      <c r="F165" s="32">
        <f t="shared" si="86"/>
        <v>1</v>
      </c>
      <c r="G165" s="31">
        <f t="shared" si="87"/>
        <v>0</v>
      </c>
      <c r="H165" s="31">
        <f t="shared" si="88"/>
        <v>0</v>
      </c>
      <c r="I165" s="32">
        <f t="shared" si="89"/>
        <v>0</v>
      </c>
      <c r="N165" t="s">
        <v>374</v>
      </c>
      <c r="R165" s="32" t="str">
        <f t="shared" si="90"/>
        <v>5)Hex(6)Fuc(1)NeuGc(1)</v>
      </c>
      <c r="S165" s="32" t="str">
        <f t="shared" si="91"/>
        <v>6)Fuc(1)NeuGc(1)</v>
      </c>
      <c r="T165" s="32" t="str">
        <f t="shared" si="92"/>
        <v>1)NeuGc(1)</v>
      </c>
      <c r="U165" s="32">
        <f t="shared" si="93"/>
        <v>0</v>
      </c>
      <c r="V165" s="32" t="str">
        <f t="shared" si="94"/>
        <v>1)</v>
      </c>
      <c r="W165" s="32">
        <f t="shared" si="95"/>
        <v>0</v>
      </c>
      <c r="X165" s="32">
        <f t="shared" si="96"/>
        <v>0</v>
      </c>
      <c r="Y165" s="32">
        <f t="shared" si="97"/>
        <v>0</v>
      </c>
      <c r="Z165" s="32">
        <f t="shared" si="98"/>
        <v>0</v>
      </c>
    </row>
    <row r="166" spans="1:26" x14ac:dyDescent="0.25">
      <c r="A166" s="30" t="str">
        <f t="shared" si="81"/>
        <v>6</v>
      </c>
      <c r="B166" s="30" t="str">
        <f t="shared" si="82"/>
        <v>3</v>
      </c>
      <c r="C166" s="30" t="str">
        <f t="shared" si="83"/>
        <v>1</v>
      </c>
      <c r="D166" s="31">
        <f t="shared" si="84"/>
        <v>1</v>
      </c>
      <c r="E166" s="31">
        <f t="shared" si="85"/>
        <v>1</v>
      </c>
      <c r="F166" s="32">
        <f t="shared" si="86"/>
        <v>2</v>
      </c>
      <c r="G166" s="31">
        <f t="shared" si="87"/>
        <v>0</v>
      </c>
      <c r="H166" s="31">
        <f t="shared" si="88"/>
        <v>0</v>
      </c>
      <c r="I166" s="32">
        <f t="shared" si="89"/>
        <v>0</v>
      </c>
      <c r="N166" t="s">
        <v>375</v>
      </c>
      <c r="R166" s="32" t="str">
        <f t="shared" si="90"/>
        <v>6)Hex(3)Fuc(1)NeuAc(1)NeuGc(1)</v>
      </c>
      <c r="S166" s="32" t="str">
        <f t="shared" si="91"/>
        <v>3)Fuc(1)NeuAc(1)NeuGc(1)</v>
      </c>
      <c r="T166" s="32" t="str">
        <f t="shared" si="92"/>
        <v>1)NeuAc(1)NeuGc(1)</v>
      </c>
      <c r="U166" s="32" t="str">
        <f t="shared" si="93"/>
        <v>1)NeuGc(1)</v>
      </c>
      <c r="V166" s="32" t="str">
        <f t="shared" si="94"/>
        <v>1)</v>
      </c>
      <c r="W166" s="32">
        <f t="shared" si="95"/>
        <v>0</v>
      </c>
      <c r="X166" s="32">
        <f t="shared" si="96"/>
        <v>0</v>
      </c>
      <c r="Y166" s="32">
        <f t="shared" si="97"/>
        <v>0</v>
      </c>
      <c r="Z166" s="32">
        <f t="shared" si="98"/>
        <v>0</v>
      </c>
    </row>
    <row r="167" spans="1:26" x14ac:dyDescent="0.25">
      <c r="A167" s="30" t="str">
        <f t="shared" si="81"/>
        <v>5</v>
      </c>
      <c r="B167" s="30" t="str">
        <f t="shared" si="82"/>
        <v>8</v>
      </c>
      <c r="C167" s="30" t="str">
        <f t="shared" si="83"/>
        <v>1</v>
      </c>
      <c r="D167" s="31">
        <f t="shared" si="84"/>
        <v>0</v>
      </c>
      <c r="E167" s="31">
        <f t="shared" si="85"/>
        <v>0</v>
      </c>
      <c r="F167" s="32">
        <f t="shared" si="86"/>
        <v>0</v>
      </c>
      <c r="G167" s="31">
        <f t="shared" si="87"/>
        <v>0</v>
      </c>
      <c r="H167" s="31">
        <f t="shared" si="88"/>
        <v>0</v>
      </c>
      <c r="I167" s="32">
        <f t="shared" si="89"/>
        <v>0</v>
      </c>
      <c r="N167" t="s">
        <v>376</v>
      </c>
      <c r="R167" s="32" t="str">
        <f t="shared" si="90"/>
        <v>5)Hex(8)Fuc(1)</v>
      </c>
      <c r="S167" s="32" t="str">
        <f t="shared" si="91"/>
        <v>8)Fuc(1)</v>
      </c>
      <c r="T167" s="32" t="str">
        <f t="shared" si="92"/>
        <v>1)</v>
      </c>
      <c r="U167" s="32">
        <f t="shared" si="93"/>
        <v>0</v>
      </c>
      <c r="V167" s="32">
        <f t="shared" si="94"/>
        <v>0</v>
      </c>
      <c r="W167" s="32">
        <f t="shared" si="95"/>
        <v>0</v>
      </c>
      <c r="X167" s="32">
        <f t="shared" si="96"/>
        <v>0</v>
      </c>
      <c r="Y167" s="32">
        <f t="shared" si="97"/>
        <v>0</v>
      </c>
      <c r="Z167" s="32">
        <f t="shared" si="98"/>
        <v>0</v>
      </c>
    </row>
    <row r="168" spans="1:26" x14ac:dyDescent="0.25">
      <c r="A168" s="30" t="str">
        <f t="shared" si="81"/>
        <v>9</v>
      </c>
      <c r="B168" s="30" t="str">
        <f t="shared" si="82"/>
        <v>3</v>
      </c>
      <c r="C168" s="30" t="str">
        <f t="shared" si="83"/>
        <v>1</v>
      </c>
      <c r="D168" s="31">
        <f t="shared" si="84"/>
        <v>0</v>
      </c>
      <c r="E168" s="31">
        <f t="shared" si="85"/>
        <v>0</v>
      </c>
      <c r="F168" s="32">
        <f t="shared" si="86"/>
        <v>0</v>
      </c>
      <c r="G168" s="31">
        <f t="shared" si="87"/>
        <v>0</v>
      </c>
      <c r="H168" s="31">
        <f t="shared" si="88"/>
        <v>0</v>
      </c>
      <c r="I168" s="32">
        <f t="shared" si="89"/>
        <v>0</v>
      </c>
      <c r="N168" t="s">
        <v>377</v>
      </c>
      <c r="R168" s="32" t="str">
        <f t="shared" si="90"/>
        <v>9)Hex(3)Fuc(1)</v>
      </c>
      <c r="S168" s="32" t="str">
        <f t="shared" si="91"/>
        <v>3)Fuc(1)</v>
      </c>
      <c r="T168" s="32" t="str">
        <f t="shared" si="92"/>
        <v>1)</v>
      </c>
      <c r="U168" s="32">
        <f t="shared" si="93"/>
        <v>0</v>
      </c>
      <c r="V168" s="32">
        <f t="shared" si="94"/>
        <v>0</v>
      </c>
      <c r="W168" s="32">
        <f t="shared" si="95"/>
        <v>0</v>
      </c>
      <c r="X168" s="32">
        <f t="shared" si="96"/>
        <v>0</v>
      </c>
      <c r="Y168" s="32">
        <f t="shared" si="97"/>
        <v>0</v>
      </c>
      <c r="Z168" s="32">
        <f t="shared" si="98"/>
        <v>0</v>
      </c>
    </row>
    <row r="169" spans="1:26" x14ac:dyDescent="0.25">
      <c r="A169" s="30" t="str">
        <f t="shared" si="81"/>
        <v>6</v>
      </c>
      <c r="B169" s="30" t="str">
        <f t="shared" si="82"/>
        <v>3</v>
      </c>
      <c r="C169" s="30" t="str">
        <f t="shared" si="83"/>
        <v>1</v>
      </c>
      <c r="D169" s="31">
        <f t="shared" si="84"/>
        <v>0</v>
      </c>
      <c r="E169" s="31">
        <f t="shared" si="85"/>
        <v>2</v>
      </c>
      <c r="F169" s="32">
        <f t="shared" si="86"/>
        <v>2</v>
      </c>
      <c r="G169" s="31">
        <f t="shared" si="87"/>
        <v>0</v>
      </c>
      <c r="H169" s="31">
        <f t="shared" si="88"/>
        <v>0</v>
      </c>
      <c r="I169" s="32">
        <f t="shared" si="89"/>
        <v>0</v>
      </c>
      <c r="N169" t="s">
        <v>378</v>
      </c>
      <c r="R169" s="32" t="str">
        <f t="shared" si="90"/>
        <v>6)Hex(3)Fuc(1)NeuGc(2)</v>
      </c>
      <c r="S169" s="32" t="str">
        <f t="shared" si="91"/>
        <v>3)Fuc(1)NeuGc(2)</v>
      </c>
      <c r="T169" s="32" t="str">
        <f t="shared" si="92"/>
        <v>1)NeuGc(2)</v>
      </c>
      <c r="U169" s="32">
        <f t="shared" si="93"/>
        <v>0</v>
      </c>
      <c r="V169" s="32" t="str">
        <f t="shared" si="94"/>
        <v>2)</v>
      </c>
      <c r="W169" s="32">
        <f t="shared" si="95"/>
        <v>0</v>
      </c>
      <c r="X169" s="32">
        <f t="shared" si="96"/>
        <v>0</v>
      </c>
      <c r="Y169" s="32">
        <f t="shared" si="97"/>
        <v>0</v>
      </c>
      <c r="Z169" s="32">
        <f t="shared" si="98"/>
        <v>0</v>
      </c>
    </row>
    <row r="170" spans="1:26" x14ac:dyDescent="0.25">
      <c r="A170" s="30" t="str">
        <f t="shared" si="81"/>
        <v>9</v>
      </c>
      <c r="B170" s="30" t="str">
        <f t="shared" si="82"/>
        <v>4</v>
      </c>
      <c r="C170" s="30">
        <f t="shared" si="83"/>
        <v>0</v>
      </c>
      <c r="D170" s="31">
        <f t="shared" si="84"/>
        <v>0</v>
      </c>
      <c r="E170" s="31">
        <f t="shared" si="85"/>
        <v>0</v>
      </c>
      <c r="F170" s="32">
        <f t="shared" si="86"/>
        <v>0</v>
      </c>
      <c r="G170" s="31">
        <f t="shared" si="87"/>
        <v>0</v>
      </c>
      <c r="H170" s="31">
        <f t="shared" si="88"/>
        <v>0</v>
      </c>
      <c r="I170" s="32">
        <f t="shared" si="89"/>
        <v>0</v>
      </c>
      <c r="N170" t="s">
        <v>379</v>
      </c>
      <c r="R170" s="32" t="str">
        <f t="shared" si="90"/>
        <v>9)Hex(4)</v>
      </c>
      <c r="S170" s="32" t="str">
        <f t="shared" si="91"/>
        <v>4)</v>
      </c>
      <c r="T170" s="32">
        <f t="shared" si="92"/>
        <v>0</v>
      </c>
      <c r="U170" s="32">
        <f t="shared" si="93"/>
        <v>0</v>
      </c>
      <c r="V170" s="32">
        <f t="shared" si="94"/>
        <v>0</v>
      </c>
      <c r="W170" s="32">
        <f t="shared" si="95"/>
        <v>0</v>
      </c>
      <c r="X170" s="32">
        <f t="shared" si="96"/>
        <v>0</v>
      </c>
      <c r="Y170" s="32">
        <f t="shared" si="97"/>
        <v>0</v>
      </c>
      <c r="Z170" s="32">
        <f t="shared" si="98"/>
        <v>0</v>
      </c>
    </row>
    <row r="171" spans="1:26" x14ac:dyDescent="0.25">
      <c r="A171" s="30" t="str">
        <f t="shared" si="81"/>
        <v>6</v>
      </c>
      <c r="B171" s="30" t="str">
        <f t="shared" si="82"/>
        <v>6</v>
      </c>
      <c r="C171" s="30" t="str">
        <f t="shared" si="83"/>
        <v>2</v>
      </c>
      <c r="D171" s="31">
        <f t="shared" si="84"/>
        <v>0</v>
      </c>
      <c r="E171" s="31">
        <f t="shared" si="85"/>
        <v>0</v>
      </c>
      <c r="F171" s="32">
        <f t="shared" si="86"/>
        <v>0</v>
      </c>
      <c r="G171" s="31">
        <f t="shared" si="87"/>
        <v>0</v>
      </c>
      <c r="H171" s="31">
        <f t="shared" si="88"/>
        <v>0</v>
      </c>
      <c r="I171" s="32">
        <f t="shared" si="89"/>
        <v>0</v>
      </c>
      <c r="N171" t="s">
        <v>380</v>
      </c>
      <c r="R171" s="32" t="str">
        <f t="shared" si="90"/>
        <v>6)Hex(6)Fuc(2)</v>
      </c>
      <c r="S171" s="32" t="str">
        <f t="shared" si="91"/>
        <v>6)Fuc(2)</v>
      </c>
      <c r="T171" s="32" t="str">
        <f t="shared" si="92"/>
        <v>2)</v>
      </c>
      <c r="U171" s="32">
        <f t="shared" si="93"/>
        <v>0</v>
      </c>
      <c r="V171" s="32">
        <f t="shared" si="94"/>
        <v>0</v>
      </c>
      <c r="W171" s="32">
        <f t="shared" si="95"/>
        <v>0</v>
      </c>
      <c r="X171" s="32">
        <f t="shared" si="96"/>
        <v>0</v>
      </c>
      <c r="Y171" s="32">
        <f t="shared" si="97"/>
        <v>0</v>
      </c>
      <c r="Z171" s="32">
        <f t="shared" si="98"/>
        <v>0</v>
      </c>
    </row>
    <row r="172" spans="1:26" x14ac:dyDescent="0.25">
      <c r="A172" s="30" t="str">
        <f t="shared" si="81"/>
        <v>6</v>
      </c>
      <c r="B172" s="30" t="str">
        <f t="shared" si="82"/>
        <v>7</v>
      </c>
      <c r="C172" s="30" t="str">
        <f t="shared" si="83"/>
        <v>1</v>
      </c>
      <c r="D172" s="31">
        <f t="shared" si="84"/>
        <v>0</v>
      </c>
      <c r="E172" s="31">
        <f t="shared" si="85"/>
        <v>0</v>
      </c>
      <c r="F172" s="32">
        <f t="shared" si="86"/>
        <v>0</v>
      </c>
      <c r="G172" s="31">
        <f t="shared" si="87"/>
        <v>0</v>
      </c>
      <c r="H172" s="31">
        <f t="shared" si="88"/>
        <v>0</v>
      </c>
      <c r="I172" s="32">
        <f t="shared" si="89"/>
        <v>0</v>
      </c>
      <c r="N172" t="s">
        <v>381</v>
      </c>
      <c r="R172" s="32" t="str">
        <f t="shared" si="90"/>
        <v>6)Hex(7)Fuc(1)</v>
      </c>
      <c r="S172" s="32" t="str">
        <f t="shared" si="91"/>
        <v>7)Fuc(1)</v>
      </c>
      <c r="T172" s="32" t="str">
        <f t="shared" si="92"/>
        <v>1)</v>
      </c>
      <c r="U172" s="32">
        <f t="shared" si="93"/>
        <v>0</v>
      </c>
      <c r="V172" s="32">
        <f t="shared" si="94"/>
        <v>0</v>
      </c>
      <c r="W172" s="32">
        <f t="shared" si="95"/>
        <v>0</v>
      </c>
      <c r="X172" s="32">
        <f t="shared" si="96"/>
        <v>0</v>
      </c>
      <c r="Y172" s="32">
        <f t="shared" si="97"/>
        <v>0</v>
      </c>
      <c r="Z172" s="32">
        <f t="shared" si="98"/>
        <v>0</v>
      </c>
    </row>
    <row r="173" spans="1:26" x14ac:dyDescent="0.25">
      <c r="A173" s="30" t="str">
        <f t="shared" si="81"/>
        <v>7</v>
      </c>
      <c r="B173" s="30" t="str">
        <f t="shared" si="82"/>
        <v>6</v>
      </c>
      <c r="C173" s="30" t="str">
        <f t="shared" si="83"/>
        <v>1</v>
      </c>
      <c r="D173" s="31">
        <f t="shared" si="84"/>
        <v>0</v>
      </c>
      <c r="E173" s="31">
        <f t="shared" si="85"/>
        <v>0</v>
      </c>
      <c r="F173" s="32">
        <f t="shared" si="86"/>
        <v>0</v>
      </c>
      <c r="G173" s="31">
        <f t="shared" si="87"/>
        <v>0</v>
      </c>
      <c r="H173" s="31">
        <f t="shared" si="88"/>
        <v>0</v>
      </c>
      <c r="I173" s="32">
        <f t="shared" si="89"/>
        <v>0</v>
      </c>
      <c r="N173" t="s">
        <v>382</v>
      </c>
      <c r="R173" s="32" t="str">
        <f t="shared" si="90"/>
        <v>7)Hex(6)Fuc(1)</v>
      </c>
      <c r="S173" s="32" t="str">
        <f t="shared" si="91"/>
        <v>6)Fuc(1)</v>
      </c>
      <c r="T173" s="32" t="str">
        <f t="shared" si="92"/>
        <v>1)</v>
      </c>
      <c r="U173" s="32">
        <f t="shared" si="93"/>
        <v>0</v>
      </c>
      <c r="V173" s="32">
        <f t="shared" si="94"/>
        <v>0</v>
      </c>
      <c r="W173" s="32">
        <f t="shared" si="95"/>
        <v>0</v>
      </c>
      <c r="X173" s="32">
        <f t="shared" si="96"/>
        <v>0</v>
      </c>
      <c r="Y173" s="32">
        <f t="shared" si="97"/>
        <v>0</v>
      </c>
      <c r="Z173" s="32">
        <f t="shared" si="98"/>
        <v>0</v>
      </c>
    </row>
    <row r="174" spans="1:26" x14ac:dyDescent="0.25">
      <c r="A174" s="30" t="str">
        <f t="shared" si="81"/>
        <v>5</v>
      </c>
      <c r="B174" s="30" t="str">
        <f t="shared" si="82"/>
        <v>5</v>
      </c>
      <c r="C174" s="30" t="str">
        <f t="shared" si="83"/>
        <v>1</v>
      </c>
      <c r="D174" s="31">
        <f t="shared" si="84"/>
        <v>2</v>
      </c>
      <c r="E174" s="31">
        <f t="shared" si="85"/>
        <v>0</v>
      </c>
      <c r="F174" s="32">
        <f t="shared" si="86"/>
        <v>2</v>
      </c>
      <c r="G174" s="31">
        <f t="shared" si="87"/>
        <v>0</v>
      </c>
      <c r="H174" s="31">
        <f t="shared" si="88"/>
        <v>0</v>
      </c>
      <c r="I174" s="32">
        <f t="shared" si="89"/>
        <v>0</v>
      </c>
      <c r="N174" t="s">
        <v>383</v>
      </c>
      <c r="R174" s="32" t="str">
        <f t="shared" si="90"/>
        <v>5)Hex(5)Fuc(1)NeuAc(2)</v>
      </c>
      <c r="S174" s="32" t="str">
        <f t="shared" si="91"/>
        <v>5)Fuc(1)NeuAc(2)</v>
      </c>
      <c r="T174" s="32" t="str">
        <f t="shared" si="92"/>
        <v>1)NeuAc(2)</v>
      </c>
      <c r="U174" s="32" t="str">
        <f t="shared" si="93"/>
        <v>2)</v>
      </c>
      <c r="V174" s="32">
        <f t="shared" si="94"/>
        <v>0</v>
      </c>
      <c r="W174" s="32">
        <f t="shared" si="95"/>
        <v>0</v>
      </c>
      <c r="X174" s="32">
        <f t="shared" si="96"/>
        <v>0</v>
      </c>
      <c r="Y174" s="32">
        <f t="shared" si="97"/>
        <v>0</v>
      </c>
      <c r="Z174" s="32">
        <f t="shared" si="98"/>
        <v>0</v>
      </c>
    </row>
    <row r="175" spans="1:26" x14ac:dyDescent="0.25">
      <c r="A175" s="30" t="str">
        <f t="shared" si="81"/>
        <v>7</v>
      </c>
      <c r="B175" s="30" t="str">
        <f t="shared" si="82"/>
        <v>7</v>
      </c>
      <c r="C175" s="30">
        <f t="shared" si="83"/>
        <v>0</v>
      </c>
      <c r="D175" s="31">
        <f t="shared" si="84"/>
        <v>0</v>
      </c>
      <c r="E175" s="31">
        <f t="shared" si="85"/>
        <v>0</v>
      </c>
      <c r="F175" s="32">
        <f t="shared" si="86"/>
        <v>0</v>
      </c>
      <c r="G175" s="31">
        <f t="shared" si="87"/>
        <v>0</v>
      </c>
      <c r="H175" s="31">
        <f t="shared" si="88"/>
        <v>0</v>
      </c>
      <c r="I175" s="32">
        <f t="shared" si="89"/>
        <v>0</v>
      </c>
      <c r="N175" t="s">
        <v>384</v>
      </c>
      <c r="R175" s="32" t="str">
        <f t="shared" si="90"/>
        <v>7)Hex(7)</v>
      </c>
      <c r="S175" s="32" t="str">
        <f t="shared" si="91"/>
        <v>7)</v>
      </c>
      <c r="T175" s="32">
        <f t="shared" si="92"/>
        <v>0</v>
      </c>
      <c r="U175" s="32">
        <f t="shared" si="93"/>
        <v>0</v>
      </c>
      <c r="V175" s="32">
        <f t="shared" si="94"/>
        <v>0</v>
      </c>
      <c r="W175" s="32">
        <f t="shared" si="95"/>
        <v>0</v>
      </c>
      <c r="X175" s="32">
        <f t="shared" si="96"/>
        <v>0</v>
      </c>
      <c r="Y175" s="32">
        <f t="shared" si="97"/>
        <v>0</v>
      </c>
      <c r="Z175" s="32">
        <f t="shared" si="98"/>
        <v>0</v>
      </c>
    </row>
    <row r="176" spans="1:26" x14ac:dyDescent="0.25">
      <c r="A176" s="30" t="str">
        <f t="shared" si="81"/>
        <v>5</v>
      </c>
      <c r="B176" s="30" t="str">
        <f t="shared" si="82"/>
        <v>5</v>
      </c>
      <c r="C176" s="30" t="str">
        <f t="shared" si="83"/>
        <v>1</v>
      </c>
      <c r="D176" s="31">
        <f t="shared" si="84"/>
        <v>1</v>
      </c>
      <c r="E176" s="31">
        <f t="shared" si="85"/>
        <v>1</v>
      </c>
      <c r="F176" s="32">
        <f t="shared" si="86"/>
        <v>2</v>
      </c>
      <c r="G176" s="31">
        <f t="shared" si="87"/>
        <v>0</v>
      </c>
      <c r="H176" s="31">
        <f t="shared" si="88"/>
        <v>0</v>
      </c>
      <c r="I176" s="32">
        <f t="shared" si="89"/>
        <v>0</v>
      </c>
      <c r="N176" t="s">
        <v>385</v>
      </c>
      <c r="R176" s="32" t="str">
        <f t="shared" si="90"/>
        <v>5)Hex(5)Fuc(1)NeuAc(1)NeuGc(1)</v>
      </c>
      <c r="S176" s="32" t="str">
        <f t="shared" si="91"/>
        <v>5)Fuc(1)NeuAc(1)NeuGc(1)</v>
      </c>
      <c r="T176" s="32" t="str">
        <f t="shared" si="92"/>
        <v>1)NeuAc(1)NeuGc(1)</v>
      </c>
      <c r="U176" s="32" t="str">
        <f t="shared" si="93"/>
        <v>1)NeuGc(1)</v>
      </c>
      <c r="V176" s="32" t="str">
        <f t="shared" si="94"/>
        <v>1)</v>
      </c>
      <c r="W176" s="32">
        <f t="shared" si="95"/>
        <v>0</v>
      </c>
      <c r="X176" s="32">
        <f t="shared" si="96"/>
        <v>0</v>
      </c>
      <c r="Y176" s="32">
        <f t="shared" si="97"/>
        <v>0</v>
      </c>
      <c r="Z176" s="32">
        <f t="shared" si="98"/>
        <v>0</v>
      </c>
    </row>
    <row r="177" spans="1:26" x14ac:dyDescent="0.25">
      <c r="A177" s="30" t="str">
        <f t="shared" si="81"/>
        <v>5</v>
      </c>
      <c r="B177" s="30" t="str">
        <f t="shared" si="82"/>
        <v>6</v>
      </c>
      <c r="C177" s="30">
        <f t="shared" si="83"/>
        <v>0</v>
      </c>
      <c r="D177" s="31">
        <f t="shared" si="84"/>
        <v>2</v>
      </c>
      <c r="E177" s="31">
        <f t="shared" si="85"/>
        <v>0</v>
      </c>
      <c r="F177" s="32">
        <f t="shared" si="86"/>
        <v>2</v>
      </c>
      <c r="G177" s="31">
        <f t="shared" si="87"/>
        <v>0</v>
      </c>
      <c r="H177" s="31">
        <f t="shared" si="88"/>
        <v>0</v>
      </c>
      <c r="I177" s="32">
        <f t="shared" si="89"/>
        <v>0</v>
      </c>
      <c r="N177" t="s">
        <v>386</v>
      </c>
      <c r="R177" s="32" t="str">
        <f t="shared" si="90"/>
        <v>5)Hex(6)NeuAc(2)</v>
      </c>
      <c r="S177" s="32" t="str">
        <f t="shared" si="91"/>
        <v>6)NeuAc(2)</v>
      </c>
      <c r="T177" s="32">
        <f t="shared" si="92"/>
        <v>0</v>
      </c>
      <c r="U177" s="32" t="str">
        <f t="shared" si="93"/>
        <v>2)</v>
      </c>
      <c r="V177" s="32">
        <f t="shared" si="94"/>
        <v>0</v>
      </c>
      <c r="W177" s="32">
        <f t="shared" si="95"/>
        <v>0</v>
      </c>
      <c r="X177" s="32">
        <f t="shared" si="96"/>
        <v>0</v>
      </c>
      <c r="Y177" s="32">
        <f t="shared" si="97"/>
        <v>0</v>
      </c>
      <c r="Z177" s="32">
        <f t="shared" si="98"/>
        <v>0</v>
      </c>
    </row>
    <row r="178" spans="1:26" x14ac:dyDescent="0.25">
      <c r="A178" s="30" t="str">
        <f t="shared" si="81"/>
        <v>5</v>
      </c>
      <c r="B178" s="30" t="str">
        <f t="shared" si="82"/>
        <v>6</v>
      </c>
      <c r="C178" s="30" t="str">
        <f t="shared" si="83"/>
        <v>2</v>
      </c>
      <c r="D178" s="31">
        <f t="shared" si="84"/>
        <v>1</v>
      </c>
      <c r="E178" s="31">
        <f t="shared" si="85"/>
        <v>0</v>
      </c>
      <c r="F178" s="32">
        <f t="shared" si="86"/>
        <v>1</v>
      </c>
      <c r="G178" s="31">
        <f t="shared" si="87"/>
        <v>0</v>
      </c>
      <c r="H178" s="31">
        <f t="shared" si="88"/>
        <v>0</v>
      </c>
      <c r="I178" s="32">
        <f t="shared" si="89"/>
        <v>0</v>
      </c>
      <c r="N178" t="s">
        <v>387</v>
      </c>
      <c r="R178" s="32" t="str">
        <f t="shared" si="90"/>
        <v>5)Hex(6)Fuc(2)NeuAc(1)</v>
      </c>
      <c r="S178" s="32" t="str">
        <f t="shared" si="91"/>
        <v>6)Fuc(2)NeuAc(1)</v>
      </c>
      <c r="T178" s="32" t="str">
        <f t="shared" si="92"/>
        <v>2)NeuAc(1)</v>
      </c>
      <c r="U178" s="32" t="str">
        <f t="shared" si="93"/>
        <v>1)</v>
      </c>
      <c r="V178" s="32">
        <f t="shared" si="94"/>
        <v>0</v>
      </c>
      <c r="W178" s="32">
        <f t="shared" si="95"/>
        <v>0</v>
      </c>
      <c r="X178" s="32">
        <f t="shared" si="96"/>
        <v>0</v>
      </c>
      <c r="Y178" s="32">
        <f t="shared" si="97"/>
        <v>0</v>
      </c>
      <c r="Z178" s="32">
        <f t="shared" si="98"/>
        <v>0</v>
      </c>
    </row>
    <row r="179" spans="1:26" x14ac:dyDescent="0.25">
      <c r="A179" s="30" t="str">
        <f t="shared" si="81"/>
        <v>8</v>
      </c>
      <c r="B179" s="30" t="str">
        <f t="shared" si="82"/>
        <v>5</v>
      </c>
      <c r="C179" s="30" t="str">
        <f t="shared" si="83"/>
        <v>1</v>
      </c>
      <c r="D179" s="31">
        <f t="shared" si="84"/>
        <v>0</v>
      </c>
      <c r="E179" s="31">
        <f t="shared" si="85"/>
        <v>0</v>
      </c>
      <c r="F179" s="32">
        <f t="shared" si="86"/>
        <v>0</v>
      </c>
      <c r="G179" s="31">
        <f t="shared" si="87"/>
        <v>0</v>
      </c>
      <c r="H179" s="31">
        <f t="shared" si="88"/>
        <v>0</v>
      </c>
      <c r="I179" s="32">
        <f t="shared" si="89"/>
        <v>0</v>
      </c>
      <c r="N179" t="s">
        <v>388</v>
      </c>
      <c r="R179" s="32" t="str">
        <f t="shared" si="90"/>
        <v>8)Hex(5)Fuc(1)</v>
      </c>
      <c r="S179" s="32" t="str">
        <f t="shared" si="91"/>
        <v>5)Fuc(1)</v>
      </c>
      <c r="T179" s="32" t="str">
        <f t="shared" si="92"/>
        <v>1)</v>
      </c>
      <c r="U179" s="32">
        <f t="shared" si="93"/>
        <v>0</v>
      </c>
      <c r="V179" s="32">
        <f t="shared" si="94"/>
        <v>0</v>
      </c>
      <c r="W179" s="32">
        <f t="shared" si="95"/>
        <v>0</v>
      </c>
      <c r="X179" s="32">
        <f t="shared" si="96"/>
        <v>0</v>
      </c>
      <c r="Y179" s="32">
        <f t="shared" si="97"/>
        <v>0</v>
      </c>
      <c r="Z179" s="32">
        <f t="shared" si="98"/>
        <v>0</v>
      </c>
    </row>
    <row r="180" spans="1:26" x14ac:dyDescent="0.25">
      <c r="A180" s="30" t="str">
        <f t="shared" si="81"/>
        <v>5</v>
      </c>
      <c r="B180" s="30" t="str">
        <f t="shared" si="82"/>
        <v>5</v>
      </c>
      <c r="C180" s="30" t="str">
        <f t="shared" si="83"/>
        <v>1</v>
      </c>
      <c r="D180" s="31">
        <f t="shared" si="84"/>
        <v>0</v>
      </c>
      <c r="E180" s="31">
        <f t="shared" si="85"/>
        <v>2</v>
      </c>
      <c r="F180" s="32">
        <f t="shared" si="86"/>
        <v>2</v>
      </c>
      <c r="G180" s="31">
        <f t="shared" si="87"/>
        <v>0</v>
      </c>
      <c r="H180" s="31">
        <f t="shared" si="88"/>
        <v>0</v>
      </c>
      <c r="I180" s="32">
        <f t="shared" si="89"/>
        <v>0</v>
      </c>
      <c r="N180" t="s">
        <v>389</v>
      </c>
      <c r="R180" s="32" t="str">
        <f t="shared" si="90"/>
        <v>5)Hex(5)Fuc(1)NeuGc(2)</v>
      </c>
      <c r="S180" s="32" t="str">
        <f t="shared" si="91"/>
        <v>5)Fuc(1)NeuGc(2)</v>
      </c>
      <c r="T180" s="32" t="str">
        <f t="shared" si="92"/>
        <v>1)NeuGc(2)</v>
      </c>
      <c r="U180" s="32">
        <f t="shared" si="93"/>
        <v>0</v>
      </c>
      <c r="V180" s="32" t="str">
        <f t="shared" si="94"/>
        <v>2)</v>
      </c>
      <c r="W180" s="32">
        <f t="shared" si="95"/>
        <v>0</v>
      </c>
      <c r="X180" s="32">
        <f t="shared" si="96"/>
        <v>0</v>
      </c>
      <c r="Y180" s="32">
        <f t="shared" si="97"/>
        <v>0</v>
      </c>
      <c r="Z180" s="32">
        <f t="shared" si="98"/>
        <v>0</v>
      </c>
    </row>
    <row r="181" spans="1:26" x14ac:dyDescent="0.25">
      <c r="A181" s="30" t="str">
        <f t="shared" si="81"/>
        <v>5</v>
      </c>
      <c r="B181" s="30" t="str">
        <f t="shared" si="82"/>
        <v>6</v>
      </c>
      <c r="C181" s="30">
        <f t="shared" si="83"/>
        <v>0</v>
      </c>
      <c r="D181" s="31">
        <f t="shared" si="84"/>
        <v>1</v>
      </c>
      <c r="E181" s="31">
        <f t="shared" si="85"/>
        <v>1</v>
      </c>
      <c r="F181" s="32">
        <f t="shared" si="86"/>
        <v>2</v>
      </c>
      <c r="G181" s="31">
        <f t="shared" si="87"/>
        <v>0</v>
      </c>
      <c r="H181" s="31">
        <f t="shared" si="88"/>
        <v>0</v>
      </c>
      <c r="I181" s="32">
        <f t="shared" si="89"/>
        <v>0</v>
      </c>
      <c r="N181" t="s">
        <v>390</v>
      </c>
      <c r="R181" s="32" t="str">
        <f t="shared" si="90"/>
        <v>5)Hex(6)NeuAc(1)NeuGc(1)</v>
      </c>
      <c r="S181" s="32" t="str">
        <f t="shared" si="91"/>
        <v>6)NeuAc(1)NeuGc(1)</v>
      </c>
      <c r="T181" s="32">
        <f t="shared" si="92"/>
        <v>0</v>
      </c>
      <c r="U181" s="32" t="str">
        <f t="shared" si="93"/>
        <v>1)NeuGc(1)</v>
      </c>
      <c r="V181" s="32" t="str">
        <f t="shared" si="94"/>
        <v>1)</v>
      </c>
      <c r="W181" s="32">
        <f t="shared" si="95"/>
        <v>0</v>
      </c>
      <c r="X181" s="32">
        <f t="shared" si="96"/>
        <v>0</v>
      </c>
      <c r="Y181" s="32">
        <f t="shared" si="97"/>
        <v>0</v>
      </c>
      <c r="Z181" s="32">
        <f t="shared" si="98"/>
        <v>0</v>
      </c>
    </row>
    <row r="182" spans="1:26" x14ac:dyDescent="0.25">
      <c r="A182" s="30" t="str">
        <f t="shared" si="81"/>
        <v>5</v>
      </c>
      <c r="B182" s="30" t="str">
        <f t="shared" si="82"/>
        <v>7</v>
      </c>
      <c r="C182" s="30" t="str">
        <f t="shared" si="83"/>
        <v>1</v>
      </c>
      <c r="D182" s="31">
        <f t="shared" si="84"/>
        <v>1</v>
      </c>
      <c r="E182" s="31">
        <f t="shared" si="85"/>
        <v>0</v>
      </c>
      <c r="F182" s="32">
        <f t="shared" si="86"/>
        <v>1</v>
      </c>
      <c r="G182" s="31">
        <f t="shared" si="87"/>
        <v>0</v>
      </c>
      <c r="H182" s="31">
        <f t="shared" si="88"/>
        <v>0</v>
      </c>
      <c r="I182" s="32">
        <f t="shared" si="89"/>
        <v>0</v>
      </c>
      <c r="N182" t="s">
        <v>391</v>
      </c>
      <c r="R182" s="32" t="str">
        <f t="shared" si="90"/>
        <v>5)Hex(7)Fuc(1)NeuAc(1)</v>
      </c>
      <c r="S182" s="32" t="str">
        <f t="shared" si="91"/>
        <v>7)Fuc(1)NeuAc(1)</v>
      </c>
      <c r="T182" s="32" t="str">
        <f t="shared" si="92"/>
        <v>1)NeuAc(1)</v>
      </c>
      <c r="U182" s="32" t="str">
        <f t="shared" si="93"/>
        <v>1)</v>
      </c>
      <c r="V182" s="32">
        <f t="shared" si="94"/>
        <v>0</v>
      </c>
      <c r="W182" s="32">
        <f t="shared" si="95"/>
        <v>0</v>
      </c>
      <c r="X182" s="32">
        <f t="shared" si="96"/>
        <v>0</v>
      </c>
      <c r="Y182" s="32">
        <f t="shared" si="97"/>
        <v>0</v>
      </c>
      <c r="Z182" s="32">
        <f t="shared" si="98"/>
        <v>0</v>
      </c>
    </row>
    <row r="183" spans="1:26" x14ac:dyDescent="0.25">
      <c r="A183" s="30" t="str">
        <f t="shared" si="81"/>
        <v>5</v>
      </c>
      <c r="B183" s="30" t="str">
        <f t="shared" si="82"/>
        <v>6</v>
      </c>
      <c r="C183" s="30" t="str">
        <f t="shared" si="83"/>
        <v>2</v>
      </c>
      <c r="D183" s="31">
        <f t="shared" si="84"/>
        <v>0</v>
      </c>
      <c r="E183" s="31">
        <f t="shared" si="85"/>
        <v>1</v>
      </c>
      <c r="F183" s="32">
        <f t="shared" si="86"/>
        <v>1</v>
      </c>
      <c r="G183" s="31">
        <f t="shared" si="87"/>
        <v>0</v>
      </c>
      <c r="H183" s="31">
        <f t="shared" si="88"/>
        <v>0</v>
      </c>
      <c r="I183" s="32">
        <f t="shared" si="89"/>
        <v>0</v>
      </c>
      <c r="N183" t="s">
        <v>392</v>
      </c>
      <c r="R183" s="32" t="str">
        <f t="shared" si="90"/>
        <v>5)Hex(6)Fuc(2)NeuGc(1)</v>
      </c>
      <c r="S183" s="32" t="str">
        <f t="shared" si="91"/>
        <v>6)Fuc(2)NeuGc(1)</v>
      </c>
      <c r="T183" s="32" t="str">
        <f t="shared" si="92"/>
        <v>2)NeuGc(1)</v>
      </c>
      <c r="U183" s="32">
        <f t="shared" si="93"/>
        <v>0</v>
      </c>
      <c r="V183" s="32" t="str">
        <f t="shared" si="94"/>
        <v>1)</v>
      </c>
      <c r="W183" s="32">
        <f t="shared" si="95"/>
        <v>0</v>
      </c>
      <c r="X183" s="32">
        <f t="shared" si="96"/>
        <v>0</v>
      </c>
      <c r="Y183" s="32">
        <f t="shared" si="97"/>
        <v>0</v>
      </c>
      <c r="Z183" s="32">
        <f t="shared" si="98"/>
        <v>0</v>
      </c>
    </row>
    <row r="184" spans="1:26" x14ac:dyDescent="0.25">
      <c r="A184" s="30" t="str">
        <f t="shared" si="81"/>
        <v>8</v>
      </c>
      <c r="B184" s="30" t="str">
        <f t="shared" si="82"/>
        <v>6</v>
      </c>
      <c r="C184" s="30">
        <f t="shared" si="83"/>
        <v>0</v>
      </c>
      <c r="D184" s="31">
        <f t="shared" si="84"/>
        <v>0</v>
      </c>
      <c r="E184" s="31">
        <f t="shared" si="85"/>
        <v>0</v>
      </c>
      <c r="F184" s="32">
        <f t="shared" si="86"/>
        <v>0</v>
      </c>
      <c r="G184" s="31">
        <f t="shared" si="87"/>
        <v>0</v>
      </c>
      <c r="H184" s="31">
        <f t="shared" si="88"/>
        <v>0</v>
      </c>
      <c r="I184" s="32">
        <f t="shared" si="89"/>
        <v>0</v>
      </c>
      <c r="N184" t="s">
        <v>393</v>
      </c>
      <c r="R184" s="32" t="str">
        <f t="shared" si="90"/>
        <v>8)Hex(6)</v>
      </c>
      <c r="S184" s="32" t="str">
        <f t="shared" si="91"/>
        <v>6)</v>
      </c>
      <c r="T184" s="32">
        <f t="shared" si="92"/>
        <v>0</v>
      </c>
      <c r="U184" s="32">
        <f t="shared" si="93"/>
        <v>0</v>
      </c>
      <c r="V184" s="32">
        <f t="shared" si="94"/>
        <v>0</v>
      </c>
      <c r="W184" s="32">
        <f t="shared" si="95"/>
        <v>0</v>
      </c>
      <c r="X184" s="32">
        <f t="shared" si="96"/>
        <v>0</v>
      </c>
      <c r="Y184" s="32">
        <f t="shared" si="97"/>
        <v>0</v>
      </c>
      <c r="Z184" s="32">
        <f t="shared" si="98"/>
        <v>0</v>
      </c>
    </row>
    <row r="185" spans="1:26" x14ac:dyDescent="0.25">
      <c r="A185" s="30" t="str">
        <f t="shared" si="81"/>
        <v>5</v>
      </c>
      <c r="B185" s="30" t="str">
        <f t="shared" si="82"/>
        <v>6</v>
      </c>
      <c r="C185" s="30">
        <f t="shared" si="83"/>
        <v>0</v>
      </c>
      <c r="D185" s="31">
        <f t="shared" si="84"/>
        <v>0</v>
      </c>
      <c r="E185" s="31">
        <f t="shared" si="85"/>
        <v>2</v>
      </c>
      <c r="F185" s="32">
        <f t="shared" si="86"/>
        <v>2</v>
      </c>
      <c r="G185" s="31">
        <f t="shared" si="87"/>
        <v>0</v>
      </c>
      <c r="H185" s="31">
        <f t="shared" si="88"/>
        <v>0</v>
      </c>
      <c r="I185" s="32">
        <f t="shared" si="89"/>
        <v>0</v>
      </c>
      <c r="N185" t="s">
        <v>394</v>
      </c>
      <c r="R185" s="32" t="str">
        <f t="shared" si="90"/>
        <v>5)Hex(6)NeuGc(2)</v>
      </c>
      <c r="S185" s="32" t="str">
        <f t="shared" si="91"/>
        <v>6)NeuGc(2)</v>
      </c>
      <c r="T185" s="32">
        <f t="shared" si="92"/>
        <v>0</v>
      </c>
      <c r="U185" s="32">
        <f t="shared" si="93"/>
        <v>0</v>
      </c>
      <c r="V185" s="32" t="str">
        <f t="shared" si="94"/>
        <v>2)</v>
      </c>
      <c r="W185" s="32">
        <f t="shared" si="95"/>
        <v>0</v>
      </c>
      <c r="X185" s="32">
        <f t="shared" si="96"/>
        <v>0</v>
      </c>
      <c r="Y185" s="32">
        <f t="shared" si="97"/>
        <v>0</v>
      </c>
      <c r="Z185" s="32">
        <f t="shared" si="98"/>
        <v>0</v>
      </c>
    </row>
    <row r="186" spans="1:26" x14ac:dyDescent="0.25">
      <c r="A186" s="30" t="str">
        <f t="shared" si="81"/>
        <v>5</v>
      </c>
      <c r="B186" s="30" t="str">
        <f t="shared" si="82"/>
        <v>9</v>
      </c>
      <c r="C186" s="30" t="str">
        <f t="shared" si="83"/>
        <v>1</v>
      </c>
      <c r="D186" s="31">
        <f t="shared" si="84"/>
        <v>0</v>
      </c>
      <c r="E186" s="31">
        <f t="shared" si="85"/>
        <v>0</v>
      </c>
      <c r="F186" s="32">
        <f t="shared" si="86"/>
        <v>0</v>
      </c>
      <c r="G186" s="31">
        <f t="shared" si="87"/>
        <v>0</v>
      </c>
      <c r="H186" s="31">
        <f t="shared" si="88"/>
        <v>0</v>
      </c>
      <c r="I186" s="32">
        <f t="shared" si="89"/>
        <v>0</v>
      </c>
      <c r="N186" t="s">
        <v>395</v>
      </c>
      <c r="R186" s="32" t="str">
        <f t="shared" si="90"/>
        <v>5)Hex(9)Fuc(1)</v>
      </c>
      <c r="S186" s="32" t="str">
        <f t="shared" si="91"/>
        <v>9)Fuc(1)</v>
      </c>
      <c r="T186" s="32" t="str">
        <f t="shared" si="92"/>
        <v>1)</v>
      </c>
      <c r="U186" s="32">
        <f t="shared" si="93"/>
        <v>0</v>
      </c>
      <c r="V186" s="32">
        <f t="shared" si="94"/>
        <v>0</v>
      </c>
      <c r="W186" s="32">
        <f t="shared" si="95"/>
        <v>0</v>
      </c>
      <c r="X186" s="32">
        <f t="shared" si="96"/>
        <v>0</v>
      </c>
      <c r="Y186" s="32">
        <f t="shared" si="97"/>
        <v>0</v>
      </c>
      <c r="Z186" s="32">
        <f t="shared" si="98"/>
        <v>0</v>
      </c>
    </row>
    <row r="187" spans="1:26" x14ac:dyDescent="0.25">
      <c r="A187" s="30" t="str">
        <f t="shared" si="81"/>
        <v>9</v>
      </c>
      <c r="B187" s="30" t="str">
        <f t="shared" si="82"/>
        <v>4</v>
      </c>
      <c r="C187" s="30" t="str">
        <f t="shared" si="83"/>
        <v>1</v>
      </c>
      <c r="D187" s="31">
        <f t="shared" si="84"/>
        <v>0</v>
      </c>
      <c r="E187" s="31">
        <f t="shared" si="85"/>
        <v>0</v>
      </c>
      <c r="F187" s="32">
        <f t="shared" si="86"/>
        <v>0</v>
      </c>
      <c r="G187" s="31">
        <f t="shared" si="87"/>
        <v>0</v>
      </c>
      <c r="H187" s="31">
        <f t="shared" si="88"/>
        <v>0</v>
      </c>
      <c r="I187" s="32">
        <f t="shared" si="89"/>
        <v>0</v>
      </c>
      <c r="N187" t="s">
        <v>396</v>
      </c>
      <c r="R187" s="32" t="str">
        <f t="shared" si="90"/>
        <v>9)Hex(4)Fuc(1)</v>
      </c>
      <c r="S187" s="32" t="str">
        <f t="shared" si="91"/>
        <v>4)Fuc(1)</v>
      </c>
      <c r="T187" s="32" t="str">
        <f t="shared" si="92"/>
        <v>1)</v>
      </c>
      <c r="U187" s="32">
        <f t="shared" si="93"/>
        <v>0</v>
      </c>
      <c r="V187" s="32">
        <f t="shared" si="94"/>
        <v>0</v>
      </c>
      <c r="W187" s="32">
        <f t="shared" si="95"/>
        <v>0</v>
      </c>
      <c r="X187" s="32">
        <f t="shared" si="96"/>
        <v>0</v>
      </c>
      <c r="Y187" s="32">
        <f t="shared" si="97"/>
        <v>0</v>
      </c>
      <c r="Z187" s="32">
        <f t="shared" si="98"/>
        <v>0</v>
      </c>
    </row>
    <row r="188" spans="1:26" x14ac:dyDescent="0.25">
      <c r="A188" s="30" t="str">
        <f t="shared" si="81"/>
        <v>6</v>
      </c>
      <c r="B188" s="30" t="str">
        <f t="shared" si="82"/>
        <v>6</v>
      </c>
      <c r="C188" s="30" t="str">
        <f t="shared" si="83"/>
        <v>3</v>
      </c>
      <c r="D188" s="31">
        <f t="shared" si="84"/>
        <v>0</v>
      </c>
      <c r="E188" s="31">
        <f t="shared" si="85"/>
        <v>0</v>
      </c>
      <c r="F188" s="32">
        <f t="shared" si="86"/>
        <v>0</v>
      </c>
      <c r="G188" s="31">
        <f t="shared" si="87"/>
        <v>0</v>
      </c>
      <c r="H188" s="31">
        <f t="shared" si="88"/>
        <v>0</v>
      </c>
      <c r="I188" s="32">
        <f t="shared" si="89"/>
        <v>0</v>
      </c>
      <c r="N188" t="s">
        <v>397</v>
      </c>
      <c r="R188" s="32" t="str">
        <f t="shared" si="90"/>
        <v>6)Hex(6)Fuc(3)</v>
      </c>
      <c r="S188" s="32" t="str">
        <f t="shared" si="91"/>
        <v>6)Fuc(3)</v>
      </c>
      <c r="T188" s="32" t="str">
        <f t="shared" si="92"/>
        <v>3)</v>
      </c>
      <c r="U188" s="32">
        <f t="shared" si="93"/>
        <v>0</v>
      </c>
      <c r="V188" s="32">
        <f t="shared" si="94"/>
        <v>0</v>
      </c>
      <c r="W188" s="32">
        <f t="shared" si="95"/>
        <v>0</v>
      </c>
      <c r="X188" s="32">
        <f t="shared" si="96"/>
        <v>0</v>
      </c>
      <c r="Y188" s="32">
        <f t="shared" si="97"/>
        <v>0</v>
      </c>
      <c r="Z188" s="32">
        <f t="shared" si="98"/>
        <v>0</v>
      </c>
    </row>
    <row r="189" spans="1:26" x14ac:dyDescent="0.25">
      <c r="A189" s="30" t="str">
        <f t="shared" si="81"/>
        <v>4</v>
      </c>
      <c r="B189" s="30" t="str">
        <f t="shared" si="82"/>
        <v>5</v>
      </c>
      <c r="C189" s="30" t="str">
        <f t="shared" si="83"/>
        <v>3</v>
      </c>
      <c r="D189" s="31">
        <f t="shared" si="84"/>
        <v>2</v>
      </c>
      <c r="E189" s="31">
        <f t="shared" si="85"/>
        <v>0</v>
      </c>
      <c r="F189" s="32">
        <f t="shared" si="86"/>
        <v>2</v>
      </c>
      <c r="G189" s="31">
        <f t="shared" si="87"/>
        <v>0</v>
      </c>
      <c r="H189" s="31">
        <f t="shared" si="88"/>
        <v>0</v>
      </c>
      <c r="I189" s="32">
        <f t="shared" si="89"/>
        <v>0</v>
      </c>
      <c r="N189" t="s">
        <v>398</v>
      </c>
      <c r="R189" s="32" t="str">
        <f t="shared" si="90"/>
        <v>4)Hex(5)Fuc(3)NeuAc(2)</v>
      </c>
      <c r="S189" s="32" t="str">
        <f t="shared" si="91"/>
        <v>5)Fuc(3)NeuAc(2)</v>
      </c>
      <c r="T189" s="32" t="str">
        <f t="shared" si="92"/>
        <v>3)NeuAc(2)</v>
      </c>
      <c r="U189" s="32" t="str">
        <f t="shared" si="93"/>
        <v>2)</v>
      </c>
      <c r="V189" s="32">
        <f t="shared" si="94"/>
        <v>0</v>
      </c>
      <c r="W189" s="32">
        <f t="shared" si="95"/>
        <v>0</v>
      </c>
      <c r="X189" s="32">
        <f t="shared" si="96"/>
        <v>0</v>
      </c>
      <c r="Y189" s="32">
        <f t="shared" si="97"/>
        <v>0</v>
      </c>
      <c r="Z189" s="32">
        <f t="shared" si="98"/>
        <v>0</v>
      </c>
    </row>
    <row r="190" spans="1:26" x14ac:dyDescent="0.25">
      <c r="A190" s="30" t="str">
        <f t="shared" si="81"/>
        <v>4</v>
      </c>
      <c r="B190" s="30" t="str">
        <f t="shared" si="82"/>
        <v>5</v>
      </c>
      <c r="C190" s="30" t="str">
        <f t="shared" si="83"/>
        <v>3</v>
      </c>
      <c r="D190" s="31">
        <f t="shared" si="84"/>
        <v>1</v>
      </c>
      <c r="E190" s="31">
        <f t="shared" si="85"/>
        <v>0</v>
      </c>
      <c r="F190" s="32">
        <f t="shared" si="86"/>
        <v>1</v>
      </c>
      <c r="G190" s="31">
        <f t="shared" si="87"/>
        <v>0</v>
      </c>
      <c r="H190" s="31">
        <f t="shared" si="88"/>
        <v>0</v>
      </c>
      <c r="I190" s="32">
        <f t="shared" si="89"/>
        <v>0</v>
      </c>
      <c r="N190" t="s">
        <v>399</v>
      </c>
      <c r="R190" s="32" t="str">
        <f t="shared" si="90"/>
        <v>4)Hex(5)Fuc(3)NeuAc(1)</v>
      </c>
      <c r="S190" s="32" t="str">
        <f t="shared" si="91"/>
        <v>5)Fuc(3)NeuAc(1)</v>
      </c>
      <c r="T190" s="32" t="str">
        <f t="shared" si="92"/>
        <v>3)NeuAc(1)</v>
      </c>
      <c r="U190" s="32" t="str">
        <f t="shared" si="93"/>
        <v>1)</v>
      </c>
      <c r="V190" s="32">
        <f t="shared" si="94"/>
        <v>0</v>
      </c>
      <c r="W190" s="32">
        <f t="shared" si="95"/>
        <v>0</v>
      </c>
      <c r="X190" s="32">
        <f t="shared" si="96"/>
        <v>0</v>
      </c>
      <c r="Y190" s="32">
        <f t="shared" si="97"/>
        <v>0</v>
      </c>
      <c r="Z190" s="32">
        <f t="shared" si="98"/>
        <v>0</v>
      </c>
    </row>
    <row r="191" spans="1:26" x14ac:dyDescent="0.25">
      <c r="A191" s="30" t="str">
        <f t="shared" si="81"/>
        <v>6</v>
      </c>
      <c r="B191" s="30" t="str">
        <f t="shared" si="82"/>
        <v>7</v>
      </c>
      <c r="C191" s="30">
        <f t="shared" si="83"/>
        <v>0</v>
      </c>
      <c r="D191" s="31">
        <f t="shared" si="84"/>
        <v>1</v>
      </c>
      <c r="E191" s="31">
        <f t="shared" si="85"/>
        <v>0</v>
      </c>
      <c r="F191" s="32">
        <f t="shared" si="86"/>
        <v>1</v>
      </c>
      <c r="G191" s="31">
        <f t="shared" si="87"/>
        <v>0</v>
      </c>
      <c r="H191" s="31">
        <f t="shared" si="88"/>
        <v>0</v>
      </c>
      <c r="I191" s="32">
        <f t="shared" si="89"/>
        <v>0</v>
      </c>
      <c r="N191" t="s">
        <v>400</v>
      </c>
      <c r="R191" s="32" t="str">
        <f t="shared" si="90"/>
        <v>6)Hex(7)NeuAc(1)</v>
      </c>
      <c r="S191" s="32" t="str">
        <f t="shared" si="91"/>
        <v>7)NeuAc(1)</v>
      </c>
      <c r="T191" s="32">
        <f t="shared" si="92"/>
        <v>0</v>
      </c>
      <c r="U191" s="32" t="str">
        <f t="shared" si="93"/>
        <v>1)</v>
      </c>
      <c r="V191" s="32">
        <f t="shared" si="94"/>
        <v>0</v>
      </c>
      <c r="W191" s="32">
        <f t="shared" si="95"/>
        <v>0</v>
      </c>
      <c r="X191" s="32">
        <f t="shared" si="96"/>
        <v>0</v>
      </c>
      <c r="Y191" s="32">
        <f t="shared" si="97"/>
        <v>0</v>
      </c>
      <c r="Z191" s="32">
        <f t="shared" si="98"/>
        <v>0</v>
      </c>
    </row>
    <row r="192" spans="1:26" x14ac:dyDescent="0.25">
      <c r="A192" s="30" t="str">
        <f t="shared" si="81"/>
        <v>4</v>
      </c>
      <c r="B192" s="30" t="str">
        <f t="shared" si="82"/>
        <v>5</v>
      </c>
      <c r="C192" s="30" t="str">
        <f t="shared" si="83"/>
        <v>3</v>
      </c>
      <c r="D192" s="31">
        <f t="shared" si="84"/>
        <v>1</v>
      </c>
      <c r="E192" s="31">
        <f t="shared" si="85"/>
        <v>1</v>
      </c>
      <c r="F192" s="32">
        <f t="shared" si="86"/>
        <v>2</v>
      </c>
      <c r="G192" s="31">
        <f t="shared" si="87"/>
        <v>0</v>
      </c>
      <c r="H192" s="31">
        <f t="shared" si="88"/>
        <v>0</v>
      </c>
      <c r="I192" s="32">
        <f t="shared" si="89"/>
        <v>0</v>
      </c>
      <c r="N192" t="s">
        <v>401</v>
      </c>
      <c r="R192" s="32" t="str">
        <f t="shared" si="90"/>
        <v>4)Hex(5)Fuc(3)NeuAc(1)NeuGc(1)</v>
      </c>
      <c r="S192" s="32" t="str">
        <f t="shared" si="91"/>
        <v>5)Fuc(3)NeuAc(1)NeuGc(1)</v>
      </c>
      <c r="T192" s="32" t="str">
        <f t="shared" si="92"/>
        <v>3)NeuAc(1)NeuGc(1)</v>
      </c>
      <c r="U192" s="32" t="str">
        <f t="shared" si="93"/>
        <v>1)NeuGc(1)</v>
      </c>
      <c r="V192" s="32" t="str">
        <f t="shared" si="94"/>
        <v>1)</v>
      </c>
      <c r="W192" s="32">
        <f t="shared" si="95"/>
        <v>0</v>
      </c>
      <c r="X192" s="32">
        <f t="shared" si="96"/>
        <v>0</v>
      </c>
      <c r="Y192" s="32">
        <f t="shared" si="97"/>
        <v>0</v>
      </c>
      <c r="Z192" s="32">
        <f t="shared" si="98"/>
        <v>0</v>
      </c>
    </row>
    <row r="193" spans="1:26" x14ac:dyDescent="0.25">
      <c r="A193" s="30" t="str">
        <f t="shared" si="81"/>
        <v>6</v>
      </c>
      <c r="B193" s="30" t="str">
        <f t="shared" si="82"/>
        <v>7</v>
      </c>
      <c r="C193" s="30">
        <f t="shared" si="83"/>
        <v>0</v>
      </c>
      <c r="D193" s="31">
        <f t="shared" si="84"/>
        <v>0</v>
      </c>
      <c r="E193" s="31">
        <f t="shared" si="85"/>
        <v>1</v>
      </c>
      <c r="F193" s="32">
        <f t="shared" si="86"/>
        <v>1</v>
      </c>
      <c r="G193" s="31">
        <f t="shared" si="87"/>
        <v>0</v>
      </c>
      <c r="H193" s="31">
        <f t="shared" si="88"/>
        <v>0</v>
      </c>
      <c r="I193" s="32">
        <f t="shared" si="89"/>
        <v>0</v>
      </c>
      <c r="N193" t="s">
        <v>402</v>
      </c>
      <c r="R193" s="32" t="str">
        <f t="shared" si="90"/>
        <v>6)Hex(7)NeuGc(1)</v>
      </c>
      <c r="S193" s="32" t="str">
        <f t="shared" si="91"/>
        <v>7)NeuGc(1)</v>
      </c>
      <c r="T193" s="32">
        <f t="shared" si="92"/>
        <v>0</v>
      </c>
      <c r="U193" s="32">
        <f t="shared" si="93"/>
        <v>0</v>
      </c>
      <c r="V193" s="32" t="str">
        <f t="shared" si="94"/>
        <v>1)</v>
      </c>
      <c r="W193" s="32">
        <f t="shared" si="95"/>
        <v>0</v>
      </c>
      <c r="X193" s="32">
        <f t="shared" si="96"/>
        <v>0</v>
      </c>
      <c r="Y193" s="32">
        <f t="shared" si="97"/>
        <v>0</v>
      </c>
      <c r="Z193" s="32">
        <f t="shared" si="98"/>
        <v>0</v>
      </c>
    </row>
    <row r="194" spans="1:26" x14ac:dyDescent="0.25">
      <c r="A194" s="30" t="str">
        <f t="shared" si="81"/>
        <v>4</v>
      </c>
      <c r="B194" s="30" t="str">
        <f t="shared" si="82"/>
        <v>5</v>
      </c>
      <c r="C194" s="30" t="str">
        <f t="shared" si="83"/>
        <v>3</v>
      </c>
      <c r="D194" s="31">
        <f t="shared" si="84"/>
        <v>0</v>
      </c>
      <c r="E194" s="31">
        <f t="shared" si="85"/>
        <v>2</v>
      </c>
      <c r="F194" s="32">
        <f t="shared" si="86"/>
        <v>2</v>
      </c>
      <c r="G194" s="31">
        <f t="shared" si="87"/>
        <v>0</v>
      </c>
      <c r="H194" s="31">
        <f t="shared" si="88"/>
        <v>0</v>
      </c>
      <c r="I194" s="32">
        <f t="shared" si="89"/>
        <v>0</v>
      </c>
      <c r="N194" t="s">
        <v>403</v>
      </c>
      <c r="R194" s="32" t="str">
        <f t="shared" si="90"/>
        <v>4)Hex(5)Fuc(3)NeuGc(2)</v>
      </c>
      <c r="S194" s="32" t="str">
        <f t="shared" si="91"/>
        <v>5)Fuc(3)NeuGc(2)</v>
      </c>
      <c r="T194" s="32" t="str">
        <f t="shared" si="92"/>
        <v>3)NeuGc(2)</v>
      </c>
      <c r="U194" s="32">
        <f t="shared" si="93"/>
        <v>0</v>
      </c>
      <c r="V194" s="32" t="str">
        <f t="shared" si="94"/>
        <v>2)</v>
      </c>
      <c r="W194" s="32">
        <f t="shared" si="95"/>
        <v>0</v>
      </c>
      <c r="X194" s="32">
        <f t="shared" si="96"/>
        <v>0</v>
      </c>
      <c r="Y194" s="32">
        <f t="shared" si="97"/>
        <v>0</v>
      </c>
      <c r="Z194" s="32">
        <f t="shared" si="98"/>
        <v>0</v>
      </c>
    </row>
    <row r="195" spans="1:26" x14ac:dyDescent="0.25">
      <c r="A195" s="30" t="str">
        <f t="shared" si="81"/>
        <v>6</v>
      </c>
      <c r="B195" s="30" t="str">
        <f t="shared" si="82"/>
        <v>9</v>
      </c>
      <c r="C195" s="30">
        <f t="shared" si="83"/>
        <v>0</v>
      </c>
      <c r="D195" s="31">
        <f t="shared" si="84"/>
        <v>0</v>
      </c>
      <c r="E195" s="31">
        <f t="shared" si="85"/>
        <v>0</v>
      </c>
      <c r="F195" s="32">
        <f t="shared" si="86"/>
        <v>0</v>
      </c>
      <c r="G195" s="31">
        <f t="shared" si="87"/>
        <v>0</v>
      </c>
      <c r="H195" s="31">
        <f t="shared" si="88"/>
        <v>0</v>
      </c>
      <c r="I195" s="32">
        <f t="shared" si="89"/>
        <v>0</v>
      </c>
      <c r="N195" t="s">
        <v>404</v>
      </c>
      <c r="R195" s="32" t="str">
        <f t="shared" si="90"/>
        <v>6)Hex(9)</v>
      </c>
      <c r="S195" s="32" t="str">
        <f t="shared" si="91"/>
        <v>9)</v>
      </c>
      <c r="T195" s="32">
        <f t="shared" si="92"/>
        <v>0</v>
      </c>
      <c r="U195" s="32">
        <f t="shared" si="93"/>
        <v>0</v>
      </c>
      <c r="V195" s="32">
        <f t="shared" si="94"/>
        <v>0</v>
      </c>
      <c r="W195" s="32">
        <f t="shared" si="95"/>
        <v>0</v>
      </c>
      <c r="X195" s="32">
        <f t="shared" si="96"/>
        <v>0</v>
      </c>
      <c r="Y195" s="32">
        <f t="shared" si="97"/>
        <v>0</v>
      </c>
      <c r="Z195" s="32">
        <f t="shared" si="98"/>
        <v>0</v>
      </c>
    </row>
    <row r="196" spans="1:26" x14ac:dyDescent="0.25">
      <c r="A196" s="30" t="str">
        <f t="shared" si="81"/>
        <v>7</v>
      </c>
      <c r="B196" s="30" t="str">
        <f t="shared" si="82"/>
        <v>7</v>
      </c>
      <c r="C196" s="30" t="str">
        <f t="shared" si="83"/>
        <v>1</v>
      </c>
      <c r="D196" s="31">
        <f t="shared" si="84"/>
        <v>0</v>
      </c>
      <c r="E196" s="31">
        <f t="shared" si="85"/>
        <v>0</v>
      </c>
      <c r="F196" s="32">
        <f t="shared" si="86"/>
        <v>0</v>
      </c>
      <c r="G196" s="31">
        <f t="shared" si="87"/>
        <v>0</v>
      </c>
      <c r="H196" s="31">
        <f t="shared" si="88"/>
        <v>0</v>
      </c>
      <c r="I196" s="32">
        <f t="shared" si="89"/>
        <v>0</v>
      </c>
      <c r="N196" t="s">
        <v>405</v>
      </c>
      <c r="R196" s="32" t="str">
        <f t="shared" si="90"/>
        <v>7)Hex(7)Fuc(1)</v>
      </c>
      <c r="S196" s="32" t="str">
        <f t="shared" si="91"/>
        <v>7)Fuc(1)</v>
      </c>
      <c r="T196" s="32" t="str">
        <f t="shared" si="92"/>
        <v>1)</v>
      </c>
      <c r="U196" s="32">
        <f t="shared" si="93"/>
        <v>0</v>
      </c>
      <c r="V196" s="32">
        <f t="shared" si="94"/>
        <v>0</v>
      </c>
      <c r="W196" s="32">
        <f t="shared" si="95"/>
        <v>0</v>
      </c>
      <c r="X196" s="32">
        <f t="shared" si="96"/>
        <v>0</v>
      </c>
      <c r="Y196" s="32">
        <f t="shared" si="97"/>
        <v>0</v>
      </c>
      <c r="Z196" s="32">
        <f t="shared" si="98"/>
        <v>0</v>
      </c>
    </row>
    <row r="197" spans="1:26" x14ac:dyDescent="0.25">
      <c r="A197" s="30" t="str">
        <f t="shared" si="81"/>
        <v>5</v>
      </c>
      <c r="B197" s="30" t="str">
        <f t="shared" si="82"/>
        <v>6</v>
      </c>
      <c r="C197" s="30" t="str">
        <f t="shared" si="83"/>
        <v>1</v>
      </c>
      <c r="D197" s="31">
        <f t="shared" si="84"/>
        <v>2</v>
      </c>
      <c r="E197" s="31">
        <f t="shared" si="85"/>
        <v>0</v>
      </c>
      <c r="F197" s="32">
        <f t="shared" si="86"/>
        <v>2</v>
      </c>
      <c r="G197" s="31">
        <f t="shared" si="87"/>
        <v>0</v>
      </c>
      <c r="H197" s="31">
        <f t="shared" si="88"/>
        <v>0</v>
      </c>
      <c r="I197" s="32">
        <f t="shared" si="89"/>
        <v>0</v>
      </c>
      <c r="N197" t="s">
        <v>406</v>
      </c>
      <c r="R197" s="32" t="str">
        <f t="shared" si="90"/>
        <v>5)Hex(6)Fuc(1)NeuAc(2)</v>
      </c>
      <c r="S197" s="32" t="str">
        <f t="shared" si="91"/>
        <v>6)Fuc(1)NeuAc(2)</v>
      </c>
      <c r="T197" s="32" t="str">
        <f t="shared" si="92"/>
        <v>1)NeuAc(2)</v>
      </c>
      <c r="U197" s="32" t="str">
        <f t="shared" si="93"/>
        <v>2)</v>
      </c>
      <c r="V197" s="32">
        <f t="shared" si="94"/>
        <v>0</v>
      </c>
      <c r="W197" s="32">
        <f t="shared" si="95"/>
        <v>0</v>
      </c>
      <c r="X197" s="32">
        <f t="shared" si="96"/>
        <v>0</v>
      </c>
      <c r="Y197" s="32">
        <f t="shared" si="97"/>
        <v>0</v>
      </c>
      <c r="Z197" s="32">
        <f t="shared" si="98"/>
        <v>0</v>
      </c>
    </row>
    <row r="198" spans="1:26" x14ac:dyDescent="0.25">
      <c r="A198" s="30" t="str">
        <f t="shared" si="81"/>
        <v>5</v>
      </c>
      <c r="B198" s="30" t="str">
        <f t="shared" si="82"/>
        <v>6</v>
      </c>
      <c r="C198" s="30" t="str">
        <f t="shared" si="83"/>
        <v>3</v>
      </c>
      <c r="D198" s="31">
        <f t="shared" si="84"/>
        <v>1</v>
      </c>
      <c r="E198" s="31">
        <f t="shared" si="85"/>
        <v>0</v>
      </c>
      <c r="F198" s="32">
        <f t="shared" si="86"/>
        <v>1</v>
      </c>
      <c r="G198" s="31">
        <f t="shared" si="87"/>
        <v>0</v>
      </c>
      <c r="H198" s="31">
        <f t="shared" si="88"/>
        <v>0</v>
      </c>
      <c r="I198" s="32">
        <f t="shared" si="89"/>
        <v>0</v>
      </c>
      <c r="N198" t="s">
        <v>407</v>
      </c>
      <c r="R198" s="32" t="str">
        <f t="shared" si="90"/>
        <v>5)Hex(6)Fuc(3)NeuAc(1)</v>
      </c>
      <c r="S198" s="32" t="str">
        <f t="shared" si="91"/>
        <v>6)Fuc(3)NeuAc(1)</v>
      </c>
      <c r="T198" s="32" t="str">
        <f t="shared" si="92"/>
        <v>3)NeuAc(1)</v>
      </c>
      <c r="U198" s="32" t="str">
        <f t="shared" si="93"/>
        <v>1)</v>
      </c>
      <c r="V198" s="32">
        <f t="shared" si="94"/>
        <v>0</v>
      </c>
      <c r="W198" s="32">
        <f t="shared" si="95"/>
        <v>0</v>
      </c>
      <c r="X198" s="32">
        <f t="shared" si="96"/>
        <v>0</v>
      </c>
      <c r="Y198" s="32">
        <f t="shared" si="97"/>
        <v>0</v>
      </c>
      <c r="Z198" s="32">
        <f t="shared" si="98"/>
        <v>0</v>
      </c>
    </row>
    <row r="199" spans="1:26" x14ac:dyDescent="0.25">
      <c r="A199" s="30" t="str">
        <f t="shared" si="81"/>
        <v>7</v>
      </c>
      <c r="B199" s="30" t="str">
        <f t="shared" si="82"/>
        <v>8</v>
      </c>
      <c r="C199" s="30">
        <f t="shared" si="83"/>
        <v>0</v>
      </c>
      <c r="D199" s="31">
        <f t="shared" si="84"/>
        <v>0</v>
      </c>
      <c r="E199" s="31">
        <f t="shared" si="85"/>
        <v>0</v>
      </c>
      <c r="F199" s="32">
        <f t="shared" si="86"/>
        <v>0</v>
      </c>
      <c r="G199" s="31">
        <f t="shared" si="87"/>
        <v>0</v>
      </c>
      <c r="H199" s="31">
        <f t="shared" si="88"/>
        <v>0</v>
      </c>
      <c r="I199" s="32">
        <f t="shared" si="89"/>
        <v>0</v>
      </c>
      <c r="N199" t="s">
        <v>408</v>
      </c>
      <c r="R199" s="32" t="str">
        <f t="shared" si="90"/>
        <v>7)Hex(8)</v>
      </c>
      <c r="S199" s="32" t="str">
        <f t="shared" si="91"/>
        <v>8)</v>
      </c>
      <c r="T199" s="32">
        <f t="shared" si="92"/>
        <v>0</v>
      </c>
      <c r="U199" s="32">
        <f t="shared" si="93"/>
        <v>0</v>
      </c>
      <c r="V199" s="32">
        <f t="shared" si="94"/>
        <v>0</v>
      </c>
      <c r="W199" s="32">
        <f t="shared" si="95"/>
        <v>0</v>
      </c>
      <c r="X199" s="32">
        <f t="shared" si="96"/>
        <v>0</v>
      </c>
      <c r="Y199" s="32">
        <f t="shared" si="97"/>
        <v>0</v>
      </c>
      <c r="Z199" s="32">
        <f t="shared" si="98"/>
        <v>0</v>
      </c>
    </row>
    <row r="200" spans="1:26" x14ac:dyDescent="0.25">
      <c r="A200" s="30" t="str">
        <f t="shared" si="81"/>
        <v>5</v>
      </c>
      <c r="B200" s="30" t="str">
        <f t="shared" si="82"/>
        <v>6</v>
      </c>
      <c r="C200" s="30" t="str">
        <f t="shared" si="83"/>
        <v>1</v>
      </c>
      <c r="D200" s="31">
        <f t="shared" si="84"/>
        <v>1</v>
      </c>
      <c r="E200" s="31">
        <f t="shared" si="85"/>
        <v>1</v>
      </c>
      <c r="F200" s="32">
        <f t="shared" si="86"/>
        <v>2</v>
      </c>
      <c r="G200" s="31">
        <f t="shared" si="87"/>
        <v>0</v>
      </c>
      <c r="H200" s="31">
        <f t="shared" si="88"/>
        <v>0</v>
      </c>
      <c r="I200" s="32">
        <f t="shared" si="89"/>
        <v>0</v>
      </c>
      <c r="N200" t="s">
        <v>409</v>
      </c>
      <c r="R200" s="32" t="str">
        <f t="shared" si="90"/>
        <v>5)Hex(6)Fuc(1)NeuAc(1)NeuGc(1)</v>
      </c>
      <c r="S200" s="32" t="str">
        <f t="shared" si="91"/>
        <v>6)Fuc(1)NeuAc(1)NeuGc(1)</v>
      </c>
      <c r="T200" s="32" t="str">
        <f t="shared" si="92"/>
        <v>1)NeuAc(1)NeuGc(1)</v>
      </c>
      <c r="U200" s="32" t="str">
        <f t="shared" si="93"/>
        <v>1)NeuGc(1)</v>
      </c>
      <c r="V200" s="32" t="str">
        <f t="shared" si="94"/>
        <v>1)</v>
      </c>
      <c r="W200" s="32">
        <f t="shared" si="95"/>
        <v>0</v>
      </c>
      <c r="X200" s="32">
        <f t="shared" si="96"/>
        <v>0</v>
      </c>
      <c r="Y200" s="32">
        <f t="shared" si="97"/>
        <v>0</v>
      </c>
      <c r="Z200" s="32">
        <f t="shared" si="98"/>
        <v>0</v>
      </c>
    </row>
    <row r="201" spans="1:26" x14ac:dyDescent="0.25">
      <c r="A201" s="30" t="str">
        <f t="shared" si="81"/>
        <v>5</v>
      </c>
      <c r="B201" s="30" t="str">
        <f t="shared" si="82"/>
        <v>6</v>
      </c>
      <c r="C201" s="30" t="str">
        <f t="shared" si="83"/>
        <v>3</v>
      </c>
      <c r="D201" s="31">
        <f t="shared" si="84"/>
        <v>0</v>
      </c>
      <c r="E201" s="31">
        <f t="shared" si="85"/>
        <v>1</v>
      </c>
      <c r="F201" s="32">
        <f t="shared" si="86"/>
        <v>1</v>
      </c>
      <c r="G201" s="31">
        <f t="shared" si="87"/>
        <v>0</v>
      </c>
      <c r="H201" s="31">
        <f t="shared" si="88"/>
        <v>0</v>
      </c>
      <c r="I201" s="32">
        <f t="shared" si="89"/>
        <v>0</v>
      </c>
      <c r="N201" t="s">
        <v>410</v>
      </c>
      <c r="R201" s="32" t="str">
        <f t="shared" si="90"/>
        <v>5)Hex(6)Fuc(3)NeuGc(1)</v>
      </c>
      <c r="S201" s="32" t="str">
        <f t="shared" si="91"/>
        <v>6)Fuc(3)NeuGc(1)</v>
      </c>
      <c r="T201" s="32" t="str">
        <f t="shared" si="92"/>
        <v>3)NeuGc(1)</v>
      </c>
      <c r="U201" s="32">
        <f t="shared" si="93"/>
        <v>0</v>
      </c>
      <c r="V201" s="32" t="str">
        <f t="shared" si="94"/>
        <v>1)</v>
      </c>
      <c r="W201" s="32">
        <f t="shared" si="95"/>
        <v>0</v>
      </c>
      <c r="X201" s="32">
        <f t="shared" si="96"/>
        <v>0</v>
      </c>
      <c r="Y201" s="32">
        <f t="shared" si="97"/>
        <v>0</v>
      </c>
      <c r="Z201" s="32">
        <f t="shared" si="98"/>
        <v>0</v>
      </c>
    </row>
    <row r="202" spans="1:26" x14ac:dyDescent="0.25">
      <c r="A202" s="30" t="str">
        <f t="shared" si="81"/>
        <v>5</v>
      </c>
      <c r="B202" s="30" t="str">
        <f t="shared" si="82"/>
        <v>6</v>
      </c>
      <c r="C202" s="30" t="str">
        <f t="shared" si="83"/>
        <v>1</v>
      </c>
      <c r="D202" s="31">
        <f t="shared" si="84"/>
        <v>0</v>
      </c>
      <c r="E202" s="31">
        <f t="shared" si="85"/>
        <v>2</v>
      </c>
      <c r="F202" s="32">
        <f t="shared" si="86"/>
        <v>2</v>
      </c>
      <c r="G202" s="31">
        <f t="shared" si="87"/>
        <v>0</v>
      </c>
      <c r="H202" s="31">
        <f t="shared" si="88"/>
        <v>0</v>
      </c>
      <c r="I202" s="32">
        <f t="shared" si="89"/>
        <v>0</v>
      </c>
      <c r="N202" t="s">
        <v>411</v>
      </c>
      <c r="R202" s="32" t="str">
        <f t="shared" si="90"/>
        <v>5)Hex(6)Fuc(1)NeuGc(2)</v>
      </c>
      <c r="S202" s="32" t="str">
        <f t="shared" si="91"/>
        <v>6)Fuc(1)NeuGc(2)</v>
      </c>
      <c r="T202" s="32" t="str">
        <f t="shared" si="92"/>
        <v>1)NeuGc(2)</v>
      </c>
      <c r="U202" s="32">
        <f t="shared" si="93"/>
        <v>0</v>
      </c>
      <c r="V202" s="32" t="str">
        <f t="shared" si="94"/>
        <v>2)</v>
      </c>
      <c r="W202" s="32">
        <f t="shared" si="95"/>
        <v>0</v>
      </c>
      <c r="X202" s="32">
        <f t="shared" si="96"/>
        <v>0</v>
      </c>
      <c r="Y202" s="32">
        <f t="shared" si="97"/>
        <v>0</v>
      </c>
      <c r="Z202" s="32">
        <f t="shared" si="98"/>
        <v>0</v>
      </c>
    </row>
    <row r="203" spans="1:26" x14ac:dyDescent="0.25">
      <c r="A203" s="30" t="str">
        <f t="shared" ref="A203:A266" si="99">IFERROR(LEFT(R203,FIND(")",R203)-1),0)</f>
        <v>8</v>
      </c>
      <c r="B203" s="30" t="str">
        <f t="shared" ref="B203:B266" si="100">IFERROR(LEFT(S203,FIND(")",S203)-1),0)</f>
        <v>7</v>
      </c>
      <c r="C203" s="30">
        <f t="shared" ref="C203:C266" si="101">IFERROR(LEFT(T203,FIND(")",T203)-1),0)</f>
        <v>0</v>
      </c>
      <c r="D203" s="31">
        <f t="shared" ref="D203:D266" si="102">VALUE(IFERROR(LEFT(U203,FIND(")",U203)-1),0))</f>
        <v>0</v>
      </c>
      <c r="E203" s="31">
        <f t="shared" ref="E203:E266" si="103">VALUE(IFERROR(LEFT(V203,FIND(")",V203)-1),0))</f>
        <v>0</v>
      </c>
      <c r="F203" s="32">
        <f t="shared" ref="F203:F266" si="104">SUM(D203:E203)</f>
        <v>0</v>
      </c>
      <c r="G203" s="31">
        <f t="shared" ref="G203:G266" si="105">VALUE(IFERROR(LEFT(X203,FIND(")",X203)-1),0))</f>
        <v>0</v>
      </c>
      <c r="H203" s="31">
        <f t="shared" ref="H203:H266" si="106">VALUE(IFERROR(LEFT(Y203,FIND(")",Y203)-1),0))</f>
        <v>0</v>
      </c>
      <c r="I203" s="32">
        <f t="shared" ref="I203:I266" si="107">SUM(G203:H203)</f>
        <v>0</v>
      </c>
      <c r="N203" t="s">
        <v>412</v>
      </c>
      <c r="R203" s="32" t="str">
        <f t="shared" si="90"/>
        <v>8)Hex(7)</v>
      </c>
      <c r="S203" s="32" t="str">
        <f t="shared" si="91"/>
        <v>7)</v>
      </c>
      <c r="T203" s="32">
        <f t="shared" si="92"/>
        <v>0</v>
      </c>
      <c r="U203" s="32">
        <f t="shared" si="93"/>
        <v>0</v>
      </c>
      <c r="V203" s="32">
        <f t="shared" si="94"/>
        <v>0</v>
      </c>
      <c r="W203" s="32">
        <f t="shared" si="95"/>
        <v>0</v>
      </c>
      <c r="X203" s="32">
        <f t="shared" si="96"/>
        <v>0</v>
      </c>
      <c r="Y203" s="32">
        <f t="shared" si="97"/>
        <v>0</v>
      </c>
      <c r="Z203" s="32">
        <f t="shared" si="98"/>
        <v>0</v>
      </c>
    </row>
    <row r="204" spans="1:26" x14ac:dyDescent="0.25">
      <c r="A204" s="30" t="str">
        <f t="shared" si="99"/>
        <v>6</v>
      </c>
      <c r="B204" s="30" t="str">
        <f t="shared" si="100"/>
        <v>6</v>
      </c>
      <c r="C204" s="30">
        <f t="shared" si="101"/>
        <v>0</v>
      </c>
      <c r="D204" s="31">
        <f t="shared" si="102"/>
        <v>1</v>
      </c>
      <c r="E204" s="31">
        <f t="shared" si="103"/>
        <v>0</v>
      </c>
      <c r="F204" s="32">
        <f t="shared" si="104"/>
        <v>1</v>
      </c>
      <c r="G204" s="31">
        <f t="shared" si="105"/>
        <v>0</v>
      </c>
      <c r="H204" s="31">
        <f t="shared" si="106"/>
        <v>0</v>
      </c>
      <c r="I204" s="32">
        <f t="shared" si="107"/>
        <v>0</v>
      </c>
      <c r="N204" t="s">
        <v>413</v>
      </c>
      <c r="R204" s="32" t="str">
        <f t="shared" si="90"/>
        <v>6)Hex(6)NeuAc(1)</v>
      </c>
      <c r="S204" s="32" t="str">
        <f t="shared" si="91"/>
        <v>6)NeuAc(1)</v>
      </c>
      <c r="T204" s="32">
        <f t="shared" si="92"/>
        <v>0</v>
      </c>
      <c r="U204" s="32" t="str">
        <f t="shared" si="93"/>
        <v>1)</v>
      </c>
      <c r="V204" s="32">
        <f t="shared" si="94"/>
        <v>0</v>
      </c>
      <c r="W204" s="32">
        <f t="shared" si="95"/>
        <v>0</v>
      </c>
      <c r="X204" s="32">
        <f t="shared" si="96"/>
        <v>0</v>
      </c>
      <c r="Y204" s="32">
        <f t="shared" si="97"/>
        <v>0</v>
      </c>
      <c r="Z204" s="32">
        <f t="shared" si="98"/>
        <v>0</v>
      </c>
    </row>
    <row r="205" spans="1:26" x14ac:dyDescent="0.25">
      <c r="A205" s="30" t="str">
        <f t="shared" si="99"/>
        <v>6</v>
      </c>
      <c r="B205" s="30" t="str">
        <f t="shared" si="100"/>
        <v>6</v>
      </c>
      <c r="C205" s="30">
        <f t="shared" si="101"/>
        <v>0</v>
      </c>
      <c r="D205" s="31">
        <f t="shared" si="102"/>
        <v>2</v>
      </c>
      <c r="E205" s="31">
        <f t="shared" si="103"/>
        <v>0</v>
      </c>
      <c r="F205" s="32">
        <f t="shared" si="104"/>
        <v>2</v>
      </c>
      <c r="G205" s="31">
        <f t="shared" si="105"/>
        <v>0</v>
      </c>
      <c r="H205" s="31">
        <f t="shared" si="106"/>
        <v>0</v>
      </c>
      <c r="I205" s="32">
        <f t="shared" si="107"/>
        <v>0</v>
      </c>
      <c r="N205" t="s">
        <v>414</v>
      </c>
      <c r="R205" s="32" t="str">
        <f t="shared" si="90"/>
        <v>6)Hex(6)NeuAc(2)</v>
      </c>
      <c r="S205" s="32" t="str">
        <f t="shared" si="91"/>
        <v>6)NeuAc(2)</v>
      </c>
      <c r="T205" s="32">
        <f t="shared" si="92"/>
        <v>0</v>
      </c>
      <c r="U205" s="32" t="str">
        <f t="shared" si="93"/>
        <v>2)</v>
      </c>
      <c r="V205" s="32">
        <f t="shared" si="94"/>
        <v>0</v>
      </c>
      <c r="W205" s="32">
        <f t="shared" si="95"/>
        <v>0</v>
      </c>
      <c r="X205" s="32">
        <f t="shared" si="96"/>
        <v>0</v>
      </c>
      <c r="Y205" s="32">
        <f t="shared" si="97"/>
        <v>0</v>
      </c>
      <c r="Z205" s="32">
        <f t="shared" si="98"/>
        <v>0</v>
      </c>
    </row>
    <row r="206" spans="1:26" x14ac:dyDescent="0.25">
      <c r="A206" s="30" t="str">
        <f t="shared" si="99"/>
        <v>6</v>
      </c>
      <c r="B206" s="30" t="str">
        <f t="shared" si="100"/>
        <v>6</v>
      </c>
      <c r="C206" s="30">
        <f t="shared" si="101"/>
        <v>0</v>
      </c>
      <c r="D206" s="31">
        <f t="shared" si="102"/>
        <v>1</v>
      </c>
      <c r="E206" s="31">
        <f t="shared" si="103"/>
        <v>1</v>
      </c>
      <c r="F206" s="32">
        <f t="shared" si="104"/>
        <v>2</v>
      </c>
      <c r="G206" s="31">
        <f t="shared" si="105"/>
        <v>0</v>
      </c>
      <c r="H206" s="31">
        <f t="shared" si="106"/>
        <v>0</v>
      </c>
      <c r="I206" s="32">
        <f t="shared" si="107"/>
        <v>0</v>
      </c>
      <c r="N206" t="s">
        <v>415</v>
      </c>
      <c r="R206" s="32" t="str">
        <f t="shared" ref="R206:R269" si="108">IFERROR(MID($N206,SEARCH(A$1&amp;"(",$N206)+LEN(A$1)+1,LEN($N206)),0)</f>
        <v>6)Hex(6)NeuAc(1)NeuGc(1)</v>
      </c>
      <c r="S206" s="32" t="str">
        <f t="shared" ref="S206:S269" si="109">IFERROR(MID($N206,SEARCH(B$1&amp;"(",$N206)+LEN(B$1)+1,LEN($N206)),0)</f>
        <v>6)NeuAc(1)NeuGc(1)</v>
      </c>
      <c r="T206" s="32">
        <f t="shared" ref="T206:T269" si="110">IFERROR(MID($N206,SEARCH(C$1&amp;"(",$N206)+LEN(C$1)+1,LEN($N206)),0)</f>
        <v>0</v>
      </c>
      <c r="U206" s="32" t="str">
        <f t="shared" ref="U206:U269" si="111">IFERROR(MID($N206,SEARCH(D$1&amp;"(",$N206)+LEN(D$1)+1,LEN($N206)),0)</f>
        <v>1)NeuGc(1)</v>
      </c>
      <c r="V206" s="32" t="str">
        <f t="shared" ref="V206:V269" si="112">IFERROR(MID($N206,SEARCH(E$1&amp;"(",$N206)+LEN(E$1)+1,LEN($N206)),0)</f>
        <v>1)</v>
      </c>
      <c r="W206" s="32">
        <f t="shared" ref="W206:W269" si="113">IFERROR(MID($N206,SEARCH(F$1&amp;"(",$N206)+LEN(F$1)+1,LEN($N206)),0)</f>
        <v>0</v>
      </c>
      <c r="X206" s="32">
        <f t="shared" ref="X206:X269" si="114">IFERROR(MID($N206,SEARCH(G$1&amp;"(",$N206)+LEN(G$1)+1,LEN($N206)),0)</f>
        <v>0</v>
      </c>
      <c r="Y206" s="32">
        <f t="shared" ref="Y206:Y269" si="115">IFERROR(MID($N206,SEARCH(H$1&amp;"(",$N206)+LEN(H$1)+1,LEN($N206)),0)</f>
        <v>0</v>
      </c>
      <c r="Z206" s="32">
        <f t="shared" ref="Z206:Z269" si="116">IFERROR(MID($N206,SEARCH(I$1&amp;"(",$N206)+LEN(I$1)+1,LEN($N206)),0)</f>
        <v>0</v>
      </c>
    </row>
    <row r="207" spans="1:26" x14ac:dyDescent="0.25">
      <c r="A207" s="30" t="str">
        <f t="shared" si="99"/>
        <v>6</v>
      </c>
      <c r="B207" s="30" t="str">
        <f t="shared" si="100"/>
        <v>7</v>
      </c>
      <c r="C207" s="30" t="str">
        <f t="shared" si="101"/>
        <v>1</v>
      </c>
      <c r="D207" s="31">
        <f t="shared" si="102"/>
        <v>1</v>
      </c>
      <c r="E207" s="31">
        <f t="shared" si="103"/>
        <v>0</v>
      </c>
      <c r="F207" s="32">
        <f t="shared" si="104"/>
        <v>1</v>
      </c>
      <c r="G207" s="31">
        <f t="shared" si="105"/>
        <v>0</v>
      </c>
      <c r="H207" s="31">
        <f t="shared" si="106"/>
        <v>0</v>
      </c>
      <c r="I207" s="32">
        <f t="shared" si="107"/>
        <v>0</v>
      </c>
      <c r="N207" t="s">
        <v>416</v>
      </c>
      <c r="R207" s="32" t="str">
        <f t="shared" si="108"/>
        <v>6)Hex(7)Fuc(1)NeuAc(1)</v>
      </c>
      <c r="S207" s="32" t="str">
        <f t="shared" si="109"/>
        <v>7)Fuc(1)NeuAc(1)</v>
      </c>
      <c r="T207" s="32" t="str">
        <f t="shared" si="110"/>
        <v>1)NeuAc(1)</v>
      </c>
      <c r="U207" s="32" t="str">
        <f t="shared" si="111"/>
        <v>1)</v>
      </c>
      <c r="V207" s="32">
        <f t="shared" si="112"/>
        <v>0</v>
      </c>
      <c r="W207" s="32">
        <f t="shared" si="113"/>
        <v>0</v>
      </c>
      <c r="X207" s="32">
        <f t="shared" si="114"/>
        <v>0</v>
      </c>
      <c r="Y207" s="32">
        <f t="shared" si="115"/>
        <v>0</v>
      </c>
      <c r="Z207" s="32">
        <f t="shared" si="116"/>
        <v>0</v>
      </c>
    </row>
    <row r="208" spans="1:26" x14ac:dyDescent="0.25">
      <c r="A208" s="30" t="str">
        <f t="shared" si="99"/>
        <v>9</v>
      </c>
      <c r="B208" s="30" t="str">
        <f t="shared" si="100"/>
        <v>6</v>
      </c>
      <c r="C208" s="30">
        <f t="shared" si="101"/>
        <v>0</v>
      </c>
      <c r="D208" s="31">
        <f t="shared" si="102"/>
        <v>0</v>
      </c>
      <c r="E208" s="31">
        <f t="shared" si="103"/>
        <v>0</v>
      </c>
      <c r="F208" s="32">
        <f t="shared" si="104"/>
        <v>0</v>
      </c>
      <c r="G208" s="31">
        <f t="shared" si="105"/>
        <v>0</v>
      </c>
      <c r="H208" s="31">
        <f t="shared" si="106"/>
        <v>0</v>
      </c>
      <c r="I208" s="32">
        <f t="shared" si="107"/>
        <v>0</v>
      </c>
      <c r="N208" t="s">
        <v>417</v>
      </c>
      <c r="R208" s="32" t="str">
        <f t="shared" si="108"/>
        <v>9)Hex(6)</v>
      </c>
      <c r="S208" s="32" t="str">
        <f t="shared" si="109"/>
        <v>6)</v>
      </c>
      <c r="T208" s="32">
        <f t="shared" si="110"/>
        <v>0</v>
      </c>
      <c r="U208" s="32">
        <f t="shared" si="111"/>
        <v>0</v>
      </c>
      <c r="V208" s="32">
        <f t="shared" si="112"/>
        <v>0</v>
      </c>
      <c r="W208" s="32">
        <f t="shared" si="113"/>
        <v>0</v>
      </c>
      <c r="X208" s="32">
        <f t="shared" si="114"/>
        <v>0</v>
      </c>
      <c r="Y208" s="32">
        <f t="shared" si="115"/>
        <v>0</v>
      </c>
      <c r="Z208" s="32">
        <f t="shared" si="116"/>
        <v>0</v>
      </c>
    </row>
    <row r="209" spans="1:26" x14ac:dyDescent="0.25">
      <c r="A209" s="30" t="str">
        <f t="shared" si="99"/>
        <v>6</v>
      </c>
      <c r="B209" s="30" t="str">
        <f t="shared" si="100"/>
        <v>6</v>
      </c>
      <c r="C209" s="30">
        <f t="shared" si="101"/>
        <v>0</v>
      </c>
      <c r="D209" s="31">
        <f t="shared" si="102"/>
        <v>0</v>
      </c>
      <c r="E209" s="31">
        <f t="shared" si="103"/>
        <v>2</v>
      </c>
      <c r="F209" s="32">
        <f t="shared" si="104"/>
        <v>2</v>
      </c>
      <c r="G209" s="31">
        <f t="shared" si="105"/>
        <v>0</v>
      </c>
      <c r="H209" s="31">
        <f t="shared" si="106"/>
        <v>0</v>
      </c>
      <c r="I209" s="32">
        <f t="shared" si="107"/>
        <v>0</v>
      </c>
      <c r="N209" t="s">
        <v>418</v>
      </c>
      <c r="R209" s="32" t="str">
        <f t="shared" si="108"/>
        <v>6)Hex(6)NeuGc(2)</v>
      </c>
      <c r="S209" s="32" t="str">
        <f t="shared" si="109"/>
        <v>6)NeuGc(2)</v>
      </c>
      <c r="T209" s="32">
        <f t="shared" si="110"/>
        <v>0</v>
      </c>
      <c r="U209" s="32">
        <f t="shared" si="111"/>
        <v>0</v>
      </c>
      <c r="V209" s="32" t="str">
        <f t="shared" si="112"/>
        <v>2)</v>
      </c>
      <c r="W209" s="32">
        <f t="shared" si="113"/>
        <v>0</v>
      </c>
      <c r="X209" s="32">
        <f t="shared" si="114"/>
        <v>0</v>
      </c>
      <c r="Y209" s="32">
        <f t="shared" si="115"/>
        <v>0</v>
      </c>
      <c r="Z209" s="32">
        <f t="shared" si="116"/>
        <v>0</v>
      </c>
    </row>
    <row r="210" spans="1:26" x14ac:dyDescent="0.25">
      <c r="A210" s="30" t="str">
        <f t="shared" si="99"/>
        <v>6</v>
      </c>
      <c r="B210" s="30" t="str">
        <f t="shared" si="100"/>
        <v>7</v>
      </c>
      <c r="C210" s="30" t="str">
        <f t="shared" si="101"/>
        <v>1</v>
      </c>
      <c r="D210" s="31">
        <f t="shared" si="102"/>
        <v>0</v>
      </c>
      <c r="E210" s="31">
        <f t="shared" si="103"/>
        <v>1</v>
      </c>
      <c r="F210" s="32">
        <f t="shared" si="104"/>
        <v>1</v>
      </c>
      <c r="G210" s="31">
        <f t="shared" si="105"/>
        <v>0</v>
      </c>
      <c r="H210" s="31">
        <f t="shared" si="106"/>
        <v>0</v>
      </c>
      <c r="I210" s="32">
        <f t="shared" si="107"/>
        <v>0</v>
      </c>
      <c r="N210" t="s">
        <v>419</v>
      </c>
      <c r="R210" s="32" t="str">
        <f t="shared" si="108"/>
        <v>6)Hex(7)Fuc(1)NeuGc(1)</v>
      </c>
      <c r="S210" s="32" t="str">
        <f t="shared" si="109"/>
        <v>7)Fuc(1)NeuGc(1)</v>
      </c>
      <c r="T210" s="32" t="str">
        <f t="shared" si="110"/>
        <v>1)NeuGc(1)</v>
      </c>
      <c r="U210" s="32">
        <f t="shared" si="111"/>
        <v>0</v>
      </c>
      <c r="V210" s="32" t="str">
        <f t="shared" si="112"/>
        <v>1)</v>
      </c>
      <c r="W210" s="32">
        <f t="shared" si="113"/>
        <v>0</v>
      </c>
      <c r="X210" s="32">
        <f t="shared" si="114"/>
        <v>0</v>
      </c>
      <c r="Y210" s="32">
        <f t="shared" si="115"/>
        <v>0</v>
      </c>
      <c r="Z210" s="32">
        <f t="shared" si="116"/>
        <v>0</v>
      </c>
    </row>
    <row r="211" spans="1:26" x14ac:dyDescent="0.25">
      <c r="A211" s="30" t="str">
        <f t="shared" si="99"/>
        <v>6</v>
      </c>
      <c r="B211" s="30" t="str">
        <f t="shared" si="100"/>
        <v>8</v>
      </c>
      <c r="C211" s="30">
        <f t="shared" si="101"/>
        <v>0</v>
      </c>
      <c r="D211" s="31">
        <f t="shared" si="102"/>
        <v>1</v>
      </c>
      <c r="E211" s="31">
        <f t="shared" si="103"/>
        <v>0</v>
      </c>
      <c r="F211" s="32">
        <f t="shared" si="104"/>
        <v>1</v>
      </c>
      <c r="G211" s="31">
        <f t="shared" si="105"/>
        <v>0</v>
      </c>
      <c r="H211" s="31">
        <f t="shared" si="106"/>
        <v>0</v>
      </c>
      <c r="I211" s="32">
        <f t="shared" si="107"/>
        <v>0</v>
      </c>
      <c r="N211" t="s">
        <v>420</v>
      </c>
      <c r="R211" s="32" t="str">
        <f t="shared" si="108"/>
        <v>6)Hex(8)NeuAc(1)</v>
      </c>
      <c r="S211" s="32" t="str">
        <f t="shared" si="109"/>
        <v>8)NeuAc(1)</v>
      </c>
      <c r="T211" s="32">
        <f t="shared" si="110"/>
        <v>0</v>
      </c>
      <c r="U211" s="32" t="str">
        <f t="shared" si="111"/>
        <v>1)</v>
      </c>
      <c r="V211" s="32">
        <f t="shared" si="112"/>
        <v>0</v>
      </c>
      <c r="W211" s="32">
        <f t="shared" si="113"/>
        <v>0</v>
      </c>
      <c r="X211" s="32">
        <f t="shared" si="114"/>
        <v>0</v>
      </c>
      <c r="Y211" s="32">
        <f t="shared" si="115"/>
        <v>0</v>
      </c>
      <c r="Z211" s="32">
        <f t="shared" si="116"/>
        <v>0</v>
      </c>
    </row>
    <row r="212" spans="1:26" x14ac:dyDescent="0.25">
      <c r="A212" s="30" t="str">
        <f t="shared" si="99"/>
        <v>5</v>
      </c>
      <c r="B212" s="30" t="str">
        <f t="shared" si="100"/>
        <v>6</v>
      </c>
      <c r="C212" s="30">
        <f t="shared" si="101"/>
        <v>0</v>
      </c>
      <c r="D212" s="31">
        <f t="shared" si="102"/>
        <v>3</v>
      </c>
      <c r="E212" s="31">
        <f t="shared" si="103"/>
        <v>0</v>
      </c>
      <c r="F212" s="32">
        <f t="shared" si="104"/>
        <v>3</v>
      </c>
      <c r="G212" s="31">
        <f t="shared" si="105"/>
        <v>0</v>
      </c>
      <c r="H212" s="31">
        <f t="shared" si="106"/>
        <v>0</v>
      </c>
      <c r="I212" s="32">
        <f t="shared" si="107"/>
        <v>0</v>
      </c>
      <c r="N212" t="s">
        <v>421</v>
      </c>
      <c r="R212" s="32" t="str">
        <f t="shared" si="108"/>
        <v>5)Hex(6)NeuAc(3)</v>
      </c>
      <c r="S212" s="32" t="str">
        <f t="shared" si="109"/>
        <v>6)NeuAc(3)</v>
      </c>
      <c r="T212" s="32">
        <f t="shared" si="110"/>
        <v>0</v>
      </c>
      <c r="U212" s="32" t="str">
        <f t="shared" si="111"/>
        <v>3)</v>
      </c>
      <c r="V212" s="32">
        <f t="shared" si="112"/>
        <v>0</v>
      </c>
      <c r="W212" s="32">
        <f t="shared" si="113"/>
        <v>0</v>
      </c>
      <c r="X212" s="32">
        <f t="shared" si="114"/>
        <v>0</v>
      </c>
      <c r="Y212" s="32">
        <f t="shared" si="115"/>
        <v>0</v>
      </c>
      <c r="Z212" s="32">
        <f t="shared" si="116"/>
        <v>0</v>
      </c>
    </row>
    <row r="213" spans="1:26" x14ac:dyDescent="0.25">
      <c r="A213" s="30" t="str">
        <f t="shared" si="99"/>
        <v>7</v>
      </c>
      <c r="B213" s="30" t="str">
        <f t="shared" si="100"/>
        <v>8</v>
      </c>
      <c r="C213" s="30" t="str">
        <f t="shared" si="101"/>
        <v>1</v>
      </c>
      <c r="D213" s="31">
        <f t="shared" si="102"/>
        <v>0</v>
      </c>
      <c r="E213" s="31">
        <f t="shared" si="103"/>
        <v>0</v>
      </c>
      <c r="F213" s="32">
        <f t="shared" si="104"/>
        <v>0</v>
      </c>
      <c r="G213" s="31">
        <f t="shared" si="105"/>
        <v>0</v>
      </c>
      <c r="H213" s="31">
        <f t="shared" si="106"/>
        <v>0</v>
      </c>
      <c r="I213" s="32">
        <f t="shared" si="107"/>
        <v>0</v>
      </c>
      <c r="N213" t="s">
        <v>422</v>
      </c>
      <c r="R213" s="32" t="str">
        <f t="shared" si="108"/>
        <v>7)Hex(8)Fuc(1)</v>
      </c>
      <c r="S213" s="32" t="str">
        <f t="shared" si="109"/>
        <v>8)Fuc(1)</v>
      </c>
      <c r="T213" s="32" t="str">
        <f t="shared" si="110"/>
        <v>1)</v>
      </c>
      <c r="U213" s="32">
        <f t="shared" si="111"/>
        <v>0</v>
      </c>
      <c r="V213" s="32">
        <f t="shared" si="112"/>
        <v>0</v>
      </c>
      <c r="W213" s="32">
        <f t="shared" si="113"/>
        <v>0</v>
      </c>
      <c r="X213" s="32">
        <f t="shared" si="114"/>
        <v>0</v>
      </c>
      <c r="Y213" s="32">
        <f t="shared" si="115"/>
        <v>0</v>
      </c>
      <c r="Z213" s="32">
        <f t="shared" si="116"/>
        <v>0</v>
      </c>
    </row>
    <row r="214" spans="1:26" x14ac:dyDescent="0.25">
      <c r="A214" s="30" t="str">
        <f t="shared" si="99"/>
        <v>5</v>
      </c>
      <c r="B214" s="30" t="str">
        <f t="shared" si="100"/>
        <v>6</v>
      </c>
      <c r="C214" s="30">
        <f t="shared" si="101"/>
        <v>0</v>
      </c>
      <c r="D214" s="31">
        <f t="shared" si="102"/>
        <v>2</v>
      </c>
      <c r="E214" s="31">
        <f t="shared" si="103"/>
        <v>1</v>
      </c>
      <c r="F214" s="32">
        <f t="shared" si="104"/>
        <v>3</v>
      </c>
      <c r="G214" s="31">
        <f t="shared" si="105"/>
        <v>0</v>
      </c>
      <c r="H214" s="31">
        <f t="shared" si="106"/>
        <v>0</v>
      </c>
      <c r="I214" s="32">
        <f t="shared" si="107"/>
        <v>0</v>
      </c>
      <c r="N214" t="s">
        <v>423</v>
      </c>
      <c r="R214" s="32" t="str">
        <f t="shared" si="108"/>
        <v>5)Hex(6)NeuAc(2)NeuGc(1)</v>
      </c>
      <c r="S214" s="32" t="str">
        <f t="shared" si="109"/>
        <v>6)NeuAc(2)NeuGc(1)</v>
      </c>
      <c r="T214" s="32">
        <f t="shared" si="110"/>
        <v>0</v>
      </c>
      <c r="U214" s="32" t="str">
        <f t="shared" si="111"/>
        <v>2)NeuGc(1)</v>
      </c>
      <c r="V214" s="32" t="str">
        <f t="shared" si="112"/>
        <v>1)</v>
      </c>
      <c r="W214" s="32">
        <f t="shared" si="113"/>
        <v>0</v>
      </c>
      <c r="X214" s="32">
        <f t="shared" si="114"/>
        <v>0</v>
      </c>
      <c r="Y214" s="32">
        <f t="shared" si="115"/>
        <v>0</v>
      </c>
      <c r="Z214" s="32">
        <f t="shared" si="116"/>
        <v>0</v>
      </c>
    </row>
    <row r="215" spans="1:26" x14ac:dyDescent="0.25">
      <c r="A215" s="30" t="str">
        <f t="shared" si="99"/>
        <v>5</v>
      </c>
      <c r="B215" s="30" t="str">
        <f t="shared" si="100"/>
        <v>7</v>
      </c>
      <c r="C215" s="30" t="str">
        <f t="shared" si="101"/>
        <v>1</v>
      </c>
      <c r="D215" s="31">
        <f t="shared" si="102"/>
        <v>2</v>
      </c>
      <c r="E215" s="31">
        <f t="shared" si="103"/>
        <v>0</v>
      </c>
      <c r="F215" s="32">
        <f t="shared" si="104"/>
        <v>2</v>
      </c>
      <c r="G215" s="31">
        <f t="shared" si="105"/>
        <v>0</v>
      </c>
      <c r="H215" s="31">
        <f t="shared" si="106"/>
        <v>0</v>
      </c>
      <c r="I215" s="32">
        <f t="shared" si="107"/>
        <v>0</v>
      </c>
      <c r="N215" t="s">
        <v>424</v>
      </c>
      <c r="R215" s="32" t="str">
        <f t="shared" si="108"/>
        <v>5)Hex(7)Fuc(1)NeuAc(2)</v>
      </c>
      <c r="S215" s="32" t="str">
        <f t="shared" si="109"/>
        <v>7)Fuc(1)NeuAc(2)</v>
      </c>
      <c r="T215" s="32" t="str">
        <f t="shared" si="110"/>
        <v>1)NeuAc(2)</v>
      </c>
      <c r="U215" s="32" t="str">
        <f t="shared" si="111"/>
        <v>2)</v>
      </c>
      <c r="V215" s="32">
        <f t="shared" si="112"/>
        <v>0</v>
      </c>
      <c r="W215" s="32">
        <f t="shared" si="113"/>
        <v>0</v>
      </c>
      <c r="X215" s="32">
        <f t="shared" si="114"/>
        <v>0</v>
      </c>
      <c r="Y215" s="32">
        <f t="shared" si="115"/>
        <v>0</v>
      </c>
      <c r="Z215" s="32">
        <f t="shared" si="116"/>
        <v>0</v>
      </c>
    </row>
    <row r="216" spans="1:26" x14ac:dyDescent="0.25">
      <c r="A216" s="30" t="str">
        <f t="shared" si="99"/>
        <v>5</v>
      </c>
      <c r="B216" s="30" t="str">
        <f t="shared" si="100"/>
        <v>6</v>
      </c>
      <c r="C216" s="30">
        <f t="shared" si="101"/>
        <v>0</v>
      </c>
      <c r="D216" s="31">
        <f t="shared" si="102"/>
        <v>1</v>
      </c>
      <c r="E216" s="31">
        <f t="shared" si="103"/>
        <v>2</v>
      </c>
      <c r="F216" s="32">
        <f t="shared" si="104"/>
        <v>3</v>
      </c>
      <c r="G216" s="31">
        <f t="shared" si="105"/>
        <v>0</v>
      </c>
      <c r="H216" s="31">
        <f t="shared" si="106"/>
        <v>0</v>
      </c>
      <c r="I216" s="32">
        <f t="shared" si="107"/>
        <v>0</v>
      </c>
      <c r="N216" t="s">
        <v>425</v>
      </c>
      <c r="R216" s="32" t="str">
        <f t="shared" si="108"/>
        <v>5)Hex(6)NeuAc(1)NeuGc(2)</v>
      </c>
      <c r="S216" s="32" t="str">
        <f t="shared" si="109"/>
        <v>6)NeuAc(1)NeuGc(2)</v>
      </c>
      <c r="T216" s="32">
        <f t="shared" si="110"/>
        <v>0</v>
      </c>
      <c r="U216" s="32" t="str">
        <f t="shared" si="111"/>
        <v>1)NeuGc(2)</v>
      </c>
      <c r="V216" s="32" t="str">
        <f t="shared" si="112"/>
        <v>2)</v>
      </c>
      <c r="W216" s="32">
        <f t="shared" si="113"/>
        <v>0</v>
      </c>
      <c r="X216" s="32">
        <f t="shared" si="114"/>
        <v>0</v>
      </c>
      <c r="Y216" s="32">
        <f t="shared" si="115"/>
        <v>0</v>
      </c>
      <c r="Z216" s="32">
        <f t="shared" si="116"/>
        <v>0</v>
      </c>
    </row>
    <row r="217" spans="1:26" x14ac:dyDescent="0.25">
      <c r="A217" s="30" t="str">
        <f t="shared" si="99"/>
        <v>5</v>
      </c>
      <c r="B217" s="30" t="str">
        <f t="shared" si="100"/>
        <v>7</v>
      </c>
      <c r="C217" s="30" t="str">
        <f t="shared" si="101"/>
        <v>1</v>
      </c>
      <c r="D217" s="31">
        <f t="shared" si="102"/>
        <v>1</v>
      </c>
      <c r="E217" s="31">
        <f t="shared" si="103"/>
        <v>1</v>
      </c>
      <c r="F217" s="32">
        <f t="shared" si="104"/>
        <v>2</v>
      </c>
      <c r="G217" s="31">
        <f t="shared" si="105"/>
        <v>0</v>
      </c>
      <c r="H217" s="31">
        <f t="shared" si="106"/>
        <v>0</v>
      </c>
      <c r="I217" s="32">
        <f t="shared" si="107"/>
        <v>0</v>
      </c>
      <c r="N217" t="s">
        <v>426</v>
      </c>
      <c r="R217" s="32" t="str">
        <f t="shared" si="108"/>
        <v>5)Hex(7)Fuc(1)NeuAc(1)NeuGc(1)</v>
      </c>
      <c r="S217" s="32" t="str">
        <f t="shared" si="109"/>
        <v>7)Fuc(1)NeuAc(1)NeuGc(1)</v>
      </c>
      <c r="T217" s="32" t="str">
        <f t="shared" si="110"/>
        <v>1)NeuAc(1)NeuGc(1)</v>
      </c>
      <c r="U217" s="32" t="str">
        <f t="shared" si="111"/>
        <v>1)NeuGc(1)</v>
      </c>
      <c r="V217" s="32" t="str">
        <f t="shared" si="112"/>
        <v>1)</v>
      </c>
      <c r="W217" s="32">
        <f t="shared" si="113"/>
        <v>0</v>
      </c>
      <c r="X217" s="32">
        <f t="shared" si="114"/>
        <v>0</v>
      </c>
      <c r="Y217" s="32">
        <f t="shared" si="115"/>
        <v>0</v>
      </c>
      <c r="Z217" s="32">
        <f t="shared" si="116"/>
        <v>0</v>
      </c>
    </row>
    <row r="218" spans="1:26" x14ac:dyDescent="0.25">
      <c r="A218" s="30" t="str">
        <f t="shared" si="99"/>
        <v>5</v>
      </c>
      <c r="B218" s="30" t="str">
        <f t="shared" si="100"/>
        <v>8</v>
      </c>
      <c r="C218" s="30" t="str">
        <f t="shared" si="101"/>
        <v>4</v>
      </c>
      <c r="D218" s="31">
        <f t="shared" si="102"/>
        <v>0</v>
      </c>
      <c r="E218" s="31">
        <f t="shared" si="103"/>
        <v>0</v>
      </c>
      <c r="F218" s="32">
        <f t="shared" si="104"/>
        <v>0</v>
      </c>
      <c r="G218" s="31">
        <f t="shared" si="105"/>
        <v>0</v>
      </c>
      <c r="H218" s="31">
        <f t="shared" si="106"/>
        <v>0</v>
      </c>
      <c r="I218" s="32">
        <f t="shared" si="107"/>
        <v>0</v>
      </c>
      <c r="N218" t="s">
        <v>427</v>
      </c>
      <c r="R218" s="32" t="str">
        <f t="shared" si="108"/>
        <v>5)Hex(8)Fuc(4)</v>
      </c>
      <c r="S218" s="32" t="str">
        <f t="shared" si="109"/>
        <v>8)Fuc(4)</v>
      </c>
      <c r="T218" s="32" t="str">
        <f t="shared" si="110"/>
        <v>4)</v>
      </c>
      <c r="U218" s="32">
        <f t="shared" si="111"/>
        <v>0</v>
      </c>
      <c r="V218" s="32">
        <f t="shared" si="112"/>
        <v>0</v>
      </c>
      <c r="W218" s="32">
        <f t="shared" si="113"/>
        <v>0</v>
      </c>
      <c r="X218" s="32">
        <f t="shared" si="114"/>
        <v>0</v>
      </c>
      <c r="Y218" s="32">
        <f t="shared" si="115"/>
        <v>0</v>
      </c>
      <c r="Z218" s="32">
        <f t="shared" si="116"/>
        <v>0</v>
      </c>
    </row>
    <row r="219" spans="1:26" x14ac:dyDescent="0.25">
      <c r="A219" s="30" t="str">
        <f t="shared" si="99"/>
        <v>5</v>
      </c>
      <c r="B219" s="30" t="str">
        <f t="shared" si="100"/>
        <v>6</v>
      </c>
      <c r="C219" s="30">
        <f t="shared" si="101"/>
        <v>0</v>
      </c>
      <c r="D219" s="31">
        <f t="shared" si="102"/>
        <v>0</v>
      </c>
      <c r="E219" s="31">
        <f t="shared" si="103"/>
        <v>3</v>
      </c>
      <c r="F219" s="32">
        <f t="shared" si="104"/>
        <v>3</v>
      </c>
      <c r="G219" s="31">
        <f t="shared" si="105"/>
        <v>0</v>
      </c>
      <c r="H219" s="31">
        <f t="shared" si="106"/>
        <v>0</v>
      </c>
      <c r="I219" s="32">
        <f t="shared" si="107"/>
        <v>0</v>
      </c>
      <c r="N219" t="s">
        <v>428</v>
      </c>
      <c r="R219" s="32" t="str">
        <f t="shared" si="108"/>
        <v>5)Hex(6)NeuGc(3)</v>
      </c>
      <c r="S219" s="32" t="str">
        <f t="shared" si="109"/>
        <v>6)NeuGc(3)</v>
      </c>
      <c r="T219" s="32">
        <f t="shared" si="110"/>
        <v>0</v>
      </c>
      <c r="U219" s="32">
        <f t="shared" si="111"/>
        <v>0</v>
      </c>
      <c r="V219" s="32" t="str">
        <f t="shared" si="112"/>
        <v>3)</v>
      </c>
      <c r="W219" s="32">
        <f t="shared" si="113"/>
        <v>0</v>
      </c>
      <c r="X219" s="32">
        <f t="shared" si="114"/>
        <v>0</v>
      </c>
      <c r="Y219" s="32">
        <f t="shared" si="115"/>
        <v>0</v>
      </c>
      <c r="Z219" s="32">
        <f t="shared" si="116"/>
        <v>0</v>
      </c>
    </row>
    <row r="220" spans="1:26" x14ac:dyDescent="0.25">
      <c r="A220" s="30" t="str">
        <f t="shared" si="99"/>
        <v>5</v>
      </c>
      <c r="B220" s="30" t="str">
        <f t="shared" si="100"/>
        <v>7</v>
      </c>
      <c r="C220" s="30" t="str">
        <f t="shared" si="101"/>
        <v>1</v>
      </c>
      <c r="D220" s="31">
        <f t="shared" si="102"/>
        <v>0</v>
      </c>
      <c r="E220" s="31">
        <f t="shared" si="103"/>
        <v>2</v>
      </c>
      <c r="F220" s="32">
        <f t="shared" si="104"/>
        <v>2</v>
      </c>
      <c r="G220" s="31">
        <f t="shared" si="105"/>
        <v>0</v>
      </c>
      <c r="H220" s="31">
        <f t="shared" si="106"/>
        <v>0</v>
      </c>
      <c r="I220" s="32">
        <f t="shared" si="107"/>
        <v>0</v>
      </c>
      <c r="N220" t="s">
        <v>429</v>
      </c>
      <c r="R220" s="32" t="str">
        <f t="shared" si="108"/>
        <v>5)Hex(7)Fuc(1)NeuGc(2)</v>
      </c>
      <c r="S220" s="32" t="str">
        <f t="shared" si="109"/>
        <v>7)Fuc(1)NeuGc(2)</v>
      </c>
      <c r="T220" s="32" t="str">
        <f t="shared" si="110"/>
        <v>1)NeuGc(2)</v>
      </c>
      <c r="U220" s="32">
        <f t="shared" si="111"/>
        <v>0</v>
      </c>
      <c r="V220" s="32" t="str">
        <f t="shared" si="112"/>
        <v>2)</v>
      </c>
      <c r="W220" s="32">
        <f t="shared" si="113"/>
        <v>0</v>
      </c>
      <c r="X220" s="32">
        <f t="shared" si="114"/>
        <v>0</v>
      </c>
      <c r="Y220" s="32">
        <f t="shared" si="115"/>
        <v>0</v>
      </c>
      <c r="Z220" s="32">
        <f t="shared" si="116"/>
        <v>0</v>
      </c>
    </row>
    <row r="221" spans="1:26" x14ac:dyDescent="0.25">
      <c r="A221" s="30" t="str">
        <f t="shared" si="99"/>
        <v>6</v>
      </c>
      <c r="B221" s="30" t="str">
        <f t="shared" si="100"/>
        <v>6</v>
      </c>
      <c r="C221" s="30" t="str">
        <f t="shared" si="101"/>
        <v>1</v>
      </c>
      <c r="D221" s="31">
        <f t="shared" si="102"/>
        <v>2</v>
      </c>
      <c r="E221" s="31">
        <f t="shared" si="103"/>
        <v>0</v>
      </c>
      <c r="F221" s="32">
        <f t="shared" si="104"/>
        <v>2</v>
      </c>
      <c r="G221" s="31">
        <f t="shared" si="105"/>
        <v>0</v>
      </c>
      <c r="H221" s="31">
        <f t="shared" si="106"/>
        <v>0</v>
      </c>
      <c r="I221" s="32">
        <f t="shared" si="107"/>
        <v>0</v>
      </c>
      <c r="N221" t="s">
        <v>430</v>
      </c>
      <c r="R221" s="32" t="str">
        <f t="shared" si="108"/>
        <v>6)Hex(6)Fuc(1)NeuAc(2)</v>
      </c>
      <c r="S221" s="32" t="str">
        <f t="shared" si="109"/>
        <v>6)Fuc(1)NeuAc(2)</v>
      </c>
      <c r="T221" s="32" t="str">
        <f t="shared" si="110"/>
        <v>1)NeuAc(2)</v>
      </c>
      <c r="U221" s="32" t="str">
        <f t="shared" si="111"/>
        <v>2)</v>
      </c>
      <c r="V221" s="32">
        <f t="shared" si="112"/>
        <v>0</v>
      </c>
      <c r="W221" s="32">
        <f t="shared" si="113"/>
        <v>0</v>
      </c>
      <c r="X221" s="32">
        <f t="shared" si="114"/>
        <v>0</v>
      </c>
      <c r="Y221" s="32">
        <f t="shared" si="115"/>
        <v>0</v>
      </c>
      <c r="Z221" s="32">
        <f t="shared" si="116"/>
        <v>0</v>
      </c>
    </row>
    <row r="222" spans="1:26" x14ac:dyDescent="0.25">
      <c r="A222" s="30" t="str">
        <f t="shared" si="99"/>
        <v>6</v>
      </c>
      <c r="B222" s="30" t="str">
        <f t="shared" si="100"/>
        <v>6</v>
      </c>
      <c r="C222" s="30" t="str">
        <f t="shared" si="101"/>
        <v>1</v>
      </c>
      <c r="D222" s="31">
        <f t="shared" si="102"/>
        <v>1</v>
      </c>
      <c r="E222" s="31">
        <f t="shared" si="103"/>
        <v>0</v>
      </c>
      <c r="F222" s="32">
        <f t="shared" si="104"/>
        <v>1</v>
      </c>
      <c r="G222" s="31">
        <f t="shared" si="105"/>
        <v>0</v>
      </c>
      <c r="H222" s="31">
        <f t="shared" si="106"/>
        <v>0</v>
      </c>
      <c r="I222" s="32">
        <f t="shared" si="107"/>
        <v>0</v>
      </c>
      <c r="N222" t="s">
        <v>431</v>
      </c>
      <c r="R222" s="32" t="str">
        <f t="shared" si="108"/>
        <v>6)Hex(6)Fuc(1)NeuAc(1)</v>
      </c>
      <c r="S222" s="32" t="str">
        <f t="shared" si="109"/>
        <v>6)Fuc(1)NeuAc(1)</v>
      </c>
      <c r="T222" s="32" t="str">
        <f t="shared" si="110"/>
        <v>1)NeuAc(1)</v>
      </c>
      <c r="U222" s="32" t="str">
        <f t="shared" si="111"/>
        <v>1)</v>
      </c>
      <c r="V222" s="32">
        <f t="shared" si="112"/>
        <v>0</v>
      </c>
      <c r="W222" s="32">
        <f t="shared" si="113"/>
        <v>0</v>
      </c>
      <c r="X222" s="32">
        <f t="shared" si="114"/>
        <v>0</v>
      </c>
      <c r="Y222" s="32">
        <f t="shared" si="115"/>
        <v>0</v>
      </c>
      <c r="Z222" s="32">
        <f t="shared" si="116"/>
        <v>0</v>
      </c>
    </row>
    <row r="223" spans="1:26" x14ac:dyDescent="0.25">
      <c r="A223" s="30" t="str">
        <f t="shared" si="99"/>
        <v>8</v>
      </c>
      <c r="B223" s="30" t="str">
        <f t="shared" si="100"/>
        <v>8</v>
      </c>
      <c r="C223" s="30">
        <f t="shared" si="101"/>
        <v>0</v>
      </c>
      <c r="D223" s="31">
        <f t="shared" si="102"/>
        <v>0</v>
      </c>
      <c r="E223" s="31">
        <f t="shared" si="103"/>
        <v>0</v>
      </c>
      <c r="F223" s="32">
        <f t="shared" si="104"/>
        <v>0</v>
      </c>
      <c r="G223" s="31">
        <f t="shared" si="105"/>
        <v>0</v>
      </c>
      <c r="H223" s="31">
        <f t="shared" si="106"/>
        <v>0</v>
      </c>
      <c r="I223" s="32">
        <f t="shared" si="107"/>
        <v>0</v>
      </c>
      <c r="N223" t="s">
        <v>432</v>
      </c>
      <c r="R223" s="32" t="str">
        <f t="shared" si="108"/>
        <v>8)Hex(8)</v>
      </c>
      <c r="S223" s="32" t="str">
        <f t="shared" si="109"/>
        <v>8)</v>
      </c>
      <c r="T223" s="32">
        <f t="shared" si="110"/>
        <v>0</v>
      </c>
      <c r="U223" s="32">
        <f t="shared" si="111"/>
        <v>0</v>
      </c>
      <c r="V223" s="32">
        <f t="shared" si="112"/>
        <v>0</v>
      </c>
      <c r="W223" s="32">
        <f t="shared" si="113"/>
        <v>0</v>
      </c>
      <c r="X223" s="32">
        <f t="shared" si="114"/>
        <v>0</v>
      </c>
      <c r="Y223" s="32">
        <f t="shared" si="115"/>
        <v>0</v>
      </c>
      <c r="Z223" s="32">
        <f t="shared" si="116"/>
        <v>0</v>
      </c>
    </row>
    <row r="224" spans="1:26" x14ac:dyDescent="0.25">
      <c r="A224" s="30" t="str">
        <f t="shared" si="99"/>
        <v>6</v>
      </c>
      <c r="B224" s="30" t="str">
        <f t="shared" si="100"/>
        <v>6</v>
      </c>
      <c r="C224" s="30" t="str">
        <f t="shared" si="101"/>
        <v>1</v>
      </c>
      <c r="D224" s="31">
        <f t="shared" si="102"/>
        <v>1</v>
      </c>
      <c r="E224" s="31">
        <f t="shared" si="103"/>
        <v>1</v>
      </c>
      <c r="F224" s="32">
        <f t="shared" si="104"/>
        <v>2</v>
      </c>
      <c r="G224" s="31">
        <f t="shared" si="105"/>
        <v>0</v>
      </c>
      <c r="H224" s="31">
        <f t="shared" si="106"/>
        <v>0</v>
      </c>
      <c r="I224" s="32">
        <f t="shared" si="107"/>
        <v>0</v>
      </c>
      <c r="N224" t="s">
        <v>433</v>
      </c>
      <c r="R224" s="32" t="str">
        <f t="shared" si="108"/>
        <v>6)Hex(6)Fuc(1)NeuAc(1)NeuGc(1)</v>
      </c>
      <c r="S224" s="32" t="str">
        <f t="shared" si="109"/>
        <v>6)Fuc(1)NeuAc(1)NeuGc(1)</v>
      </c>
      <c r="T224" s="32" t="str">
        <f t="shared" si="110"/>
        <v>1)NeuAc(1)NeuGc(1)</v>
      </c>
      <c r="U224" s="32" t="str">
        <f t="shared" si="111"/>
        <v>1)NeuGc(1)</v>
      </c>
      <c r="V224" s="32" t="str">
        <f t="shared" si="112"/>
        <v>1)</v>
      </c>
      <c r="W224" s="32">
        <f t="shared" si="113"/>
        <v>0</v>
      </c>
      <c r="X224" s="32">
        <f t="shared" si="114"/>
        <v>0</v>
      </c>
      <c r="Y224" s="32">
        <f t="shared" si="115"/>
        <v>0</v>
      </c>
      <c r="Z224" s="32">
        <f t="shared" si="116"/>
        <v>0</v>
      </c>
    </row>
    <row r="225" spans="1:26" x14ac:dyDescent="0.25">
      <c r="A225" s="30" t="str">
        <f t="shared" si="99"/>
        <v>6</v>
      </c>
      <c r="B225" s="30" t="str">
        <f t="shared" si="100"/>
        <v>7</v>
      </c>
      <c r="C225" s="30">
        <f t="shared" si="101"/>
        <v>0</v>
      </c>
      <c r="D225" s="31">
        <f t="shared" si="102"/>
        <v>2</v>
      </c>
      <c r="E225" s="31">
        <f t="shared" si="103"/>
        <v>0</v>
      </c>
      <c r="F225" s="32">
        <f t="shared" si="104"/>
        <v>2</v>
      </c>
      <c r="G225" s="31">
        <f t="shared" si="105"/>
        <v>0</v>
      </c>
      <c r="H225" s="31">
        <f t="shared" si="106"/>
        <v>0</v>
      </c>
      <c r="I225" s="32">
        <f t="shared" si="107"/>
        <v>0</v>
      </c>
      <c r="N225" t="s">
        <v>434</v>
      </c>
      <c r="R225" s="32" t="str">
        <f t="shared" si="108"/>
        <v>6)Hex(7)NeuAc(2)</v>
      </c>
      <c r="S225" s="32" t="str">
        <f t="shared" si="109"/>
        <v>7)NeuAc(2)</v>
      </c>
      <c r="T225" s="32">
        <f t="shared" si="110"/>
        <v>0</v>
      </c>
      <c r="U225" s="32" t="str">
        <f t="shared" si="111"/>
        <v>2)</v>
      </c>
      <c r="V225" s="32">
        <f t="shared" si="112"/>
        <v>0</v>
      </c>
      <c r="W225" s="32">
        <f t="shared" si="113"/>
        <v>0</v>
      </c>
      <c r="X225" s="32">
        <f t="shared" si="114"/>
        <v>0</v>
      </c>
      <c r="Y225" s="32">
        <f t="shared" si="115"/>
        <v>0</v>
      </c>
      <c r="Z225" s="32">
        <f t="shared" si="116"/>
        <v>0</v>
      </c>
    </row>
    <row r="226" spans="1:26" x14ac:dyDescent="0.25">
      <c r="A226" s="30" t="str">
        <f t="shared" si="99"/>
        <v>6</v>
      </c>
      <c r="B226" s="30" t="str">
        <f t="shared" si="100"/>
        <v>7</v>
      </c>
      <c r="C226" s="30" t="str">
        <f t="shared" si="101"/>
        <v>4</v>
      </c>
      <c r="D226" s="31">
        <f t="shared" si="102"/>
        <v>0</v>
      </c>
      <c r="E226" s="31">
        <f t="shared" si="103"/>
        <v>0</v>
      </c>
      <c r="F226" s="32">
        <f t="shared" si="104"/>
        <v>0</v>
      </c>
      <c r="G226" s="31">
        <f t="shared" si="105"/>
        <v>0</v>
      </c>
      <c r="H226" s="31">
        <f t="shared" si="106"/>
        <v>0</v>
      </c>
      <c r="I226" s="32">
        <f t="shared" si="107"/>
        <v>0</v>
      </c>
      <c r="N226" t="s">
        <v>435</v>
      </c>
      <c r="R226" s="32" t="str">
        <f t="shared" si="108"/>
        <v>6)Hex(7)Fuc(4)</v>
      </c>
      <c r="S226" s="32" t="str">
        <f t="shared" si="109"/>
        <v>7)Fuc(4)</v>
      </c>
      <c r="T226" s="32" t="str">
        <f t="shared" si="110"/>
        <v>4)</v>
      </c>
      <c r="U226" s="32">
        <f t="shared" si="111"/>
        <v>0</v>
      </c>
      <c r="V226" s="32">
        <f t="shared" si="112"/>
        <v>0</v>
      </c>
      <c r="W226" s="32">
        <f t="shared" si="113"/>
        <v>0</v>
      </c>
      <c r="X226" s="32">
        <f t="shared" si="114"/>
        <v>0</v>
      </c>
      <c r="Y226" s="32">
        <f t="shared" si="115"/>
        <v>0</v>
      </c>
      <c r="Z226" s="32">
        <f t="shared" si="116"/>
        <v>0</v>
      </c>
    </row>
    <row r="227" spans="1:26" x14ac:dyDescent="0.25">
      <c r="A227" s="30" t="str">
        <f t="shared" si="99"/>
        <v>9</v>
      </c>
      <c r="B227" s="30" t="str">
        <f t="shared" si="100"/>
        <v>6</v>
      </c>
      <c r="C227" s="30" t="str">
        <f t="shared" si="101"/>
        <v>1</v>
      </c>
      <c r="D227" s="31">
        <f t="shared" si="102"/>
        <v>0</v>
      </c>
      <c r="E227" s="31">
        <f t="shared" si="103"/>
        <v>0</v>
      </c>
      <c r="F227" s="32">
        <f t="shared" si="104"/>
        <v>0</v>
      </c>
      <c r="G227" s="31">
        <f t="shared" si="105"/>
        <v>0</v>
      </c>
      <c r="H227" s="31">
        <f t="shared" si="106"/>
        <v>0</v>
      </c>
      <c r="I227" s="32">
        <f t="shared" si="107"/>
        <v>0</v>
      </c>
      <c r="N227" t="s">
        <v>436</v>
      </c>
      <c r="R227" s="32" t="str">
        <f t="shared" si="108"/>
        <v>9)Hex(6)Fuc(1)</v>
      </c>
      <c r="S227" s="32" t="str">
        <f t="shared" si="109"/>
        <v>6)Fuc(1)</v>
      </c>
      <c r="T227" s="32" t="str">
        <f t="shared" si="110"/>
        <v>1)</v>
      </c>
      <c r="U227" s="32">
        <f t="shared" si="111"/>
        <v>0</v>
      </c>
      <c r="V227" s="32">
        <f t="shared" si="112"/>
        <v>0</v>
      </c>
      <c r="W227" s="32">
        <f t="shared" si="113"/>
        <v>0</v>
      </c>
      <c r="X227" s="32">
        <f t="shared" si="114"/>
        <v>0</v>
      </c>
      <c r="Y227" s="32">
        <f t="shared" si="115"/>
        <v>0</v>
      </c>
      <c r="Z227" s="32">
        <f t="shared" si="116"/>
        <v>0</v>
      </c>
    </row>
    <row r="228" spans="1:26" x14ac:dyDescent="0.25">
      <c r="A228" s="30" t="str">
        <f t="shared" si="99"/>
        <v>6</v>
      </c>
      <c r="B228" s="30" t="str">
        <f t="shared" si="100"/>
        <v>7</v>
      </c>
      <c r="C228" s="30">
        <f t="shared" si="101"/>
        <v>0</v>
      </c>
      <c r="D228" s="31">
        <f t="shared" si="102"/>
        <v>1</v>
      </c>
      <c r="E228" s="31">
        <f t="shared" si="103"/>
        <v>1</v>
      </c>
      <c r="F228" s="32">
        <f t="shared" si="104"/>
        <v>2</v>
      </c>
      <c r="G228" s="31">
        <f t="shared" si="105"/>
        <v>0</v>
      </c>
      <c r="H228" s="31">
        <f t="shared" si="106"/>
        <v>0</v>
      </c>
      <c r="I228" s="32">
        <f t="shared" si="107"/>
        <v>0</v>
      </c>
      <c r="N228" t="s">
        <v>437</v>
      </c>
      <c r="R228" s="32" t="str">
        <f t="shared" si="108"/>
        <v>6)Hex(7)NeuAc(1)NeuGc(1)</v>
      </c>
      <c r="S228" s="32" t="str">
        <f t="shared" si="109"/>
        <v>7)NeuAc(1)NeuGc(1)</v>
      </c>
      <c r="T228" s="32">
        <f t="shared" si="110"/>
        <v>0</v>
      </c>
      <c r="U228" s="32" t="str">
        <f t="shared" si="111"/>
        <v>1)NeuGc(1)</v>
      </c>
      <c r="V228" s="32" t="str">
        <f t="shared" si="112"/>
        <v>1)</v>
      </c>
      <c r="W228" s="32">
        <f t="shared" si="113"/>
        <v>0</v>
      </c>
      <c r="X228" s="32">
        <f t="shared" si="114"/>
        <v>0</v>
      </c>
      <c r="Y228" s="32">
        <f t="shared" si="115"/>
        <v>0</v>
      </c>
      <c r="Z228" s="32">
        <f t="shared" si="116"/>
        <v>0</v>
      </c>
    </row>
    <row r="229" spans="1:26" x14ac:dyDescent="0.25">
      <c r="A229" s="30" t="str">
        <f t="shared" si="99"/>
        <v>6</v>
      </c>
      <c r="B229" s="30" t="str">
        <f t="shared" si="100"/>
        <v>6</v>
      </c>
      <c r="C229" s="30" t="str">
        <f t="shared" si="101"/>
        <v>1</v>
      </c>
      <c r="D229" s="31">
        <f t="shared" si="102"/>
        <v>0</v>
      </c>
      <c r="E229" s="31">
        <f t="shared" si="103"/>
        <v>2</v>
      </c>
      <c r="F229" s="32">
        <f t="shared" si="104"/>
        <v>2</v>
      </c>
      <c r="G229" s="31">
        <f t="shared" si="105"/>
        <v>0</v>
      </c>
      <c r="H229" s="31">
        <f t="shared" si="106"/>
        <v>0</v>
      </c>
      <c r="I229" s="32">
        <f t="shared" si="107"/>
        <v>0</v>
      </c>
      <c r="N229" t="s">
        <v>438</v>
      </c>
      <c r="R229" s="32" t="str">
        <f t="shared" si="108"/>
        <v>6)Hex(6)Fuc(1)NeuGc(2)</v>
      </c>
      <c r="S229" s="32" t="str">
        <f t="shared" si="109"/>
        <v>6)Fuc(1)NeuGc(2)</v>
      </c>
      <c r="T229" s="32" t="str">
        <f t="shared" si="110"/>
        <v>1)NeuGc(2)</v>
      </c>
      <c r="U229" s="32">
        <f t="shared" si="111"/>
        <v>0</v>
      </c>
      <c r="V229" s="32" t="str">
        <f t="shared" si="112"/>
        <v>2)</v>
      </c>
      <c r="W229" s="32">
        <f t="shared" si="113"/>
        <v>0</v>
      </c>
      <c r="X229" s="32">
        <f t="shared" si="114"/>
        <v>0</v>
      </c>
      <c r="Y229" s="32">
        <f t="shared" si="115"/>
        <v>0</v>
      </c>
      <c r="Z229" s="32">
        <f t="shared" si="116"/>
        <v>0</v>
      </c>
    </row>
    <row r="230" spans="1:26" x14ac:dyDescent="0.25">
      <c r="A230" s="30" t="str">
        <f t="shared" si="99"/>
        <v>6</v>
      </c>
      <c r="B230" s="30" t="str">
        <f t="shared" si="100"/>
        <v>8</v>
      </c>
      <c r="C230" s="30" t="str">
        <f t="shared" si="101"/>
        <v>1</v>
      </c>
      <c r="D230" s="31">
        <f t="shared" si="102"/>
        <v>1</v>
      </c>
      <c r="E230" s="31">
        <f t="shared" si="103"/>
        <v>0</v>
      </c>
      <c r="F230" s="32">
        <f t="shared" si="104"/>
        <v>1</v>
      </c>
      <c r="G230" s="31">
        <f t="shared" si="105"/>
        <v>0</v>
      </c>
      <c r="H230" s="31">
        <f t="shared" si="106"/>
        <v>0</v>
      </c>
      <c r="I230" s="32">
        <f t="shared" si="107"/>
        <v>0</v>
      </c>
      <c r="N230" t="s">
        <v>439</v>
      </c>
      <c r="R230" s="32" t="str">
        <f t="shared" si="108"/>
        <v>6)Hex(8)Fuc(1)NeuAc(1)</v>
      </c>
      <c r="S230" s="32" t="str">
        <f t="shared" si="109"/>
        <v>8)Fuc(1)NeuAc(1)</v>
      </c>
      <c r="T230" s="32" t="str">
        <f t="shared" si="110"/>
        <v>1)NeuAc(1)</v>
      </c>
      <c r="U230" s="32" t="str">
        <f t="shared" si="111"/>
        <v>1)</v>
      </c>
      <c r="V230" s="32">
        <f t="shared" si="112"/>
        <v>0</v>
      </c>
      <c r="W230" s="32">
        <f t="shared" si="113"/>
        <v>0</v>
      </c>
      <c r="X230" s="32">
        <f t="shared" si="114"/>
        <v>0</v>
      </c>
      <c r="Y230" s="32">
        <f t="shared" si="115"/>
        <v>0</v>
      </c>
      <c r="Z230" s="32">
        <f t="shared" si="116"/>
        <v>0</v>
      </c>
    </row>
    <row r="231" spans="1:26" x14ac:dyDescent="0.25">
      <c r="A231" s="30" t="str">
        <f t="shared" si="99"/>
        <v>6</v>
      </c>
      <c r="B231" s="30" t="str">
        <f t="shared" si="100"/>
        <v>7</v>
      </c>
      <c r="C231" s="30">
        <f t="shared" si="101"/>
        <v>0</v>
      </c>
      <c r="D231" s="31">
        <f t="shared" si="102"/>
        <v>0</v>
      </c>
      <c r="E231" s="31">
        <f t="shared" si="103"/>
        <v>2</v>
      </c>
      <c r="F231" s="32">
        <f t="shared" si="104"/>
        <v>2</v>
      </c>
      <c r="G231" s="31">
        <f t="shared" si="105"/>
        <v>0</v>
      </c>
      <c r="H231" s="31">
        <f t="shared" si="106"/>
        <v>0</v>
      </c>
      <c r="I231" s="32">
        <f t="shared" si="107"/>
        <v>0</v>
      </c>
      <c r="N231" t="s">
        <v>440</v>
      </c>
      <c r="R231" s="32" t="str">
        <f t="shared" si="108"/>
        <v>6)Hex(7)NeuGc(2)</v>
      </c>
      <c r="S231" s="32" t="str">
        <f t="shared" si="109"/>
        <v>7)NeuGc(2)</v>
      </c>
      <c r="T231" s="32">
        <f t="shared" si="110"/>
        <v>0</v>
      </c>
      <c r="U231" s="32">
        <f t="shared" si="111"/>
        <v>0</v>
      </c>
      <c r="V231" s="32" t="str">
        <f t="shared" si="112"/>
        <v>2)</v>
      </c>
      <c r="W231" s="32">
        <f t="shared" si="113"/>
        <v>0</v>
      </c>
      <c r="X231" s="32">
        <f t="shared" si="114"/>
        <v>0</v>
      </c>
      <c r="Y231" s="32">
        <f t="shared" si="115"/>
        <v>0</v>
      </c>
      <c r="Z231" s="32">
        <f t="shared" si="116"/>
        <v>0</v>
      </c>
    </row>
    <row r="232" spans="1:26" x14ac:dyDescent="0.25">
      <c r="A232" s="30" t="str">
        <f t="shared" si="99"/>
        <v>5</v>
      </c>
      <c r="B232" s="30" t="str">
        <f t="shared" si="100"/>
        <v>6</v>
      </c>
      <c r="C232" s="30" t="str">
        <f t="shared" si="101"/>
        <v>1</v>
      </c>
      <c r="D232" s="31">
        <f t="shared" si="102"/>
        <v>3</v>
      </c>
      <c r="E232" s="31">
        <f t="shared" si="103"/>
        <v>0</v>
      </c>
      <c r="F232" s="32">
        <f t="shared" si="104"/>
        <v>3</v>
      </c>
      <c r="G232" s="31">
        <f t="shared" si="105"/>
        <v>0</v>
      </c>
      <c r="H232" s="31">
        <f t="shared" si="106"/>
        <v>0</v>
      </c>
      <c r="I232" s="32">
        <f t="shared" si="107"/>
        <v>0</v>
      </c>
      <c r="N232" t="s">
        <v>441</v>
      </c>
      <c r="R232" s="32" t="str">
        <f t="shared" si="108"/>
        <v>5)Hex(6)Fuc(1)NeuAc(3)</v>
      </c>
      <c r="S232" s="32" t="str">
        <f t="shared" si="109"/>
        <v>6)Fuc(1)NeuAc(3)</v>
      </c>
      <c r="T232" s="32" t="str">
        <f t="shared" si="110"/>
        <v>1)NeuAc(3)</v>
      </c>
      <c r="U232" s="32" t="str">
        <f t="shared" si="111"/>
        <v>3)</v>
      </c>
      <c r="V232" s="32">
        <f t="shared" si="112"/>
        <v>0</v>
      </c>
      <c r="W232" s="32">
        <f t="shared" si="113"/>
        <v>0</v>
      </c>
      <c r="X232" s="32">
        <f t="shared" si="114"/>
        <v>0</v>
      </c>
      <c r="Y232" s="32">
        <f t="shared" si="115"/>
        <v>0</v>
      </c>
      <c r="Z232" s="32">
        <f t="shared" si="116"/>
        <v>0</v>
      </c>
    </row>
    <row r="233" spans="1:26" x14ac:dyDescent="0.25">
      <c r="A233" s="30" t="str">
        <f t="shared" si="99"/>
        <v>7</v>
      </c>
      <c r="B233" s="30" t="str">
        <f t="shared" si="100"/>
        <v>8</v>
      </c>
      <c r="C233" s="30">
        <f t="shared" si="101"/>
        <v>0</v>
      </c>
      <c r="D233" s="31">
        <f t="shared" si="102"/>
        <v>1</v>
      </c>
      <c r="E233" s="31">
        <f t="shared" si="103"/>
        <v>0</v>
      </c>
      <c r="F233" s="32">
        <f t="shared" si="104"/>
        <v>1</v>
      </c>
      <c r="G233" s="31">
        <f t="shared" si="105"/>
        <v>0</v>
      </c>
      <c r="H233" s="31">
        <f t="shared" si="106"/>
        <v>0</v>
      </c>
      <c r="I233" s="32">
        <f t="shared" si="107"/>
        <v>0</v>
      </c>
      <c r="N233" t="s">
        <v>442</v>
      </c>
      <c r="R233" s="32" t="str">
        <f t="shared" si="108"/>
        <v>7)Hex(8)NeuAc(1)</v>
      </c>
      <c r="S233" s="32" t="str">
        <f t="shared" si="109"/>
        <v>8)NeuAc(1)</v>
      </c>
      <c r="T233" s="32">
        <f t="shared" si="110"/>
        <v>0</v>
      </c>
      <c r="U233" s="32" t="str">
        <f t="shared" si="111"/>
        <v>1)</v>
      </c>
      <c r="V233" s="32">
        <f t="shared" si="112"/>
        <v>0</v>
      </c>
      <c r="W233" s="32">
        <f t="shared" si="113"/>
        <v>0</v>
      </c>
      <c r="X233" s="32">
        <f t="shared" si="114"/>
        <v>0</v>
      </c>
      <c r="Y233" s="32">
        <f t="shared" si="115"/>
        <v>0</v>
      </c>
      <c r="Z233" s="32">
        <f t="shared" si="116"/>
        <v>0</v>
      </c>
    </row>
    <row r="234" spans="1:26" x14ac:dyDescent="0.25">
      <c r="A234" s="30" t="str">
        <f t="shared" si="99"/>
        <v>5</v>
      </c>
      <c r="B234" s="30" t="str">
        <f t="shared" si="100"/>
        <v>6</v>
      </c>
      <c r="C234" s="30" t="str">
        <f t="shared" si="101"/>
        <v>1</v>
      </c>
      <c r="D234" s="31">
        <f t="shared" si="102"/>
        <v>2</v>
      </c>
      <c r="E234" s="31">
        <f t="shared" si="103"/>
        <v>1</v>
      </c>
      <c r="F234" s="32">
        <f t="shared" si="104"/>
        <v>3</v>
      </c>
      <c r="G234" s="31">
        <f t="shared" si="105"/>
        <v>0</v>
      </c>
      <c r="H234" s="31">
        <f t="shared" si="106"/>
        <v>0</v>
      </c>
      <c r="I234" s="32">
        <f t="shared" si="107"/>
        <v>0</v>
      </c>
      <c r="N234" t="s">
        <v>443</v>
      </c>
      <c r="R234" s="32" t="str">
        <f t="shared" si="108"/>
        <v>5)Hex(6)Fuc(1)NeuAc(2)NeuGc(1)</v>
      </c>
      <c r="S234" s="32" t="str">
        <f t="shared" si="109"/>
        <v>6)Fuc(1)NeuAc(2)NeuGc(1)</v>
      </c>
      <c r="T234" s="32" t="str">
        <f t="shared" si="110"/>
        <v>1)NeuAc(2)NeuGc(1)</v>
      </c>
      <c r="U234" s="32" t="str">
        <f t="shared" si="111"/>
        <v>2)NeuGc(1)</v>
      </c>
      <c r="V234" s="32" t="str">
        <f t="shared" si="112"/>
        <v>1)</v>
      </c>
      <c r="W234" s="32">
        <f t="shared" si="113"/>
        <v>0</v>
      </c>
      <c r="X234" s="32">
        <f t="shared" si="114"/>
        <v>0</v>
      </c>
      <c r="Y234" s="32">
        <f t="shared" si="115"/>
        <v>0</v>
      </c>
      <c r="Z234" s="32">
        <f t="shared" si="116"/>
        <v>0</v>
      </c>
    </row>
    <row r="235" spans="1:26" x14ac:dyDescent="0.25">
      <c r="A235" s="30" t="str">
        <f t="shared" si="99"/>
        <v>7</v>
      </c>
      <c r="B235" s="30" t="str">
        <f t="shared" si="100"/>
        <v>8</v>
      </c>
      <c r="C235" s="30">
        <f t="shared" si="101"/>
        <v>0</v>
      </c>
      <c r="D235" s="31">
        <f t="shared" si="102"/>
        <v>0</v>
      </c>
      <c r="E235" s="31">
        <f t="shared" si="103"/>
        <v>1</v>
      </c>
      <c r="F235" s="32">
        <f t="shared" si="104"/>
        <v>1</v>
      </c>
      <c r="G235" s="31">
        <f t="shared" si="105"/>
        <v>0</v>
      </c>
      <c r="H235" s="31">
        <f t="shared" si="106"/>
        <v>0</v>
      </c>
      <c r="I235" s="32">
        <f t="shared" si="107"/>
        <v>0</v>
      </c>
      <c r="N235" t="s">
        <v>444</v>
      </c>
      <c r="R235" s="32" t="str">
        <f t="shared" si="108"/>
        <v>7)Hex(8)NeuGc(1)</v>
      </c>
      <c r="S235" s="32" t="str">
        <f t="shared" si="109"/>
        <v>8)NeuGc(1)</v>
      </c>
      <c r="T235" s="32">
        <f t="shared" si="110"/>
        <v>0</v>
      </c>
      <c r="U235" s="32">
        <f t="shared" si="111"/>
        <v>0</v>
      </c>
      <c r="V235" s="32" t="str">
        <f t="shared" si="112"/>
        <v>1)</v>
      </c>
      <c r="W235" s="32">
        <f t="shared" si="113"/>
        <v>0</v>
      </c>
      <c r="X235" s="32">
        <f t="shared" si="114"/>
        <v>0</v>
      </c>
      <c r="Y235" s="32">
        <f t="shared" si="115"/>
        <v>0</v>
      </c>
      <c r="Z235" s="32">
        <f t="shared" si="116"/>
        <v>0</v>
      </c>
    </row>
    <row r="236" spans="1:26" x14ac:dyDescent="0.25">
      <c r="A236" s="30" t="str">
        <f t="shared" si="99"/>
        <v>5</v>
      </c>
      <c r="B236" s="30" t="str">
        <f t="shared" si="100"/>
        <v>6</v>
      </c>
      <c r="C236" s="30" t="str">
        <f t="shared" si="101"/>
        <v>1</v>
      </c>
      <c r="D236" s="31">
        <f t="shared" si="102"/>
        <v>1</v>
      </c>
      <c r="E236" s="31">
        <f t="shared" si="103"/>
        <v>2</v>
      </c>
      <c r="F236" s="32">
        <f t="shared" si="104"/>
        <v>3</v>
      </c>
      <c r="G236" s="31">
        <f t="shared" si="105"/>
        <v>0</v>
      </c>
      <c r="H236" s="31">
        <f t="shared" si="106"/>
        <v>0</v>
      </c>
      <c r="I236" s="32">
        <f t="shared" si="107"/>
        <v>0</v>
      </c>
      <c r="N236" t="s">
        <v>445</v>
      </c>
      <c r="R236" s="32" t="str">
        <f t="shared" si="108"/>
        <v>5)Hex(6)Fuc(1)NeuAc(1)NeuGc(2)</v>
      </c>
      <c r="S236" s="32" t="str">
        <f t="shared" si="109"/>
        <v>6)Fuc(1)NeuAc(1)NeuGc(2)</v>
      </c>
      <c r="T236" s="32" t="str">
        <f t="shared" si="110"/>
        <v>1)NeuAc(1)NeuGc(2)</v>
      </c>
      <c r="U236" s="32" t="str">
        <f t="shared" si="111"/>
        <v>1)NeuGc(2)</v>
      </c>
      <c r="V236" s="32" t="str">
        <f t="shared" si="112"/>
        <v>2)</v>
      </c>
      <c r="W236" s="32">
        <f t="shared" si="113"/>
        <v>0</v>
      </c>
      <c r="X236" s="32">
        <f t="shared" si="114"/>
        <v>0</v>
      </c>
      <c r="Y236" s="32">
        <f t="shared" si="115"/>
        <v>0</v>
      </c>
      <c r="Z236" s="32">
        <f t="shared" si="116"/>
        <v>0</v>
      </c>
    </row>
    <row r="237" spans="1:26" x14ac:dyDescent="0.25">
      <c r="A237" s="30" t="str">
        <f t="shared" si="99"/>
        <v>6</v>
      </c>
      <c r="B237" s="30" t="str">
        <f t="shared" si="100"/>
        <v>5</v>
      </c>
      <c r="C237" s="30" t="str">
        <f t="shared" si="101"/>
        <v>1</v>
      </c>
      <c r="D237" s="31">
        <f t="shared" si="102"/>
        <v>2</v>
      </c>
      <c r="E237" s="31">
        <f t="shared" si="103"/>
        <v>0</v>
      </c>
      <c r="F237" s="32">
        <f t="shared" si="104"/>
        <v>2</v>
      </c>
      <c r="G237" s="31">
        <f t="shared" si="105"/>
        <v>0</v>
      </c>
      <c r="H237" s="31">
        <f t="shared" si="106"/>
        <v>0</v>
      </c>
      <c r="I237" s="32">
        <f t="shared" si="107"/>
        <v>0</v>
      </c>
      <c r="N237" t="s">
        <v>446</v>
      </c>
      <c r="R237" s="32" t="str">
        <f t="shared" si="108"/>
        <v>6)Hex(5)Fuc(1)NeuAc(2)</v>
      </c>
      <c r="S237" s="32" t="str">
        <f t="shared" si="109"/>
        <v>5)Fuc(1)NeuAc(2)</v>
      </c>
      <c r="T237" s="32" t="str">
        <f t="shared" si="110"/>
        <v>1)NeuAc(2)</v>
      </c>
      <c r="U237" s="32" t="str">
        <f t="shared" si="111"/>
        <v>2)</v>
      </c>
      <c r="V237" s="32">
        <f t="shared" si="112"/>
        <v>0</v>
      </c>
      <c r="W237" s="32">
        <f t="shared" si="113"/>
        <v>0</v>
      </c>
      <c r="X237" s="32">
        <f t="shared" si="114"/>
        <v>0</v>
      </c>
      <c r="Y237" s="32">
        <f t="shared" si="115"/>
        <v>0</v>
      </c>
      <c r="Z237" s="32">
        <f t="shared" si="116"/>
        <v>0</v>
      </c>
    </row>
    <row r="238" spans="1:26" x14ac:dyDescent="0.25">
      <c r="A238" s="30" t="str">
        <f t="shared" si="99"/>
        <v>6</v>
      </c>
      <c r="B238" s="30" t="str">
        <f t="shared" si="100"/>
        <v>5</v>
      </c>
      <c r="C238" s="30" t="str">
        <f t="shared" si="101"/>
        <v>1</v>
      </c>
      <c r="D238" s="31">
        <f t="shared" si="102"/>
        <v>1</v>
      </c>
      <c r="E238" s="31">
        <f t="shared" si="103"/>
        <v>0</v>
      </c>
      <c r="F238" s="32">
        <f t="shared" si="104"/>
        <v>1</v>
      </c>
      <c r="G238" s="31">
        <f t="shared" si="105"/>
        <v>0</v>
      </c>
      <c r="H238" s="31">
        <f t="shared" si="106"/>
        <v>0</v>
      </c>
      <c r="I238" s="32">
        <f t="shared" si="107"/>
        <v>0</v>
      </c>
      <c r="N238" t="s">
        <v>447</v>
      </c>
      <c r="R238" s="32" t="str">
        <f t="shared" si="108"/>
        <v>6)Hex(5)Fuc(1)NeuAc(1)</v>
      </c>
      <c r="S238" s="32" t="str">
        <f t="shared" si="109"/>
        <v>5)Fuc(1)NeuAc(1)</v>
      </c>
      <c r="T238" s="32" t="str">
        <f t="shared" si="110"/>
        <v>1)NeuAc(1)</v>
      </c>
      <c r="U238" s="32" t="str">
        <f t="shared" si="111"/>
        <v>1)</v>
      </c>
      <c r="V238" s="32">
        <f t="shared" si="112"/>
        <v>0</v>
      </c>
      <c r="W238" s="32">
        <f t="shared" si="113"/>
        <v>0</v>
      </c>
      <c r="X238" s="32">
        <f t="shared" si="114"/>
        <v>0</v>
      </c>
      <c r="Y238" s="32">
        <f t="shared" si="115"/>
        <v>0</v>
      </c>
      <c r="Z238" s="32">
        <f t="shared" si="116"/>
        <v>0</v>
      </c>
    </row>
    <row r="239" spans="1:26" x14ac:dyDescent="0.25">
      <c r="A239" s="30" t="str">
        <f t="shared" si="99"/>
        <v>6</v>
      </c>
      <c r="B239" s="30" t="str">
        <f t="shared" si="100"/>
        <v>5</v>
      </c>
      <c r="C239" s="30" t="str">
        <f t="shared" si="101"/>
        <v>1</v>
      </c>
      <c r="D239" s="31">
        <f t="shared" si="102"/>
        <v>3</v>
      </c>
      <c r="E239" s="31">
        <f t="shared" si="103"/>
        <v>0</v>
      </c>
      <c r="F239" s="32">
        <f t="shared" si="104"/>
        <v>3</v>
      </c>
      <c r="G239" s="31">
        <f t="shared" si="105"/>
        <v>0</v>
      </c>
      <c r="H239" s="31">
        <f t="shared" si="106"/>
        <v>0</v>
      </c>
      <c r="I239" s="32">
        <f t="shared" si="107"/>
        <v>0</v>
      </c>
      <c r="N239" t="s">
        <v>448</v>
      </c>
      <c r="R239" s="32" t="str">
        <f t="shared" si="108"/>
        <v>6)Hex(5)Fuc(1)NeuAc(3)</v>
      </c>
      <c r="S239" s="32" t="str">
        <f t="shared" si="109"/>
        <v>5)Fuc(1)NeuAc(3)</v>
      </c>
      <c r="T239" s="32" t="str">
        <f t="shared" si="110"/>
        <v>1)NeuAc(3)</v>
      </c>
      <c r="U239" s="32" t="str">
        <f t="shared" si="111"/>
        <v>3)</v>
      </c>
      <c r="V239" s="32">
        <f t="shared" si="112"/>
        <v>0</v>
      </c>
      <c r="W239" s="32">
        <f t="shared" si="113"/>
        <v>0</v>
      </c>
      <c r="X239" s="32">
        <f t="shared" si="114"/>
        <v>0</v>
      </c>
      <c r="Y239" s="32">
        <f t="shared" si="115"/>
        <v>0</v>
      </c>
      <c r="Z239" s="32">
        <f t="shared" si="116"/>
        <v>0</v>
      </c>
    </row>
    <row r="240" spans="1:26" x14ac:dyDescent="0.25">
      <c r="A240" s="30" t="str">
        <f t="shared" si="99"/>
        <v>5</v>
      </c>
      <c r="B240" s="30" t="str">
        <f t="shared" si="100"/>
        <v>6</v>
      </c>
      <c r="C240" s="30" t="str">
        <f t="shared" si="101"/>
        <v>1</v>
      </c>
      <c r="D240" s="31">
        <f t="shared" si="102"/>
        <v>0</v>
      </c>
      <c r="E240" s="31">
        <f t="shared" si="103"/>
        <v>3</v>
      </c>
      <c r="F240" s="32">
        <f t="shared" si="104"/>
        <v>3</v>
      </c>
      <c r="G240" s="31">
        <f t="shared" si="105"/>
        <v>0</v>
      </c>
      <c r="H240" s="31">
        <f t="shared" si="106"/>
        <v>0</v>
      </c>
      <c r="I240" s="32">
        <f t="shared" si="107"/>
        <v>0</v>
      </c>
      <c r="N240" t="s">
        <v>449</v>
      </c>
      <c r="R240" s="32" t="str">
        <f t="shared" si="108"/>
        <v>5)Hex(6)Fuc(1)NeuGc(3)</v>
      </c>
      <c r="S240" s="32" t="str">
        <f t="shared" si="109"/>
        <v>6)Fuc(1)NeuGc(3)</v>
      </c>
      <c r="T240" s="32" t="str">
        <f t="shared" si="110"/>
        <v>1)NeuGc(3)</v>
      </c>
      <c r="U240" s="32">
        <f t="shared" si="111"/>
        <v>0</v>
      </c>
      <c r="V240" s="32" t="str">
        <f t="shared" si="112"/>
        <v>3)</v>
      </c>
      <c r="W240" s="32">
        <f t="shared" si="113"/>
        <v>0</v>
      </c>
      <c r="X240" s="32">
        <f t="shared" si="114"/>
        <v>0</v>
      </c>
      <c r="Y240" s="32">
        <f t="shared" si="115"/>
        <v>0</v>
      </c>
      <c r="Z240" s="32">
        <f t="shared" si="116"/>
        <v>0</v>
      </c>
    </row>
    <row r="241" spans="1:26" x14ac:dyDescent="0.25">
      <c r="A241" s="30" t="str">
        <f t="shared" si="99"/>
        <v>6</v>
      </c>
      <c r="B241" s="30" t="str">
        <f t="shared" si="100"/>
        <v>5</v>
      </c>
      <c r="C241" s="30" t="str">
        <f t="shared" si="101"/>
        <v>1</v>
      </c>
      <c r="D241" s="31">
        <f t="shared" si="102"/>
        <v>1</v>
      </c>
      <c r="E241" s="31">
        <f t="shared" si="103"/>
        <v>1</v>
      </c>
      <c r="F241" s="32">
        <f t="shared" si="104"/>
        <v>2</v>
      </c>
      <c r="G241" s="31">
        <f t="shared" si="105"/>
        <v>0</v>
      </c>
      <c r="H241" s="31">
        <f t="shared" si="106"/>
        <v>0</v>
      </c>
      <c r="I241" s="32">
        <f t="shared" si="107"/>
        <v>0</v>
      </c>
      <c r="N241" t="s">
        <v>450</v>
      </c>
      <c r="R241" s="32" t="str">
        <f t="shared" si="108"/>
        <v>6)Hex(5)Fuc(1)NeuAc(1)NeuGc(1)</v>
      </c>
      <c r="S241" s="32" t="str">
        <f t="shared" si="109"/>
        <v>5)Fuc(1)NeuAc(1)NeuGc(1)</v>
      </c>
      <c r="T241" s="32" t="str">
        <f t="shared" si="110"/>
        <v>1)NeuAc(1)NeuGc(1)</v>
      </c>
      <c r="U241" s="32" t="str">
        <f t="shared" si="111"/>
        <v>1)NeuGc(1)</v>
      </c>
      <c r="V241" s="32" t="str">
        <f t="shared" si="112"/>
        <v>1)</v>
      </c>
      <c r="W241" s="32">
        <f t="shared" si="113"/>
        <v>0</v>
      </c>
      <c r="X241" s="32">
        <f t="shared" si="114"/>
        <v>0</v>
      </c>
      <c r="Y241" s="32">
        <f t="shared" si="115"/>
        <v>0</v>
      </c>
      <c r="Z241" s="32">
        <f t="shared" si="116"/>
        <v>0</v>
      </c>
    </row>
    <row r="242" spans="1:26" x14ac:dyDescent="0.25">
      <c r="A242" s="30" t="str">
        <f t="shared" si="99"/>
        <v>6</v>
      </c>
      <c r="B242" s="30" t="str">
        <f t="shared" si="100"/>
        <v>5</v>
      </c>
      <c r="C242" s="30" t="str">
        <f t="shared" si="101"/>
        <v>1</v>
      </c>
      <c r="D242" s="31">
        <f t="shared" si="102"/>
        <v>2</v>
      </c>
      <c r="E242" s="31">
        <f t="shared" si="103"/>
        <v>1</v>
      </c>
      <c r="F242" s="32">
        <f t="shared" si="104"/>
        <v>3</v>
      </c>
      <c r="G242" s="31">
        <f t="shared" si="105"/>
        <v>0</v>
      </c>
      <c r="H242" s="31">
        <f t="shared" si="106"/>
        <v>0</v>
      </c>
      <c r="I242" s="32">
        <f t="shared" si="107"/>
        <v>0</v>
      </c>
      <c r="N242" t="s">
        <v>451</v>
      </c>
      <c r="R242" s="32" t="str">
        <f t="shared" si="108"/>
        <v>6)Hex(5)Fuc(1)NeuAc(2)NeuGc(1)</v>
      </c>
      <c r="S242" s="32" t="str">
        <f t="shared" si="109"/>
        <v>5)Fuc(1)NeuAc(2)NeuGc(1)</v>
      </c>
      <c r="T242" s="32" t="str">
        <f t="shared" si="110"/>
        <v>1)NeuAc(2)NeuGc(1)</v>
      </c>
      <c r="U242" s="32" t="str">
        <f t="shared" si="111"/>
        <v>2)NeuGc(1)</v>
      </c>
      <c r="V242" s="32" t="str">
        <f t="shared" si="112"/>
        <v>1)</v>
      </c>
      <c r="W242" s="32">
        <f t="shared" si="113"/>
        <v>0</v>
      </c>
      <c r="X242" s="32">
        <f t="shared" si="114"/>
        <v>0</v>
      </c>
      <c r="Y242" s="32">
        <f t="shared" si="115"/>
        <v>0</v>
      </c>
      <c r="Z242" s="32">
        <f t="shared" si="116"/>
        <v>0</v>
      </c>
    </row>
    <row r="243" spans="1:26" x14ac:dyDescent="0.25">
      <c r="A243" s="30" t="str">
        <f t="shared" si="99"/>
        <v>8</v>
      </c>
      <c r="B243" s="30" t="str">
        <f t="shared" si="100"/>
        <v>8</v>
      </c>
      <c r="C243" s="30" t="str">
        <f t="shared" si="101"/>
        <v>1</v>
      </c>
      <c r="D243" s="31">
        <f t="shared" si="102"/>
        <v>0</v>
      </c>
      <c r="E243" s="31">
        <f t="shared" si="103"/>
        <v>0</v>
      </c>
      <c r="F243" s="32">
        <f t="shared" si="104"/>
        <v>0</v>
      </c>
      <c r="G243" s="31">
        <f t="shared" si="105"/>
        <v>0</v>
      </c>
      <c r="H243" s="31">
        <f t="shared" si="106"/>
        <v>0</v>
      </c>
      <c r="I243" s="32">
        <f t="shared" si="107"/>
        <v>0</v>
      </c>
      <c r="N243" t="s">
        <v>452</v>
      </c>
      <c r="R243" s="32" t="str">
        <f t="shared" si="108"/>
        <v>8)Hex(8)Fuc(1)</v>
      </c>
      <c r="S243" s="32" t="str">
        <f t="shared" si="109"/>
        <v>8)Fuc(1)</v>
      </c>
      <c r="T243" s="32" t="str">
        <f t="shared" si="110"/>
        <v>1)</v>
      </c>
      <c r="U243" s="32">
        <f t="shared" si="111"/>
        <v>0</v>
      </c>
      <c r="V243" s="32">
        <f t="shared" si="112"/>
        <v>0</v>
      </c>
      <c r="W243" s="32">
        <f t="shared" si="113"/>
        <v>0</v>
      </c>
      <c r="X243" s="32">
        <f t="shared" si="114"/>
        <v>0</v>
      </c>
      <c r="Y243" s="32">
        <f t="shared" si="115"/>
        <v>0</v>
      </c>
      <c r="Z243" s="32">
        <f t="shared" si="116"/>
        <v>0</v>
      </c>
    </row>
    <row r="244" spans="1:26" x14ac:dyDescent="0.25">
      <c r="A244" s="30" t="str">
        <f t="shared" si="99"/>
        <v>6</v>
      </c>
      <c r="B244" s="30" t="str">
        <f t="shared" si="100"/>
        <v>5</v>
      </c>
      <c r="C244" s="30" t="str">
        <f t="shared" si="101"/>
        <v>1</v>
      </c>
      <c r="D244" s="31">
        <f t="shared" si="102"/>
        <v>1</v>
      </c>
      <c r="E244" s="31">
        <f t="shared" si="103"/>
        <v>2</v>
      </c>
      <c r="F244" s="32">
        <f t="shared" si="104"/>
        <v>3</v>
      </c>
      <c r="G244" s="31">
        <f t="shared" si="105"/>
        <v>0</v>
      </c>
      <c r="H244" s="31">
        <f t="shared" si="106"/>
        <v>0</v>
      </c>
      <c r="I244" s="32">
        <f t="shared" si="107"/>
        <v>0</v>
      </c>
      <c r="N244" t="s">
        <v>453</v>
      </c>
      <c r="R244" s="32" t="str">
        <f t="shared" si="108"/>
        <v>6)Hex(5)Fuc(1)NeuAc(1)NeuGc(2)</v>
      </c>
      <c r="S244" s="32" t="str">
        <f t="shared" si="109"/>
        <v>5)Fuc(1)NeuAc(1)NeuGc(2)</v>
      </c>
      <c r="T244" s="32" t="str">
        <f t="shared" si="110"/>
        <v>1)NeuAc(1)NeuGc(2)</v>
      </c>
      <c r="U244" s="32" t="str">
        <f t="shared" si="111"/>
        <v>1)NeuGc(2)</v>
      </c>
      <c r="V244" s="32" t="str">
        <f t="shared" si="112"/>
        <v>2)</v>
      </c>
      <c r="W244" s="32">
        <f t="shared" si="113"/>
        <v>0</v>
      </c>
      <c r="X244" s="32">
        <f t="shared" si="114"/>
        <v>0</v>
      </c>
      <c r="Y244" s="32">
        <f t="shared" si="115"/>
        <v>0</v>
      </c>
      <c r="Z244" s="32">
        <f t="shared" si="116"/>
        <v>0</v>
      </c>
    </row>
    <row r="245" spans="1:26" x14ac:dyDescent="0.25">
      <c r="A245" s="30" t="str">
        <f t="shared" si="99"/>
        <v>6</v>
      </c>
      <c r="B245" s="30" t="str">
        <f t="shared" si="100"/>
        <v>7</v>
      </c>
      <c r="C245" s="30" t="str">
        <f t="shared" si="101"/>
        <v>1</v>
      </c>
      <c r="D245" s="31">
        <f t="shared" si="102"/>
        <v>2</v>
      </c>
      <c r="E245" s="31">
        <f t="shared" si="103"/>
        <v>0</v>
      </c>
      <c r="F245" s="32">
        <f t="shared" si="104"/>
        <v>2</v>
      </c>
      <c r="G245" s="31">
        <f t="shared" si="105"/>
        <v>0</v>
      </c>
      <c r="H245" s="31">
        <f t="shared" si="106"/>
        <v>0</v>
      </c>
      <c r="I245" s="32">
        <f t="shared" si="107"/>
        <v>0</v>
      </c>
      <c r="N245" t="s">
        <v>454</v>
      </c>
      <c r="R245" s="32" t="str">
        <f t="shared" si="108"/>
        <v>6)Hex(7)Fuc(1)NeuAc(2)</v>
      </c>
      <c r="S245" s="32" t="str">
        <f t="shared" si="109"/>
        <v>7)Fuc(1)NeuAc(2)</v>
      </c>
      <c r="T245" s="32" t="str">
        <f t="shared" si="110"/>
        <v>1)NeuAc(2)</v>
      </c>
      <c r="U245" s="32" t="str">
        <f t="shared" si="111"/>
        <v>2)</v>
      </c>
      <c r="V245" s="32">
        <f t="shared" si="112"/>
        <v>0</v>
      </c>
      <c r="W245" s="32">
        <f t="shared" si="113"/>
        <v>0</v>
      </c>
      <c r="X245" s="32">
        <f t="shared" si="114"/>
        <v>0</v>
      </c>
      <c r="Y245" s="32">
        <f t="shared" si="115"/>
        <v>0</v>
      </c>
      <c r="Z245" s="32">
        <f t="shared" si="116"/>
        <v>0</v>
      </c>
    </row>
    <row r="246" spans="1:26" x14ac:dyDescent="0.25">
      <c r="A246" s="30" t="str">
        <f t="shared" si="99"/>
        <v>8</v>
      </c>
      <c r="B246" s="30" t="str">
        <f t="shared" si="100"/>
        <v>9</v>
      </c>
      <c r="C246" s="30">
        <f t="shared" si="101"/>
        <v>0</v>
      </c>
      <c r="D246" s="31">
        <f t="shared" si="102"/>
        <v>0</v>
      </c>
      <c r="E246" s="31">
        <f t="shared" si="103"/>
        <v>0</v>
      </c>
      <c r="F246" s="32">
        <f t="shared" si="104"/>
        <v>0</v>
      </c>
      <c r="G246" s="31">
        <f t="shared" si="105"/>
        <v>0</v>
      </c>
      <c r="H246" s="31">
        <f t="shared" si="106"/>
        <v>0</v>
      </c>
      <c r="I246" s="32">
        <f t="shared" si="107"/>
        <v>0</v>
      </c>
      <c r="N246" t="s">
        <v>455</v>
      </c>
      <c r="R246" s="32" t="str">
        <f t="shared" si="108"/>
        <v>8)Hex(9)</v>
      </c>
      <c r="S246" s="32" t="str">
        <f t="shared" si="109"/>
        <v>9)</v>
      </c>
      <c r="T246" s="32">
        <f t="shared" si="110"/>
        <v>0</v>
      </c>
      <c r="U246" s="32">
        <f t="shared" si="111"/>
        <v>0</v>
      </c>
      <c r="V246" s="32">
        <f t="shared" si="112"/>
        <v>0</v>
      </c>
      <c r="W246" s="32">
        <f t="shared" si="113"/>
        <v>0</v>
      </c>
      <c r="X246" s="32">
        <f t="shared" si="114"/>
        <v>0</v>
      </c>
      <c r="Y246" s="32">
        <f t="shared" si="115"/>
        <v>0</v>
      </c>
      <c r="Z246" s="32">
        <f t="shared" si="116"/>
        <v>0</v>
      </c>
    </row>
    <row r="247" spans="1:26" x14ac:dyDescent="0.25">
      <c r="A247" s="30" t="str">
        <f t="shared" si="99"/>
        <v>6</v>
      </c>
      <c r="B247" s="30" t="str">
        <f t="shared" si="100"/>
        <v>7</v>
      </c>
      <c r="C247" s="30" t="str">
        <f t="shared" si="101"/>
        <v>5</v>
      </c>
      <c r="D247" s="31">
        <f t="shared" si="102"/>
        <v>0</v>
      </c>
      <c r="E247" s="31">
        <f t="shared" si="103"/>
        <v>0</v>
      </c>
      <c r="F247" s="32">
        <f t="shared" si="104"/>
        <v>0</v>
      </c>
      <c r="G247" s="31">
        <f t="shared" si="105"/>
        <v>0</v>
      </c>
      <c r="H247" s="31">
        <f t="shared" si="106"/>
        <v>0</v>
      </c>
      <c r="I247" s="32">
        <f t="shared" si="107"/>
        <v>0</v>
      </c>
      <c r="N247" t="s">
        <v>456</v>
      </c>
      <c r="R247" s="32" t="str">
        <f t="shared" si="108"/>
        <v>6)Hex(7)Fuc(5)</v>
      </c>
      <c r="S247" s="32" t="str">
        <f t="shared" si="109"/>
        <v>7)Fuc(5)</v>
      </c>
      <c r="T247" s="32" t="str">
        <f t="shared" si="110"/>
        <v>5)</v>
      </c>
      <c r="U247" s="32">
        <f t="shared" si="111"/>
        <v>0</v>
      </c>
      <c r="V247" s="32">
        <f t="shared" si="112"/>
        <v>0</v>
      </c>
      <c r="W247" s="32">
        <f t="shared" si="113"/>
        <v>0</v>
      </c>
      <c r="X247" s="32">
        <f t="shared" si="114"/>
        <v>0</v>
      </c>
      <c r="Y247" s="32">
        <f t="shared" si="115"/>
        <v>0</v>
      </c>
      <c r="Z247" s="32">
        <f t="shared" si="116"/>
        <v>0</v>
      </c>
    </row>
    <row r="248" spans="1:26" x14ac:dyDescent="0.25">
      <c r="A248" s="30" t="str">
        <f t="shared" si="99"/>
        <v>6</v>
      </c>
      <c r="B248" s="30" t="str">
        <f t="shared" si="100"/>
        <v>5</v>
      </c>
      <c r="C248" s="30" t="str">
        <f t="shared" si="101"/>
        <v>1</v>
      </c>
      <c r="D248" s="31">
        <f t="shared" si="102"/>
        <v>0</v>
      </c>
      <c r="E248" s="31">
        <f t="shared" si="103"/>
        <v>3</v>
      </c>
      <c r="F248" s="32">
        <f t="shared" si="104"/>
        <v>3</v>
      </c>
      <c r="G248" s="31">
        <f t="shared" si="105"/>
        <v>0</v>
      </c>
      <c r="H248" s="31">
        <f t="shared" si="106"/>
        <v>0</v>
      </c>
      <c r="I248" s="32">
        <f t="shared" si="107"/>
        <v>0</v>
      </c>
      <c r="N248" t="s">
        <v>457</v>
      </c>
      <c r="R248" s="32" t="str">
        <f t="shared" si="108"/>
        <v>6)Hex(5)Fuc(1)NeuGc(3)</v>
      </c>
      <c r="S248" s="32" t="str">
        <f t="shared" si="109"/>
        <v>5)Fuc(1)NeuGc(3)</v>
      </c>
      <c r="T248" s="32" t="str">
        <f t="shared" si="110"/>
        <v>1)NeuGc(3)</v>
      </c>
      <c r="U248" s="32">
        <f t="shared" si="111"/>
        <v>0</v>
      </c>
      <c r="V248" s="32" t="str">
        <f t="shared" si="112"/>
        <v>3)</v>
      </c>
      <c r="W248" s="32">
        <f t="shared" si="113"/>
        <v>0</v>
      </c>
      <c r="X248" s="32">
        <f t="shared" si="114"/>
        <v>0</v>
      </c>
      <c r="Y248" s="32">
        <f t="shared" si="115"/>
        <v>0</v>
      </c>
      <c r="Z248" s="32">
        <f t="shared" si="116"/>
        <v>0</v>
      </c>
    </row>
    <row r="249" spans="1:26" x14ac:dyDescent="0.25">
      <c r="A249" s="30" t="str">
        <f t="shared" si="99"/>
        <v>6</v>
      </c>
      <c r="B249" s="30" t="str">
        <f t="shared" si="100"/>
        <v>11</v>
      </c>
      <c r="C249" s="30" t="str">
        <f t="shared" si="101"/>
        <v>1</v>
      </c>
      <c r="D249" s="31">
        <f t="shared" si="102"/>
        <v>0</v>
      </c>
      <c r="E249" s="31">
        <f t="shared" si="103"/>
        <v>0</v>
      </c>
      <c r="F249" s="32">
        <f t="shared" si="104"/>
        <v>0</v>
      </c>
      <c r="G249" s="31">
        <f t="shared" si="105"/>
        <v>0</v>
      </c>
      <c r="H249" s="31">
        <f t="shared" si="106"/>
        <v>0</v>
      </c>
      <c r="I249" s="32">
        <f t="shared" si="107"/>
        <v>0</v>
      </c>
      <c r="N249" t="s">
        <v>458</v>
      </c>
      <c r="R249" s="32" t="str">
        <f t="shared" si="108"/>
        <v>6)Hex(11)Fuc(1)</v>
      </c>
      <c r="S249" s="32" t="str">
        <f t="shared" si="109"/>
        <v>11)Fuc(1)</v>
      </c>
      <c r="T249" s="32" t="str">
        <f t="shared" si="110"/>
        <v>1)</v>
      </c>
      <c r="U249" s="32">
        <f t="shared" si="111"/>
        <v>0</v>
      </c>
      <c r="V249" s="32">
        <f t="shared" si="112"/>
        <v>0</v>
      </c>
      <c r="W249" s="32">
        <f t="shared" si="113"/>
        <v>0</v>
      </c>
      <c r="X249" s="32">
        <f t="shared" si="114"/>
        <v>0</v>
      </c>
      <c r="Y249" s="32">
        <f t="shared" si="115"/>
        <v>0</v>
      </c>
      <c r="Z249" s="32">
        <f t="shared" si="116"/>
        <v>0</v>
      </c>
    </row>
    <row r="250" spans="1:26" x14ac:dyDescent="0.25">
      <c r="A250" s="30" t="str">
        <f t="shared" si="99"/>
        <v>10</v>
      </c>
      <c r="B250" s="30" t="str">
        <f t="shared" si="100"/>
        <v>7</v>
      </c>
      <c r="C250" s="30">
        <f t="shared" si="101"/>
        <v>0</v>
      </c>
      <c r="D250" s="31">
        <f t="shared" si="102"/>
        <v>0</v>
      </c>
      <c r="E250" s="31">
        <f t="shared" si="103"/>
        <v>0</v>
      </c>
      <c r="F250" s="32">
        <f t="shared" si="104"/>
        <v>0</v>
      </c>
      <c r="G250" s="31">
        <f t="shared" si="105"/>
        <v>0</v>
      </c>
      <c r="H250" s="31">
        <f t="shared" si="106"/>
        <v>0</v>
      </c>
      <c r="I250" s="32">
        <f t="shared" si="107"/>
        <v>0</v>
      </c>
      <c r="N250" t="s">
        <v>459</v>
      </c>
      <c r="R250" s="32" t="str">
        <f t="shared" si="108"/>
        <v>10)Hex(7)</v>
      </c>
      <c r="S250" s="32" t="str">
        <f t="shared" si="109"/>
        <v>7)</v>
      </c>
      <c r="T250" s="32">
        <f t="shared" si="110"/>
        <v>0</v>
      </c>
      <c r="U250" s="32">
        <f t="shared" si="111"/>
        <v>0</v>
      </c>
      <c r="V250" s="32">
        <f t="shared" si="112"/>
        <v>0</v>
      </c>
      <c r="W250" s="32">
        <f t="shared" si="113"/>
        <v>0</v>
      </c>
      <c r="X250" s="32">
        <f t="shared" si="114"/>
        <v>0</v>
      </c>
      <c r="Y250" s="32">
        <f t="shared" si="115"/>
        <v>0</v>
      </c>
      <c r="Z250" s="32">
        <f t="shared" si="116"/>
        <v>0</v>
      </c>
    </row>
    <row r="251" spans="1:26" x14ac:dyDescent="0.25">
      <c r="A251" s="30" t="str">
        <f t="shared" si="99"/>
        <v>6</v>
      </c>
      <c r="B251" s="30" t="str">
        <f t="shared" si="100"/>
        <v>6</v>
      </c>
      <c r="C251" s="30" t="str">
        <f t="shared" si="101"/>
        <v>1</v>
      </c>
      <c r="D251" s="31">
        <f t="shared" si="102"/>
        <v>3</v>
      </c>
      <c r="E251" s="31">
        <f t="shared" si="103"/>
        <v>0</v>
      </c>
      <c r="F251" s="32">
        <f t="shared" si="104"/>
        <v>3</v>
      </c>
      <c r="G251" s="31">
        <f t="shared" si="105"/>
        <v>0</v>
      </c>
      <c r="H251" s="31">
        <f t="shared" si="106"/>
        <v>0</v>
      </c>
      <c r="I251" s="32">
        <f t="shared" si="107"/>
        <v>0</v>
      </c>
      <c r="N251" t="s">
        <v>460</v>
      </c>
      <c r="R251" s="32" t="str">
        <f t="shared" si="108"/>
        <v>6)Hex(6)Fuc(1)NeuAc(3)</v>
      </c>
      <c r="S251" s="32" t="str">
        <f t="shared" si="109"/>
        <v>6)Fuc(1)NeuAc(3)</v>
      </c>
      <c r="T251" s="32" t="str">
        <f t="shared" si="110"/>
        <v>1)NeuAc(3)</v>
      </c>
      <c r="U251" s="32" t="str">
        <f t="shared" si="111"/>
        <v>3)</v>
      </c>
      <c r="V251" s="32">
        <f t="shared" si="112"/>
        <v>0</v>
      </c>
      <c r="W251" s="32">
        <f t="shared" si="113"/>
        <v>0</v>
      </c>
      <c r="X251" s="32">
        <f t="shared" si="114"/>
        <v>0</v>
      </c>
      <c r="Y251" s="32">
        <f t="shared" si="115"/>
        <v>0</v>
      </c>
      <c r="Z251" s="32">
        <f t="shared" si="116"/>
        <v>0</v>
      </c>
    </row>
    <row r="252" spans="1:26" x14ac:dyDescent="0.25">
      <c r="A252" s="30" t="str">
        <f t="shared" si="99"/>
        <v>6</v>
      </c>
      <c r="B252" s="30" t="str">
        <f t="shared" si="100"/>
        <v>6</v>
      </c>
      <c r="C252" s="30" t="str">
        <f t="shared" si="101"/>
        <v>1</v>
      </c>
      <c r="D252" s="31">
        <f t="shared" si="102"/>
        <v>2</v>
      </c>
      <c r="E252" s="31">
        <f t="shared" si="103"/>
        <v>1</v>
      </c>
      <c r="F252" s="32">
        <f t="shared" si="104"/>
        <v>3</v>
      </c>
      <c r="G252" s="31">
        <f t="shared" si="105"/>
        <v>0</v>
      </c>
      <c r="H252" s="31">
        <f t="shared" si="106"/>
        <v>0</v>
      </c>
      <c r="I252" s="32">
        <f t="shared" si="107"/>
        <v>0</v>
      </c>
      <c r="N252" t="s">
        <v>461</v>
      </c>
      <c r="R252" s="32" t="str">
        <f t="shared" si="108"/>
        <v>6)Hex(6)Fuc(1)NeuAc(2)NeuGc(1)</v>
      </c>
      <c r="S252" s="32" t="str">
        <f t="shared" si="109"/>
        <v>6)Fuc(1)NeuAc(2)NeuGc(1)</v>
      </c>
      <c r="T252" s="32" t="str">
        <f t="shared" si="110"/>
        <v>1)NeuAc(2)NeuGc(1)</v>
      </c>
      <c r="U252" s="32" t="str">
        <f t="shared" si="111"/>
        <v>2)NeuGc(1)</v>
      </c>
      <c r="V252" s="32" t="str">
        <f t="shared" si="112"/>
        <v>1)</v>
      </c>
      <c r="W252" s="32">
        <f t="shared" si="113"/>
        <v>0</v>
      </c>
      <c r="X252" s="32">
        <f t="shared" si="114"/>
        <v>0</v>
      </c>
      <c r="Y252" s="32">
        <f t="shared" si="115"/>
        <v>0</v>
      </c>
      <c r="Z252" s="32">
        <f t="shared" si="116"/>
        <v>0</v>
      </c>
    </row>
    <row r="253" spans="1:26" x14ac:dyDescent="0.25">
      <c r="A253" s="30" t="str">
        <f t="shared" si="99"/>
        <v>6</v>
      </c>
      <c r="B253" s="30" t="str">
        <f t="shared" si="100"/>
        <v>7</v>
      </c>
      <c r="C253" s="30">
        <f t="shared" si="101"/>
        <v>0</v>
      </c>
      <c r="D253" s="31">
        <f t="shared" si="102"/>
        <v>3</v>
      </c>
      <c r="E253" s="31">
        <f t="shared" si="103"/>
        <v>0</v>
      </c>
      <c r="F253" s="32">
        <f t="shared" si="104"/>
        <v>3</v>
      </c>
      <c r="G253" s="31">
        <f t="shared" si="105"/>
        <v>0</v>
      </c>
      <c r="H253" s="31">
        <f t="shared" si="106"/>
        <v>0</v>
      </c>
      <c r="I253" s="32">
        <f t="shared" si="107"/>
        <v>0</v>
      </c>
      <c r="N253" t="s">
        <v>462</v>
      </c>
      <c r="R253" s="32" t="str">
        <f t="shared" si="108"/>
        <v>6)Hex(7)NeuAc(3)</v>
      </c>
      <c r="S253" s="32" t="str">
        <f t="shared" si="109"/>
        <v>7)NeuAc(3)</v>
      </c>
      <c r="T253" s="32">
        <f t="shared" si="110"/>
        <v>0</v>
      </c>
      <c r="U253" s="32" t="str">
        <f t="shared" si="111"/>
        <v>3)</v>
      </c>
      <c r="V253" s="32">
        <f t="shared" si="112"/>
        <v>0</v>
      </c>
      <c r="W253" s="32">
        <f t="shared" si="113"/>
        <v>0</v>
      </c>
      <c r="X253" s="32">
        <f t="shared" si="114"/>
        <v>0</v>
      </c>
      <c r="Y253" s="32">
        <f t="shared" si="115"/>
        <v>0</v>
      </c>
      <c r="Z253" s="32">
        <f t="shared" si="116"/>
        <v>0</v>
      </c>
    </row>
    <row r="254" spans="1:26" x14ac:dyDescent="0.25">
      <c r="A254" s="30" t="str">
        <f t="shared" si="99"/>
        <v>6</v>
      </c>
      <c r="B254" s="30" t="str">
        <f t="shared" si="100"/>
        <v>7</v>
      </c>
      <c r="C254" s="30" t="str">
        <f t="shared" si="101"/>
        <v>4</v>
      </c>
      <c r="D254" s="31">
        <f t="shared" si="102"/>
        <v>1</v>
      </c>
      <c r="E254" s="31">
        <f t="shared" si="103"/>
        <v>0</v>
      </c>
      <c r="F254" s="32">
        <f t="shared" si="104"/>
        <v>1</v>
      </c>
      <c r="G254" s="31">
        <f t="shared" si="105"/>
        <v>0</v>
      </c>
      <c r="H254" s="31">
        <f t="shared" si="106"/>
        <v>0</v>
      </c>
      <c r="I254" s="32">
        <f t="shared" si="107"/>
        <v>0</v>
      </c>
      <c r="N254" t="s">
        <v>463</v>
      </c>
      <c r="R254" s="32" t="str">
        <f t="shared" si="108"/>
        <v>6)Hex(7)Fuc(4)NeuAc(1)</v>
      </c>
      <c r="S254" s="32" t="str">
        <f t="shared" si="109"/>
        <v>7)Fuc(4)NeuAc(1)</v>
      </c>
      <c r="T254" s="32" t="str">
        <f t="shared" si="110"/>
        <v>4)NeuAc(1)</v>
      </c>
      <c r="U254" s="32" t="str">
        <f t="shared" si="111"/>
        <v>1)</v>
      </c>
      <c r="V254" s="32">
        <f t="shared" si="112"/>
        <v>0</v>
      </c>
      <c r="W254" s="32">
        <f t="shared" si="113"/>
        <v>0</v>
      </c>
      <c r="X254" s="32">
        <f t="shared" si="114"/>
        <v>0</v>
      </c>
      <c r="Y254" s="32">
        <f t="shared" si="115"/>
        <v>0</v>
      </c>
      <c r="Z254" s="32">
        <f t="shared" si="116"/>
        <v>0</v>
      </c>
    </row>
    <row r="255" spans="1:26" x14ac:dyDescent="0.25">
      <c r="A255" s="30" t="str">
        <f t="shared" si="99"/>
        <v>8</v>
      </c>
      <c r="B255" s="30" t="str">
        <f t="shared" si="100"/>
        <v>9</v>
      </c>
      <c r="C255" s="30" t="str">
        <f t="shared" si="101"/>
        <v>1</v>
      </c>
      <c r="D255" s="31">
        <f t="shared" si="102"/>
        <v>0</v>
      </c>
      <c r="E255" s="31">
        <f t="shared" si="103"/>
        <v>0</v>
      </c>
      <c r="F255" s="32">
        <f t="shared" si="104"/>
        <v>0</v>
      </c>
      <c r="G255" s="31">
        <f t="shared" si="105"/>
        <v>0</v>
      </c>
      <c r="H255" s="31">
        <f t="shared" si="106"/>
        <v>0</v>
      </c>
      <c r="I255" s="32">
        <f t="shared" si="107"/>
        <v>0</v>
      </c>
      <c r="N255" t="s">
        <v>464</v>
      </c>
      <c r="R255" s="32" t="str">
        <f t="shared" si="108"/>
        <v>8)Hex(9)Fuc(1)</v>
      </c>
      <c r="S255" s="32" t="str">
        <f t="shared" si="109"/>
        <v>9)Fuc(1)</v>
      </c>
      <c r="T255" s="32" t="str">
        <f t="shared" si="110"/>
        <v>1)</v>
      </c>
      <c r="U255" s="32">
        <f t="shared" si="111"/>
        <v>0</v>
      </c>
      <c r="V255" s="32">
        <f t="shared" si="112"/>
        <v>0</v>
      </c>
      <c r="W255" s="32">
        <f t="shared" si="113"/>
        <v>0</v>
      </c>
      <c r="X255" s="32">
        <f t="shared" si="114"/>
        <v>0</v>
      </c>
      <c r="Y255" s="32">
        <f t="shared" si="115"/>
        <v>0</v>
      </c>
      <c r="Z255" s="32">
        <f t="shared" si="116"/>
        <v>0</v>
      </c>
    </row>
    <row r="256" spans="1:26" x14ac:dyDescent="0.25">
      <c r="A256" s="30" t="str">
        <f t="shared" si="99"/>
        <v>6</v>
      </c>
      <c r="B256" s="30" t="str">
        <f t="shared" si="100"/>
        <v>7</v>
      </c>
      <c r="C256" s="30">
        <f t="shared" si="101"/>
        <v>0</v>
      </c>
      <c r="D256" s="31">
        <f t="shared" si="102"/>
        <v>2</v>
      </c>
      <c r="E256" s="31">
        <f t="shared" si="103"/>
        <v>1</v>
      </c>
      <c r="F256" s="32">
        <f t="shared" si="104"/>
        <v>3</v>
      </c>
      <c r="G256" s="31">
        <f t="shared" si="105"/>
        <v>0</v>
      </c>
      <c r="H256" s="31">
        <f t="shared" si="106"/>
        <v>0</v>
      </c>
      <c r="I256" s="32">
        <f t="shared" si="107"/>
        <v>0</v>
      </c>
      <c r="N256" t="s">
        <v>465</v>
      </c>
      <c r="R256" s="32" t="str">
        <f t="shared" si="108"/>
        <v>6)Hex(7)NeuAc(2)NeuGc(1)</v>
      </c>
      <c r="S256" s="32" t="str">
        <f t="shared" si="109"/>
        <v>7)NeuAc(2)NeuGc(1)</v>
      </c>
      <c r="T256" s="32">
        <f t="shared" si="110"/>
        <v>0</v>
      </c>
      <c r="U256" s="32" t="str">
        <f t="shared" si="111"/>
        <v>2)NeuGc(1)</v>
      </c>
      <c r="V256" s="32" t="str">
        <f t="shared" si="112"/>
        <v>1)</v>
      </c>
      <c r="W256" s="32">
        <f t="shared" si="113"/>
        <v>0</v>
      </c>
      <c r="X256" s="32">
        <f t="shared" si="114"/>
        <v>0</v>
      </c>
      <c r="Y256" s="32">
        <f t="shared" si="115"/>
        <v>0</v>
      </c>
      <c r="Z256" s="32">
        <f t="shared" si="116"/>
        <v>0</v>
      </c>
    </row>
    <row r="257" spans="1:26" x14ac:dyDescent="0.25">
      <c r="A257" s="30" t="str">
        <f t="shared" si="99"/>
        <v>6</v>
      </c>
      <c r="B257" s="30" t="str">
        <f t="shared" si="100"/>
        <v>6</v>
      </c>
      <c r="C257" s="30" t="str">
        <f t="shared" si="101"/>
        <v>1</v>
      </c>
      <c r="D257" s="31">
        <f t="shared" si="102"/>
        <v>1</v>
      </c>
      <c r="E257" s="31">
        <f t="shared" si="103"/>
        <v>2</v>
      </c>
      <c r="F257" s="32">
        <f t="shared" si="104"/>
        <v>3</v>
      </c>
      <c r="G257" s="31">
        <f t="shared" si="105"/>
        <v>0</v>
      </c>
      <c r="H257" s="31">
        <f t="shared" si="106"/>
        <v>0</v>
      </c>
      <c r="I257" s="32">
        <f t="shared" si="107"/>
        <v>0</v>
      </c>
      <c r="N257" t="s">
        <v>466</v>
      </c>
      <c r="R257" s="32" t="str">
        <f t="shared" si="108"/>
        <v>6)Hex(6)Fuc(1)NeuAc(1)NeuGc(2)</v>
      </c>
      <c r="S257" s="32" t="str">
        <f t="shared" si="109"/>
        <v>6)Fuc(1)NeuAc(1)NeuGc(2)</v>
      </c>
      <c r="T257" s="32" t="str">
        <f t="shared" si="110"/>
        <v>1)NeuAc(1)NeuGc(2)</v>
      </c>
      <c r="U257" s="32" t="str">
        <f t="shared" si="111"/>
        <v>1)NeuGc(2)</v>
      </c>
      <c r="V257" s="32" t="str">
        <f t="shared" si="112"/>
        <v>2)</v>
      </c>
      <c r="W257" s="32">
        <f t="shared" si="113"/>
        <v>0</v>
      </c>
      <c r="X257" s="32">
        <f t="shared" si="114"/>
        <v>0</v>
      </c>
      <c r="Y257" s="32">
        <f t="shared" si="115"/>
        <v>0</v>
      </c>
      <c r="Z257" s="32">
        <f t="shared" si="116"/>
        <v>0</v>
      </c>
    </row>
    <row r="258" spans="1:26" x14ac:dyDescent="0.25">
      <c r="A258" s="30" t="str">
        <f t="shared" si="99"/>
        <v>6</v>
      </c>
      <c r="B258" s="30" t="str">
        <f t="shared" si="100"/>
        <v>7</v>
      </c>
      <c r="C258" s="30" t="str">
        <f t="shared" si="101"/>
        <v>4</v>
      </c>
      <c r="D258" s="31">
        <f t="shared" si="102"/>
        <v>0</v>
      </c>
      <c r="E258" s="31">
        <f t="shared" si="103"/>
        <v>1</v>
      </c>
      <c r="F258" s="32">
        <f t="shared" si="104"/>
        <v>1</v>
      </c>
      <c r="G258" s="31">
        <f t="shared" si="105"/>
        <v>0</v>
      </c>
      <c r="H258" s="31">
        <f t="shared" si="106"/>
        <v>0</v>
      </c>
      <c r="I258" s="32">
        <f t="shared" si="107"/>
        <v>0</v>
      </c>
      <c r="N258" t="s">
        <v>467</v>
      </c>
      <c r="R258" s="32" t="str">
        <f t="shared" si="108"/>
        <v>6)Hex(7)Fuc(4)NeuGc(1)</v>
      </c>
      <c r="S258" s="32" t="str">
        <f t="shared" si="109"/>
        <v>7)Fuc(4)NeuGc(1)</v>
      </c>
      <c r="T258" s="32" t="str">
        <f t="shared" si="110"/>
        <v>4)NeuGc(1)</v>
      </c>
      <c r="U258" s="32">
        <f t="shared" si="111"/>
        <v>0</v>
      </c>
      <c r="V258" s="32" t="str">
        <f t="shared" si="112"/>
        <v>1)</v>
      </c>
      <c r="W258" s="32">
        <f t="shared" si="113"/>
        <v>0</v>
      </c>
      <c r="X258" s="32">
        <f t="shared" si="114"/>
        <v>0</v>
      </c>
      <c r="Y258" s="32">
        <f t="shared" si="115"/>
        <v>0</v>
      </c>
      <c r="Z258" s="32">
        <f t="shared" si="116"/>
        <v>0</v>
      </c>
    </row>
    <row r="259" spans="1:26" x14ac:dyDescent="0.25">
      <c r="A259" s="30" t="str">
        <f t="shared" si="99"/>
        <v>6</v>
      </c>
      <c r="B259" s="30" t="str">
        <f t="shared" si="100"/>
        <v>6</v>
      </c>
      <c r="C259" s="30" t="str">
        <f t="shared" si="101"/>
        <v>1</v>
      </c>
      <c r="D259" s="31">
        <f t="shared" si="102"/>
        <v>0</v>
      </c>
      <c r="E259" s="31">
        <f t="shared" si="103"/>
        <v>3</v>
      </c>
      <c r="F259" s="32">
        <f t="shared" si="104"/>
        <v>3</v>
      </c>
      <c r="G259" s="31">
        <f t="shared" si="105"/>
        <v>0</v>
      </c>
      <c r="H259" s="31">
        <f t="shared" si="106"/>
        <v>0</v>
      </c>
      <c r="I259" s="32">
        <f t="shared" si="107"/>
        <v>0</v>
      </c>
      <c r="N259" t="s">
        <v>468</v>
      </c>
      <c r="R259" s="32" t="str">
        <f t="shared" si="108"/>
        <v>6)Hex(6)Fuc(1)NeuGc(3)</v>
      </c>
      <c r="S259" s="32" t="str">
        <f t="shared" si="109"/>
        <v>6)Fuc(1)NeuGc(3)</v>
      </c>
      <c r="T259" s="32" t="str">
        <f t="shared" si="110"/>
        <v>1)NeuGc(3)</v>
      </c>
      <c r="U259" s="32">
        <f t="shared" si="111"/>
        <v>0</v>
      </c>
      <c r="V259" s="32" t="str">
        <f t="shared" si="112"/>
        <v>3)</v>
      </c>
      <c r="W259" s="32">
        <f t="shared" si="113"/>
        <v>0</v>
      </c>
      <c r="X259" s="32">
        <f t="shared" si="114"/>
        <v>0</v>
      </c>
      <c r="Y259" s="32">
        <f t="shared" si="115"/>
        <v>0</v>
      </c>
      <c r="Z259" s="32">
        <f t="shared" si="116"/>
        <v>0</v>
      </c>
    </row>
    <row r="260" spans="1:26" x14ac:dyDescent="0.25">
      <c r="A260" s="30" t="str">
        <f t="shared" si="99"/>
        <v>6</v>
      </c>
      <c r="B260" s="30" t="str">
        <f t="shared" si="100"/>
        <v>10</v>
      </c>
      <c r="C260" s="30" t="str">
        <f t="shared" si="101"/>
        <v>1</v>
      </c>
      <c r="D260" s="31">
        <f t="shared" si="102"/>
        <v>1</v>
      </c>
      <c r="E260" s="31">
        <f t="shared" si="103"/>
        <v>0</v>
      </c>
      <c r="F260" s="32">
        <f t="shared" si="104"/>
        <v>1</v>
      </c>
      <c r="G260" s="31">
        <f t="shared" si="105"/>
        <v>0</v>
      </c>
      <c r="H260" s="31">
        <f t="shared" si="106"/>
        <v>0</v>
      </c>
      <c r="I260" s="32">
        <f t="shared" si="107"/>
        <v>0</v>
      </c>
      <c r="N260" t="s">
        <v>469</v>
      </c>
      <c r="R260" s="32" t="str">
        <f t="shared" si="108"/>
        <v>6)Hex(10)Fuc(1)NeuAc(1)</v>
      </c>
      <c r="S260" s="32" t="str">
        <f t="shared" si="109"/>
        <v>10)Fuc(1)NeuAc(1)</v>
      </c>
      <c r="T260" s="32" t="str">
        <f t="shared" si="110"/>
        <v>1)NeuAc(1)</v>
      </c>
      <c r="U260" s="32" t="str">
        <f t="shared" si="111"/>
        <v>1)</v>
      </c>
      <c r="V260" s="32">
        <f t="shared" si="112"/>
        <v>0</v>
      </c>
      <c r="W260" s="32">
        <f t="shared" si="113"/>
        <v>0</v>
      </c>
      <c r="X260" s="32">
        <f t="shared" si="114"/>
        <v>0</v>
      </c>
      <c r="Y260" s="32">
        <f t="shared" si="115"/>
        <v>0</v>
      </c>
      <c r="Z260" s="32">
        <f t="shared" si="116"/>
        <v>0</v>
      </c>
    </row>
    <row r="261" spans="1:26" x14ac:dyDescent="0.25">
      <c r="A261" s="30" t="str">
        <f t="shared" si="99"/>
        <v>7</v>
      </c>
      <c r="B261" s="30" t="str">
        <f t="shared" si="100"/>
        <v>7</v>
      </c>
      <c r="C261" s="30" t="str">
        <f t="shared" si="101"/>
        <v>1</v>
      </c>
      <c r="D261" s="31">
        <f t="shared" si="102"/>
        <v>2</v>
      </c>
      <c r="E261" s="31">
        <f t="shared" si="103"/>
        <v>0</v>
      </c>
      <c r="F261" s="32">
        <f t="shared" si="104"/>
        <v>2</v>
      </c>
      <c r="G261" s="31">
        <f t="shared" si="105"/>
        <v>0</v>
      </c>
      <c r="H261" s="31">
        <f t="shared" si="106"/>
        <v>0</v>
      </c>
      <c r="I261" s="32">
        <f t="shared" si="107"/>
        <v>0</v>
      </c>
      <c r="N261" t="s">
        <v>470</v>
      </c>
      <c r="R261" s="32" t="str">
        <f t="shared" si="108"/>
        <v>7)Hex(7)Fuc(1)NeuAc(2)</v>
      </c>
      <c r="S261" s="32" t="str">
        <f t="shared" si="109"/>
        <v>7)Fuc(1)NeuAc(2)</v>
      </c>
      <c r="T261" s="32" t="str">
        <f t="shared" si="110"/>
        <v>1)NeuAc(2)</v>
      </c>
      <c r="U261" s="32" t="str">
        <f t="shared" si="111"/>
        <v>2)</v>
      </c>
      <c r="V261" s="32">
        <f t="shared" si="112"/>
        <v>0</v>
      </c>
      <c r="W261" s="32">
        <f t="shared" si="113"/>
        <v>0</v>
      </c>
      <c r="X261" s="32">
        <f t="shared" si="114"/>
        <v>0</v>
      </c>
      <c r="Y261" s="32">
        <f t="shared" si="115"/>
        <v>0</v>
      </c>
      <c r="Z261" s="32">
        <f t="shared" si="116"/>
        <v>0</v>
      </c>
    </row>
    <row r="262" spans="1:26" x14ac:dyDescent="0.25">
      <c r="A262" s="30" t="str">
        <f t="shared" si="99"/>
        <v>6</v>
      </c>
      <c r="B262" s="30" t="str">
        <f t="shared" si="100"/>
        <v>10</v>
      </c>
      <c r="C262" s="30" t="str">
        <f t="shared" si="101"/>
        <v>1</v>
      </c>
      <c r="D262" s="31">
        <f t="shared" si="102"/>
        <v>0</v>
      </c>
      <c r="E262" s="31">
        <f t="shared" si="103"/>
        <v>1</v>
      </c>
      <c r="F262" s="32">
        <f t="shared" si="104"/>
        <v>1</v>
      </c>
      <c r="G262" s="31">
        <f t="shared" si="105"/>
        <v>0</v>
      </c>
      <c r="H262" s="31">
        <f t="shared" si="106"/>
        <v>0</v>
      </c>
      <c r="I262" s="32">
        <f t="shared" si="107"/>
        <v>0</v>
      </c>
      <c r="N262" t="s">
        <v>471</v>
      </c>
      <c r="R262" s="32" t="str">
        <f t="shared" si="108"/>
        <v>6)Hex(10)Fuc(1)NeuGc(1)</v>
      </c>
      <c r="S262" s="32" t="str">
        <f t="shared" si="109"/>
        <v>10)Fuc(1)NeuGc(1)</v>
      </c>
      <c r="T262" s="32" t="str">
        <f t="shared" si="110"/>
        <v>1)NeuGc(1)</v>
      </c>
      <c r="U262" s="32">
        <f t="shared" si="111"/>
        <v>0</v>
      </c>
      <c r="V262" s="32" t="str">
        <f t="shared" si="112"/>
        <v>1)</v>
      </c>
      <c r="W262" s="32">
        <f t="shared" si="113"/>
        <v>0</v>
      </c>
      <c r="X262" s="32">
        <f t="shared" si="114"/>
        <v>0</v>
      </c>
      <c r="Y262" s="32">
        <f t="shared" si="115"/>
        <v>0</v>
      </c>
      <c r="Z262" s="32">
        <f t="shared" si="116"/>
        <v>0</v>
      </c>
    </row>
    <row r="263" spans="1:26" x14ac:dyDescent="0.25">
      <c r="A263" s="30" t="str">
        <f t="shared" si="99"/>
        <v>6</v>
      </c>
      <c r="B263" s="30" t="str">
        <f t="shared" si="100"/>
        <v>7</v>
      </c>
      <c r="C263" s="30" t="str">
        <f t="shared" si="101"/>
        <v>1</v>
      </c>
      <c r="D263" s="31">
        <f t="shared" si="102"/>
        <v>3</v>
      </c>
      <c r="E263" s="31">
        <f t="shared" si="103"/>
        <v>0</v>
      </c>
      <c r="F263" s="32">
        <f t="shared" si="104"/>
        <v>3</v>
      </c>
      <c r="G263" s="31">
        <f t="shared" si="105"/>
        <v>0</v>
      </c>
      <c r="H263" s="31">
        <f t="shared" si="106"/>
        <v>0</v>
      </c>
      <c r="I263" s="32">
        <f t="shared" si="107"/>
        <v>0</v>
      </c>
      <c r="N263" t="s">
        <v>472</v>
      </c>
      <c r="R263" s="32" t="str">
        <f t="shared" si="108"/>
        <v>6)Hex(7)Fuc(1)NeuAc(3)</v>
      </c>
      <c r="S263" s="32" t="str">
        <f t="shared" si="109"/>
        <v>7)Fuc(1)NeuAc(3)</v>
      </c>
      <c r="T263" s="32" t="str">
        <f t="shared" si="110"/>
        <v>1)NeuAc(3)</v>
      </c>
      <c r="U263" s="32" t="str">
        <f t="shared" si="111"/>
        <v>3)</v>
      </c>
      <c r="V263" s="32">
        <f t="shared" si="112"/>
        <v>0</v>
      </c>
      <c r="W263" s="32">
        <f t="shared" si="113"/>
        <v>0</v>
      </c>
      <c r="X263" s="32">
        <f t="shared" si="114"/>
        <v>0</v>
      </c>
      <c r="Y263" s="32">
        <f t="shared" si="115"/>
        <v>0</v>
      </c>
      <c r="Z263" s="32">
        <f t="shared" si="116"/>
        <v>0</v>
      </c>
    </row>
    <row r="264" spans="1:26" x14ac:dyDescent="0.25">
      <c r="A264" s="30" t="str">
        <f t="shared" si="99"/>
        <v>6</v>
      </c>
      <c r="B264" s="30" t="str">
        <f t="shared" si="100"/>
        <v>9</v>
      </c>
      <c r="C264" s="30" t="str">
        <f t="shared" si="101"/>
        <v>1</v>
      </c>
      <c r="D264" s="31">
        <f t="shared" si="102"/>
        <v>2</v>
      </c>
      <c r="E264" s="31">
        <f t="shared" si="103"/>
        <v>0</v>
      </c>
      <c r="F264" s="32">
        <f t="shared" si="104"/>
        <v>2</v>
      </c>
      <c r="G264" s="31">
        <f t="shared" si="105"/>
        <v>0</v>
      </c>
      <c r="H264" s="31">
        <f t="shared" si="106"/>
        <v>0</v>
      </c>
      <c r="I264" s="32">
        <f t="shared" si="107"/>
        <v>0</v>
      </c>
      <c r="N264" t="s">
        <v>473</v>
      </c>
      <c r="R264" s="32" t="str">
        <f t="shared" si="108"/>
        <v>6)Hex(9)Fuc(1)NeuAc(2)</v>
      </c>
      <c r="S264" s="32" t="str">
        <f t="shared" si="109"/>
        <v>9)Fuc(1)NeuAc(2)</v>
      </c>
      <c r="T264" s="32" t="str">
        <f t="shared" si="110"/>
        <v>1)NeuAc(2)</v>
      </c>
      <c r="U264" s="32" t="str">
        <f t="shared" si="111"/>
        <v>2)</v>
      </c>
      <c r="V264" s="32">
        <f t="shared" si="112"/>
        <v>0</v>
      </c>
      <c r="W264" s="32">
        <f t="shared" si="113"/>
        <v>0</v>
      </c>
      <c r="X264" s="32">
        <f t="shared" si="114"/>
        <v>0</v>
      </c>
      <c r="Y264" s="32">
        <f t="shared" si="115"/>
        <v>0</v>
      </c>
      <c r="Z264" s="32">
        <f t="shared" si="116"/>
        <v>0</v>
      </c>
    </row>
    <row r="265" spans="1:26" x14ac:dyDescent="0.25">
      <c r="A265" s="30" t="str">
        <f t="shared" si="99"/>
        <v>6</v>
      </c>
      <c r="B265" s="30" t="str">
        <f t="shared" si="100"/>
        <v>9</v>
      </c>
      <c r="C265" s="30" t="str">
        <f t="shared" si="101"/>
        <v>1</v>
      </c>
      <c r="D265" s="31">
        <f t="shared" si="102"/>
        <v>1</v>
      </c>
      <c r="E265" s="31">
        <f t="shared" si="103"/>
        <v>1</v>
      </c>
      <c r="F265" s="32">
        <f t="shared" si="104"/>
        <v>2</v>
      </c>
      <c r="G265" s="31">
        <f t="shared" si="105"/>
        <v>0</v>
      </c>
      <c r="H265" s="31">
        <f t="shared" si="106"/>
        <v>0</v>
      </c>
      <c r="I265" s="32">
        <f t="shared" si="107"/>
        <v>0</v>
      </c>
      <c r="N265" t="s">
        <v>474</v>
      </c>
      <c r="R265" s="32" t="str">
        <f t="shared" si="108"/>
        <v>6)Hex(9)Fuc(1)NeuAc(1)NeuGc(1)</v>
      </c>
      <c r="S265" s="32" t="str">
        <f t="shared" si="109"/>
        <v>9)Fuc(1)NeuAc(1)NeuGc(1)</v>
      </c>
      <c r="T265" s="32" t="str">
        <f t="shared" si="110"/>
        <v>1)NeuAc(1)NeuGc(1)</v>
      </c>
      <c r="U265" s="32" t="str">
        <f t="shared" si="111"/>
        <v>1)NeuGc(1)</v>
      </c>
      <c r="V265" s="32" t="str">
        <f t="shared" si="112"/>
        <v>1)</v>
      </c>
      <c r="W265" s="32">
        <f t="shared" si="113"/>
        <v>0</v>
      </c>
      <c r="X265" s="32">
        <f t="shared" si="114"/>
        <v>0</v>
      </c>
      <c r="Y265" s="32">
        <f t="shared" si="115"/>
        <v>0</v>
      </c>
      <c r="Z265" s="32">
        <f t="shared" si="116"/>
        <v>0</v>
      </c>
    </row>
    <row r="266" spans="1:26" x14ac:dyDescent="0.25">
      <c r="A266" s="30" t="str">
        <f t="shared" si="99"/>
        <v>9</v>
      </c>
      <c r="B266" s="30" t="str">
        <f t="shared" si="100"/>
        <v>9</v>
      </c>
      <c r="C266" s="30" t="str">
        <f t="shared" si="101"/>
        <v>1</v>
      </c>
      <c r="D266" s="31">
        <f t="shared" si="102"/>
        <v>0</v>
      </c>
      <c r="E266" s="31">
        <f t="shared" si="103"/>
        <v>0</v>
      </c>
      <c r="F266" s="32">
        <f t="shared" si="104"/>
        <v>0</v>
      </c>
      <c r="G266" s="31">
        <f t="shared" si="105"/>
        <v>0</v>
      </c>
      <c r="H266" s="31">
        <f t="shared" si="106"/>
        <v>0</v>
      </c>
      <c r="I266" s="32">
        <f t="shared" si="107"/>
        <v>0</v>
      </c>
      <c r="N266" t="s">
        <v>475</v>
      </c>
      <c r="R266" s="32" t="str">
        <f t="shared" si="108"/>
        <v>9)Hex(9)Fuc(1)</v>
      </c>
      <c r="S266" s="32" t="str">
        <f t="shared" si="109"/>
        <v>9)Fuc(1)</v>
      </c>
      <c r="T266" s="32" t="str">
        <f t="shared" si="110"/>
        <v>1)</v>
      </c>
      <c r="U266" s="32">
        <f t="shared" si="111"/>
        <v>0</v>
      </c>
      <c r="V266" s="32">
        <f t="shared" si="112"/>
        <v>0</v>
      </c>
      <c r="W266" s="32">
        <f t="shared" si="113"/>
        <v>0</v>
      </c>
      <c r="X266" s="32">
        <f t="shared" si="114"/>
        <v>0</v>
      </c>
      <c r="Y266" s="32">
        <f t="shared" si="115"/>
        <v>0</v>
      </c>
      <c r="Z266" s="32">
        <f t="shared" si="116"/>
        <v>0</v>
      </c>
    </row>
    <row r="267" spans="1:26" x14ac:dyDescent="0.25">
      <c r="A267" s="30" t="str">
        <f t="shared" ref="A267:A330" si="117">IFERROR(LEFT(R267,FIND(")",R267)-1),0)</f>
        <v>7</v>
      </c>
      <c r="B267" s="30" t="str">
        <f t="shared" ref="B267:B330" si="118">IFERROR(LEFT(S267,FIND(")",S267)-1),0)</f>
        <v>8</v>
      </c>
      <c r="C267" s="30" t="str">
        <f t="shared" ref="C267:C330" si="119">IFERROR(LEFT(T267,FIND(")",T267)-1),0)</f>
        <v>1</v>
      </c>
      <c r="D267" s="31">
        <f t="shared" ref="D267:D330" si="120">VALUE(IFERROR(LEFT(U267,FIND(")",U267)-1),0))</f>
        <v>1</v>
      </c>
      <c r="E267" s="31">
        <f t="shared" ref="E267:E330" si="121">VALUE(IFERROR(LEFT(V267,FIND(")",V267)-1),0))</f>
        <v>0</v>
      </c>
      <c r="F267" s="32">
        <f t="shared" ref="F267:F330" si="122">SUM(D267:E267)</f>
        <v>1</v>
      </c>
      <c r="G267" s="31">
        <f t="shared" ref="G267:G330" si="123">VALUE(IFERROR(LEFT(X267,FIND(")",X267)-1),0))</f>
        <v>0</v>
      </c>
      <c r="H267" s="31">
        <f t="shared" ref="H267:H330" si="124">VALUE(IFERROR(LEFT(Y267,FIND(")",Y267)-1),0))</f>
        <v>0</v>
      </c>
      <c r="I267" s="32">
        <f t="shared" ref="I267:I330" si="125">SUM(G267:H267)</f>
        <v>0</v>
      </c>
      <c r="N267" t="s">
        <v>476</v>
      </c>
      <c r="R267" s="32" t="str">
        <f t="shared" si="108"/>
        <v>7)Hex(8)Fuc(1)NeuAc(1)</v>
      </c>
      <c r="S267" s="32" t="str">
        <f t="shared" si="109"/>
        <v>8)Fuc(1)NeuAc(1)</v>
      </c>
      <c r="T267" s="32" t="str">
        <f t="shared" si="110"/>
        <v>1)NeuAc(1)</v>
      </c>
      <c r="U267" s="32" t="str">
        <f t="shared" si="111"/>
        <v>1)</v>
      </c>
      <c r="V267" s="32">
        <f t="shared" si="112"/>
        <v>0</v>
      </c>
      <c r="W267" s="32">
        <f t="shared" si="113"/>
        <v>0</v>
      </c>
      <c r="X267" s="32">
        <f t="shared" si="114"/>
        <v>0</v>
      </c>
      <c r="Y267" s="32">
        <f t="shared" si="115"/>
        <v>0</v>
      </c>
      <c r="Z267" s="32">
        <f t="shared" si="116"/>
        <v>0</v>
      </c>
    </row>
    <row r="268" spans="1:26" x14ac:dyDescent="0.25">
      <c r="A268" s="30" t="str">
        <f t="shared" si="117"/>
        <v>7</v>
      </c>
      <c r="B268" s="30" t="str">
        <f t="shared" si="118"/>
        <v>8</v>
      </c>
      <c r="C268" s="30" t="str">
        <f t="shared" si="119"/>
        <v>1</v>
      </c>
      <c r="D268" s="31">
        <f t="shared" si="120"/>
        <v>2</v>
      </c>
      <c r="E268" s="31">
        <f t="shared" si="121"/>
        <v>0</v>
      </c>
      <c r="F268" s="32">
        <f t="shared" si="122"/>
        <v>2</v>
      </c>
      <c r="G268" s="31">
        <f t="shared" si="123"/>
        <v>0</v>
      </c>
      <c r="H268" s="31">
        <f t="shared" si="124"/>
        <v>0</v>
      </c>
      <c r="I268" s="32">
        <f t="shared" si="125"/>
        <v>0</v>
      </c>
      <c r="N268" t="s">
        <v>477</v>
      </c>
      <c r="R268" s="32" t="str">
        <f t="shared" si="108"/>
        <v>7)Hex(8)Fuc(1)NeuAc(2)</v>
      </c>
      <c r="S268" s="32" t="str">
        <f t="shared" si="109"/>
        <v>8)Fuc(1)NeuAc(2)</v>
      </c>
      <c r="T268" s="32" t="str">
        <f t="shared" si="110"/>
        <v>1)NeuAc(2)</v>
      </c>
      <c r="U268" s="32" t="str">
        <f t="shared" si="111"/>
        <v>2)</v>
      </c>
      <c r="V268" s="32">
        <f t="shared" si="112"/>
        <v>0</v>
      </c>
      <c r="W268" s="32">
        <f t="shared" si="113"/>
        <v>0</v>
      </c>
      <c r="X268" s="32">
        <f t="shared" si="114"/>
        <v>0</v>
      </c>
      <c r="Y268" s="32">
        <f t="shared" si="115"/>
        <v>0</v>
      </c>
      <c r="Z268" s="32">
        <f t="shared" si="116"/>
        <v>0</v>
      </c>
    </row>
    <row r="269" spans="1:26" x14ac:dyDescent="0.25">
      <c r="A269" s="30" t="str">
        <f t="shared" si="117"/>
        <v>9</v>
      </c>
      <c r="B269" s="30" t="str">
        <f t="shared" si="118"/>
        <v>10</v>
      </c>
      <c r="C269" s="30">
        <f t="shared" si="119"/>
        <v>0</v>
      </c>
      <c r="D269" s="31">
        <f t="shared" si="120"/>
        <v>0</v>
      </c>
      <c r="E269" s="31">
        <f t="shared" si="121"/>
        <v>0</v>
      </c>
      <c r="F269" s="32">
        <f t="shared" si="122"/>
        <v>0</v>
      </c>
      <c r="G269" s="31">
        <f t="shared" si="123"/>
        <v>0</v>
      </c>
      <c r="H269" s="31">
        <f t="shared" si="124"/>
        <v>0</v>
      </c>
      <c r="I269" s="32">
        <f t="shared" si="125"/>
        <v>0</v>
      </c>
      <c r="N269" t="s">
        <v>478</v>
      </c>
      <c r="R269" s="32" t="str">
        <f t="shared" si="108"/>
        <v>9)Hex(10)</v>
      </c>
      <c r="S269" s="32" t="str">
        <f t="shared" si="109"/>
        <v>10)</v>
      </c>
      <c r="T269" s="32">
        <f t="shared" si="110"/>
        <v>0</v>
      </c>
      <c r="U269" s="32">
        <f t="shared" si="111"/>
        <v>0</v>
      </c>
      <c r="V269" s="32">
        <f t="shared" si="112"/>
        <v>0</v>
      </c>
      <c r="W269" s="32">
        <f t="shared" si="113"/>
        <v>0</v>
      </c>
      <c r="X269" s="32">
        <f t="shared" si="114"/>
        <v>0</v>
      </c>
      <c r="Y269" s="32">
        <f t="shared" si="115"/>
        <v>0</v>
      </c>
      <c r="Z269" s="32">
        <f t="shared" si="116"/>
        <v>0</v>
      </c>
    </row>
    <row r="270" spans="1:26" x14ac:dyDescent="0.25">
      <c r="A270" s="30" t="str">
        <f t="shared" si="117"/>
        <v>7</v>
      </c>
      <c r="B270" s="30" t="str">
        <f t="shared" si="118"/>
        <v>8</v>
      </c>
      <c r="C270" s="30" t="str">
        <f t="shared" si="119"/>
        <v>1</v>
      </c>
      <c r="D270" s="31">
        <f t="shared" si="120"/>
        <v>1</v>
      </c>
      <c r="E270" s="31">
        <f t="shared" si="121"/>
        <v>1</v>
      </c>
      <c r="F270" s="32">
        <f t="shared" si="122"/>
        <v>2</v>
      </c>
      <c r="G270" s="31">
        <f t="shared" si="123"/>
        <v>0</v>
      </c>
      <c r="H270" s="31">
        <f t="shared" si="124"/>
        <v>0</v>
      </c>
      <c r="I270" s="32">
        <f t="shared" si="125"/>
        <v>0</v>
      </c>
      <c r="N270" t="s">
        <v>479</v>
      </c>
      <c r="R270" s="32" t="str">
        <f t="shared" ref="R270:R333" si="126">IFERROR(MID($N270,SEARCH(A$1&amp;"(",$N270)+LEN(A$1)+1,LEN($N270)),0)</f>
        <v>7)Hex(8)Fuc(1)NeuAc(1)NeuGc(1)</v>
      </c>
      <c r="S270" s="32" t="str">
        <f t="shared" ref="S270:S333" si="127">IFERROR(MID($N270,SEARCH(B$1&amp;"(",$N270)+LEN(B$1)+1,LEN($N270)),0)</f>
        <v>8)Fuc(1)NeuAc(1)NeuGc(1)</v>
      </c>
      <c r="T270" s="32" t="str">
        <f t="shared" ref="T270:T333" si="128">IFERROR(MID($N270,SEARCH(C$1&amp;"(",$N270)+LEN(C$1)+1,LEN($N270)),0)</f>
        <v>1)NeuAc(1)NeuGc(1)</v>
      </c>
      <c r="U270" s="32" t="str">
        <f t="shared" ref="U270:U333" si="129">IFERROR(MID($N270,SEARCH(D$1&amp;"(",$N270)+LEN(D$1)+1,LEN($N270)),0)</f>
        <v>1)NeuGc(1)</v>
      </c>
      <c r="V270" s="32" t="str">
        <f t="shared" ref="V270:V333" si="130">IFERROR(MID($N270,SEARCH(E$1&amp;"(",$N270)+LEN(E$1)+1,LEN($N270)),0)</f>
        <v>1)</v>
      </c>
      <c r="W270" s="32">
        <f t="shared" ref="W270:W333" si="131">IFERROR(MID($N270,SEARCH(F$1&amp;"(",$N270)+LEN(F$1)+1,LEN($N270)),0)</f>
        <v>0</v>
      </c>
      <c r="X270" s="32">
        <f t="shared" ref="X270:X333" si="132">IFERROR(MID($N270,SEARCH(G$1&amp;"(",$N270)+LEN(G$1)+1,LEN($N270)),0)</f>
        <v>0</v>
      </c>
      <c r="Y270" s="32">
        <f t="shared" ref="Y270:Y333" si="133">IFERROR(MID($N270,SEARCH(H$1&amp;"(",$N270)+LEN(H$1)+1,LEN($N270)),0)</f>
        <v>0</v>
      </c>
      <c r="Z270" s="32">
        <f t="shared" ref="Z270:Z333" si="134">IFERROR(MID($N270,SEARCH(I$1&amp;"(",$N270)+LEN(I$1)+1,LEN($N270)),0)</f>
        <v>0</v>
      </c>
    </row>
    <row r="271" spans="1:26" x14ac:dyDescent="0.25">
      <c r="A271" s="30" t="str">
        <f t="shared" si="117"/>
        <v>7</v>
      </c>
      <c r="B271" s="30" t="str">
        <f t="shared" si="118"/>
        <v>8</v>
      </c>
      <c r="C271" s="30" t="str">
        <f t="shared" si="119"/>
        <v>1</v>
      </c>
      <c r="D271" s="31">
        <f t="shared" si="120"/>
        <v>0</v>
      </c>
      <c r="E271" s="31">
        <f t="shared" si="121"/>
        <v>2</v>
      </c>
      <c r="F271" s="32">
        <f t="shared" si="122"/>
        <v>2</v>
      </c>
      <c r="G271" s="31">
        <f t="shared" si="123"/>
        <v>0</v>
      </c>
      <c r="H271" s="31">
        <f t="shared" si="124"/>
        <v>0</v>
      </c>
      <c r="I271" s="32">
        <f t="shared" si="125"/>
        <v>0</v>
      </c>
      <c r="N271" t="s">
        <v>480</v>
      </c>
      <c r="R271" s="32" t="str">
        <f t="shared" si="126"/>
        <v>7)Hex(8)Fuc(1)NeuGc(2)</v>
      </c>
      <c r="S271" s="32" t="str">
        <f t="shared" si="127"/>
        <v>8)Fuc(1)NeuGc(2)</v>
      </c>
      <c r="T271" s="32" t="str">
        <f t="shared" si="128"/>
        <v>1)NeuGc(2)</v>
      </c>
      <c r="U271" s="32">
        <f t="shared" si="129"/>
        <v>0</v>
      </c>
      <c r="V271" s="32" t="str">
        <f t="shared" si="130"/>
        <v>2)</v>
      </c>
      <c r="W271" s="32">
        <f t="shared" si="131"/>
        <v>0</v>
      </c>
      <c r="X271" s="32">
        <f t="shared" si="132"/>
        <v>0</v>
      </c>
      <c r="Y271" s="32">
        <f t="shared" si="133"/>
        <v>0</v>
      </c>
      <c r="Z271" s="32">
        <f t="shared" si="134"/>
        <v>0</v>
      </c>
    </row>
    <row r="272" spans="1:26" x14ac:dyDescent="0.25">
      <c r="A272" s="30" t="str">
        <f t="shared" si="117"/>
        <v>6</v>
      </c>
      <c r="B272" s="30" t="str">
        <f t="shared" si="118"/>
        <v>7</v>
      </c>
      <c r="C272" s="30">
        <f t="shared" si="119"/>
        <v>0</v>
      </c>
      <c r="D272" s="31">
        <f t="shared" si="120"/>
        <v>4</v>
      </c>
      <c r="E272" s="31">
        <f t="shared" si="121"/>
        <v>0</v>
      </c>
      <c r="F272" s="32">
        <f t="shared" si="122"/>
        <v>4</v>
      </c>
      <c r="G272" s="31">
        <f t="shared" si="123"/>
        <v>0</v>
      </c>
      <c r="H272" s="31">
        <f t="shared" si="124"/>
        <v>0</v>
      </c>
      <c r="I272" s="32">
        <f t="shared" si="125"/>
        <v>0</v>
      </c>
      <c r="N272" t="s">
        <v>481</v>
      </c>
      <c r="R272" s="32" t="str">
        <f t="shared" si="126"/>
        <v>6)Hex(7)NeuAc(4)</v>
      </c>
      <c r="S272" s="32" t="str">
        <f t="shared" si="127"/>
        <v>7)NeuAc(4)</v>
      </c>
      <c r="T272" s="32">
        <f t="shared" si="128"/>
        <v>0</v>
      </c>
      <c r="U272" s="32" t="str">
        <f t="shared" si="129"/>
        <v>4)</v>
      </c>
      <c r="V272" s="32">
        <f t="shared" si="130"/>
        <v>0</v>
      </c>
      <c r="W272" s="32">
        <f t="shared" si="131"/>
        <v>0</v>
      </c>
      <c r="X272" s="32">
        <f t="shared" si="132"/>
        <v>0</v>
      </c>
      <c r="Y272" s="32">
        <f t="shared" si="133"/>
        <v>0</v>
      </c>
      <c r="Z272" s="32">
        <f t="shared" si="134"/>
        <v>0</v>
      </c>
    </row>
    <row r="273" spans="1:26" x14ac:dyDescent="0.25">
      <c r="A273" s="30" t="str">
        <f t="shared" si="117"/>
        <v>6</v>
      </c>
      <c r="B273" s="30" t="str">
        <f t="shared" si="118"/>
        <v>7</v>
      </c>
      <c r="C273" s="30">
        <f t="shared" si="119"/>
        <v>0</v>
      </c>
      <c r="D273" s="31">
        <f t="shared" si="120"/>
        <v>3</v>
      </c>
      <c r="E273" s="31">
        <f t="shared" si="121"/>
        <v>1</v>
      </c>
      <c r="F273" s="32">
        <f t="shared" si="122"/>
        <v>4</v>
      </c>
      <c r="G273" s="31">
        <f t="shared" si="123"/>
        <v>0</v>
      </c>
      <c r="H273" s="31">
        <f t="shared" si="124"/>
        <v>0</v>
      </c>
      <c r="I273" s="32">
        <f t="shared" si="125"/>
        <v>0</v>
      </c>
      <c r="N273" t="s">
        <v>482</v>
      </c>
      <c r="R273" s="32" t="str">
        <f t="shared" si="126"/>
        <v>6)Hex(7)NeuAc(3)NeuGc(1)</v>
      </c>
      <c r="S273" s="32" t="str">
        <f t="shared" si="127"/>
        <v>7)NeuAc(3)NeuGc(1)</v>
      </c>
      <c r="T273" s="32">
        <f t="shared" si="128"/>
        <v>0</v>
      </c>
      <c r="U273" s="32" t="str">
        <f t="shared" si="129"/>
        <v>3)NeuGc(1)</v>
      </c>
      <c r="V273" s="32" t="str">
        <f t="shared" si="130"/>
        <v>1)</v>
      </c>
      <c r="W273" s="32">
        <f t="shared" si="131"/>
        <v>0</v>
      </c>
      <c r="X273" s="32">
        <f t="shared" si="132"/>
        <v>0</v>
      </c>
      <c r="Y273" s="32">
        <f t="shared" si="133"/>
        <v>0</v>
      </c>
      <c r="Z273" s="32">
        <f t="shared" si="134"/>
        <v>0</v>
      </c>
    </row>
    <row r="274" spans="1:26" x14ac:dyDescent="0.25">
      <c r="A274" s="30" t="str">
        <f t="shared" si="117"/>
        <v>6</v>
      </c>
      <c r="B274" s="30" t="str">
        <f t="shared" si="118"/>
        <v>7</v>
      </c>
      <c r="C274" s="30">
        <f t="shared" si="119"/>
        <v>0</v>
      </c>
      <c r="D274" s="31">
        <f t="shared" si="120"/>
        <v>2</v>
      </c>
      <c r="E274" s="31">
        <f t="shared" si="121"/>
        <v>2</v>
      </c>
      <c r="F274" s="32">
        <f t="shared" si="122"/>
        <v>4</v>
      </c>
      <c r="G274" s="31">
        <f t="shared" si="123"/>
        <v>0</v>
      </c>
      <c r="H274" s="31">
        <f t="shared" si="124"/>
        <v>0</v>
      </c>
      <c r="I274" s="32">
        <f t="shared" si="125"/>
        <v>0</v>
      </c>
      <c r="N274" t="s">
        <v>483</v>
      </c>
      <c r="R274" s="32" t="str">
        <f t="shared" si="126"/>
        <v>6)Hex(7)NeuAc(2)NeuGc(2)</v>
      </c>
      <c r="S274" s="32" t="str">
        <f t="shared" si="127"/>
        <v>7)NeuAc(2)NeuGc(2)</v>
      </c>
      <c r="T274" s="32">
        <f t="shared" si="128"/>
        <v>0</v>
      </c>
      <c r="U274" s="32" t="str">
        <f t="shared" si="129"/>
        <v>2)NeuGc(2)</v>
      </c>
      <c r="V274" s="32" t="str">
        <f t="shared" si="130"/>
        <v>2)</v>
      </c>
      <c r="W274" s="32">
        <f t="shared" si="131"/>
        <v>0</v>
      </c>
      <c r="X274" s="32">
        <f t="shared" si="132"/>
        <v>0</v>
      </c>
      <c r="Y274" s="32">
        <f t="shared" si="133"/>
        <v>0</v>
      </c>
      <c r="Z274" s="32">
        <f t="shared" si="134"/>
        <v>0</v>
      </c>
    </row>
    <row r="275" spans="1:26" x14ac:dyDescent="0.25">
      <c r="A275" s="30" t="str">
        <f t="shared" si="117"/>
        <v>7</v>
      </c>
      <c r="B275" s="30" t="str">
        <f t="shared" si="118"/>
        <v>7</v>
      </c>
      <c r="C275" s="30" t="str">
        <f t="shared" si="119"/>
        <v>1</v>
      </c>
      <c r="D275" s="31">
        <f t="shared" si="120"/>
        <v>3</v>
      </c>
      <c r="E275" s="31">
        <f t="shared" si="121"/>
        <v>0</v>
      </c>
      <c r="F275" s="32">
        <f t="shared" si="122"/>
        <v>3</v>
      </c>
      <c r="G275" s="31">
        <f t="shared" si="123"/>
        <v>0</v>
      </c>
      <c r="H275" s="31">
        <f t="shared" si="124"/>
        <v>0</v>
      </c>
      <c r="I275" s="32">
        <f t="shared" si="125"/>
        <v>0</v>
      </c>
      <c r="N275" t="s">
        <v>484</v>
      </c>
      <c r="R275" s="32" t="str">
        <f t="shared" si="126"/>
        <v>7)Hex(7)Fuc(1)NeuAc(3)</v>
      </c>
      <c r="S275" s="32" t="str">
        <f t="shared" si="127"/>
        <v>7)Fuc(1)NeuAc(3)</v>
      </c>
      <c r="T275" s="32" t="str">
        <f t="shared" si="128"/>
        <v>1)NeuAc(3)</v>
      </c>
      <c r="U275" s="32" t="str">
        <f t="shared" si="129"/>
        <v>3)</v>
      </c>
      <c r="V275" s="32">
        <f t="shared" si="130"/>
        <v>0</v>
      </c>
      <c r="W275" s="32">
        <f t="shared" si="131"/>
        <v>0</v>
      </c>
      <c r="X275" s="32">
        <f t="shared" si="132"/>
        <v>0</v>
      </c>
      <c r="Y275" s="32">
        <f t="shared" si="133"/>
        <v>0</v>
      </c>
      <c r="Z275" s="32">
        <f t="shared" si="134"/>
        <v>0</v>
      </c>
    </row>
    <row r="276" spans="1:26" x14ac:dyDescent="0.25">
      <c r="A276" s="30" t="str">
        <f t="shared" si="117"/>
        <v>7</v>
      </c>
      <c r="B276" s="30" t="str">
        <f t="shared" si="118"/>
        <v>7</v>
      </c>
      <c r="C276" s="30" t="str">
        <f t="shared" si="119"/>
        <v>1</v>
      </c>
      <c r="D276" s="31">
        <f t="shared" si="120"/>
        <v>2</v>
      </c>
      <c r="E276" s="31">
        <f t="shared" si="121"/>
        <v>1</v>
      </c>
      <c r="F276" s="32">
        <f t="shared" si="122"/>
        <v>3</v>
      </c>
      <c r="G276" s="31">
        <f t="shared" si="123"/>
        <v>0</v>
      </c>
      <c r="H276" s="31">
        <f t="shared" si="124"/>
        <v>0</v>
      </c>
      <c r="I276" s="32">
        <f t="shared" si="125"/>
        <v>0</v>
      </c>
      <c r="N276" t="s">
        <v>485</v>
      </c>
      <c r="R276" s="32" t="str">
        <f t="shared" si="126"/>
        <v>7)Hex(7)Fuc(1)NeuAc(2)NeuGc(1)</v>
      </c>
      <c r="S276" s="32" t="str">
        <f t="shared" si="127"/>
        <v>7)Fuc(1)NeuAc(2)NeuGc(1)</v>
      </c>
      <c r="T276" s="32" t="str">
        <f t="shared" si="128"/>
        <v>1)NeuAc(2)NeuGc(1)</v>
      </c>
      <c r="U276" s="32" t="str">
        <f t="shared" si="129"/>
        <v>2)NeuGc(1)</v>
      </c>
      <c r="V276" s="32" t="str">
        <f t="shared" si="130"/>
        <v>1)</v>
      </c>
      <c r="W276" s="32">
        <f t="shared" si="131"/>
        <v>0</v>
      </c>
      <c r="X276" s="32">
        <f t="shared" si="132"/>
        <v>0</v>
      </c>
      <c r="Y276" s="32">
        <f t="shared" si="133"/>
        <v>0</v>
      </c>
      <c r="Z276" s="32">
        <f t="shared" si="134"/>
        <v>0</v>
      </c>
    </row>
    <row r="277" spans="1:26" x14ac:dyDescent="0.25">
      <c r="A277" s="30" t="str">
        <f t="shared" si="117"/>
        <v>9</v>
      </c>
      <c r="B277" s="30" t="str">
        <f t="shared" si="118"/>
        <v>10</v>
      </c>
      <c r="C277" s="30" t="str">
        <f t="shared" si="119"/>
        <v>1</v>
      </c>
      <c r="D277" s="31">
        <f t="shared" si="120"/>
        <v>0</v>
      </c>
      <c r="E277" s="31">
        <f t="shared" si="121"/>
        <v>0</v>
      </c>
      <c r="F277" s="32">
        <f t="shared" si="122"/>
        <v>0</v>
      </c>
      <c r="G277" s="31">
        <f t="shared" si="123"/>
        <v>0</v>
      </c>
      <c r="H277" s="31">
        <f t="shared" si="124"/>
        <v>0</v>
      </c>
      <c r="I277" s="32">
        <f t="shared" si="125"/>
        <v>0</v>
      </c>
      <c r="N277" t="s">
        <v>486</v>
      </c>
      <c r="R277" s="32" t="str">
        <f t="shared" si="126"/>
        <v>9)Hex(10)Fuc(1)</v>
      </c>
      <c r="S277" s="32" t="str">
        <f t="shared" si="127"/>
        <v>10)Fuc(1)</v>
      </c>
      <c r="T277" s="32" t="str">
        <f t="shared" si="128"/>
        <v>1)</v>
      </c>
      <c r="U277" s="32">
        <f t="shared" si="129"/>
        <v>0</v>
      </c>
      <c r="V277" s="32">
        <f t="shared" si="130"/>
        <v>0</v>
      </c>
      <c r="W277" s="32">
        <f t="shared" si="131"/>
        <v>0</v>
      </c>
      <c r="X277" s="32">
        <f t="shared" si="132"/>
        <v>0</v>
      </c>
      <c r="Y277" s="32">
        <f t="shared" si="133"/>
        <v>0</v>
      </c>
      <c r="Z277" s="32">
        <f t="shared" si="134"/>
        <v>0</v>
      </c>
    </row>
    <row r="278" spans="1:26" x14ac:dyDescent="0.25">
      <c r="A278" s="30" t="str">
        <f t="shared" si="117"/>
        <v>7</v>
      </c>
      <c r="B278" s="30" t="str">
        <f t="shared" si="118"/>
        <v>7</v>
      </c>
      <c r="C278" s="30" t="str">
        <f t="shared" si="119"/>
        <v>1</v>
      </c>
      <c r="D278" s="31">
        <f t="shared" si="120"/>
        <v>1</v>
      </c>
      <c r="E278" s="31">
        <f t="shared" si="121"/>
        <v>2</v>
      </c>
      <c r="F278" s="32">
        <f t="shared" si="122"/>
        <v>3</v>
      </c>
      <c r="G278" s="31">
        <f t="shared" si="123"/>
        <v>0</v>
      </c>
      <c r="H278" s="31">
        <f t="shared" si="124"/>
        <v>0</v>
      </c>
      <c r="I278" s="32">
        <f t="shared" si="125"/>
        <v>0</v>
      </c>
      <c r="N278" t="s">
        <v>487</v>
      </c>
      <c r="R278" s="32" t="str">
        <f t="shared" si="126"/>
        <v>7)Hex(7)Fuc(1)NeuAc(1)NeuGc(2)</v>
      </c>
      <c r="S278" s="32" t="str">
        <f t="shared" si="127"/>
        <v>7)Fuc(1)NeuAc(1)NeuGc(2)</v>
      </c>
      <c r="T278" s="32" t="str">
        <f t="shared" si="128"/>
        <v>1)NeuAc(1)NeuGc(2)</v>
      </c>
      <c r="U278" s="32" t="str">
        <f t="shared" si="129"/>
        <v>1)NeuGc(2)</v>
      </c>
      <c r="V278" s="32" t="str">
        <f t="shared" si="130"/>
        <v>2)</v>
      </c>
      <c r="W278" s="32">
        <f t="shared" si="131"/>
        <v>0</v>
      </c>
      <c r="X278" s="32">
        <f t="shared" si="132"/>
        <v>0</v>
      </c>
      <c r="Y278" s="32">
        <f t="shared" si="133"/>
        <v>0</v>
      </c>
      <c r="Z278" s="32">
        <f t="shared" si="134"/>
        <v>0</v>
      </c>
    </row>
    <row r="279" spans="1:26" x14ac:dyDescent="0.25">
      <c r="A279" s="30" t="str">
        <f t="shared" si="117"/>
        <v>6</v>
      </c>
      <c r="B279" s="30" t="str">
        <f t="shared" si="118"/>
        <v>7</v>
      </c>
      <c r="C279" s="30" t="str">
        <f t="shared" si="119"/>
        <v>1</v>
      </c>
      <c r="D279" s="31">
        <f t="shared" si="120"/>
        <v>4</v>
      </c>
      <c r="E279" s="31">
        <f t="shared" si="121"/>
        <v>0</v>
      </c>
      <c r="F279" s="32">
        <f t="shared" si="122"/>
        <v>4</v>
      </c>
      <c r="G279" s="31">
        <f t="shared" si="123"/>
        <v>0</v>
      </c>
      <c r="H279" s="31">
        <f t="shared" si="124"/>
        <v>0</v>
      </c>
      <c r="I279" s="32">
        <f t="shared" si="125"/>
        <v>0</v>
      </c>
      <c r="N279" t="s">
        <v>488</v>
      </c>
      <c r="R279" s="32" t="str">
        <f t="shared" si="126"/>
        <v>6)Hex(7)Fuc(1)NeuAc(4)</v>
      </c>
      <c r="S279" s="32" t="str">
        <f t="shared" si="127"/>
        <v>7)Fuc(1)NeuAc(4)</v>
      </c>
      <c r="T279" s="32" t="str">
        <f t="shared" si="128"/>
        <v>1)NeuAc(4)</v>
      </c>
      <c r="U279" s="32" t="str">
        <f t="shared" si="129"/>
        <v>4)</v>
      </c>
      <c r="V279" s="32">
        <f t="shared" si="130"/>
        <v>0</v>
      </c>
      <c r="W279" s="32">
        <f t="shared" si="131"/>
        <v>0</v>
      </c>
      <c r="X279" s="32">
        <f t="shared" si="132"/>
        <v>0</v>
      </c>
      <c r="Y279" s="32">
        <f t="shared" si="133"/>
        <v>0</v>
      </c>
      <c r="Z279" s="32">
        <f t="shared" si="134"/>
        <v>0</v>
      </c>
    </row>
    <row r="280" spans="1:26" x14ac:dyDescent="0.25">
      <c r="A280" s="30" t="str">
        <f t="shared" si="117"/>
        <v>6</v>
      </c>
      <c r="B280" s="30" t="str">
        <f t="shared" si="118"/>
        <v>7</v>
      </c>
      <c r="C280" s="30" t="str">
        <f t="shared" si="119"/>
        <v>1</v>
      </c>
      <c r="D280" s="31">
        <f t="shared" si="120"/>
        <v>3</v>
      </c>
      <c r="E280" s="31">
        <f t="shared" si="121"/>
        <v>1</v>
      </c>
      <c r="F280" s="32">
        <f t="shared" si="122"/>
        <v>4</v>
      </c>
      <c r="G280" s="31">
        <f t="shared" si="123"/>
        <v>0</v>
      </c>
      <c r="H280" s="31">
        <f t="shared" si="124"/>
        <v>0</v>
      </c>
      <c r="I280" s="32">
        <f t="shared" si="125"/>
        <v>0</v>
      </c>
      <c r="N280" t="s">
        <v>489</v>
      </c>
      <c r="R280" s="32" t="str">
        <f t="shared" si="126"/>
        <v>6)Hex(7)Fuc(1)NeuAc(3)NeuGc(1)</v>
      </c>
      <c r="S280" s="32" t="str">
        <f t="shared" si="127"/>
        <v>7)Fuc(1)NeuAc(3)NeuGc(1)</v>
      </c>
      <c r="T280" s="32" t="str">
        <f t="shared" si="128"/>
        <v>1)NeuAc(3)NeuGc(1)</v>
      </c>
      <c r="U280" s="32" t="str">
        <f t="shared" si="129"/>
        <v>3)NeuGc(1)</v>
      </c>
      <c r="V280" s="32" t="str">
        <f t="shared" si="130"/>
        <v>1)</v>
      </c>
      <c r="W280" s="32">
        <f t="shared" si="131"/>
        <v>0</v>
      </c>
      <c r="X280" s="32">
        <f t="shared" si="132"/>
        <v>0</v>
      </c>
      <c r="Y280" s="32">
        <f t="shared" si="133"/>
        <v>0</v>
      </c>
      <c r="Z280" s="32">
        <f t="shared" si="134"/>
        <v>0</v>
      </c>
    </row>
    <row r="281" spans="1:26" x14ac:dyDescent="0.25">
      <c r="A281" s="30" t="str">
        <f t="shared" si="117"/>
        <v>7</v>
      </c>
      <c r="B281" s="30" t="str">
        <f t="shared" si="118"/>
        <v>6</v>
      </c>
      <c r="C281" s="30" t="str">
        <f t="shared" si="119"/>
        <v>1</v>
      </c>
      <c r="D281" s="31">
        <f t="shared" si="120"/>
        <v>4</v>
      </c>
      <c r="E281" s="31">
        <f t="shared" si="121"/>
        <v>0</v>
      </c>
      <c r="F281" s="32">
        <f t="shared" si="122"/>
        <v>4</v>
      </c>
      <c r="G281" s="31">
        <f t="shared" si="123"/>
        <v>0</v>
      </c>
      <c r="H281" s="31">
        <f t="shared" si="124"/>
        <v>0</v>
      </c>
      <c r="I281" s="32">
        <f t="shared" si="125"/>
        <v>0</v>
      </c>
      <c r="N281" t="s">
        <v>490</v>
      </c>
      <c r="R281" s="32" t="str">
        <f t="shared" si="126"/>
        <v>7)Hex(6)Fuc(1)NeuAc(4)</v>
      </c>
      <c r="S281" s="32" t="str">
        <f t="shared" si="127"/>
        <v>6)Fuc(1)NeuAc(4)</v>
      </c>
      <c r="T281" s="32" t="str">
        <f t="shared" si="128"/>
        <v>1)NeuAc(4)</v>
      </c>
      <c r="U281" s="32" t="str">
        <f t="shared" si="129"/>
        <v>4)</v>
      </c>
      <c r="V281" s="32">
        <f t="shared" si="130"/>
        <v>0</v>
      </c>
      <c r="W281" s="32">
        <f t="shared" si="131"/>
        <v>0</v>
      </c>
      <c r="X281" s="32">
        <f t="shared" si="132"/>
        <v>0</v>
      </c>
      <c r="Y281" s="32">
        <f t="shared" si="133"/>
        <v>0</v>
      </c>
      <c r="Z281" s="32">
        <f t="shared" si="134"/>
        <v>0</v>
      </c>
    </row>
    <row r="282" spans="1:26" x14ac:dyDescent="0.25">
      <c r="A282" s="30" t="str">
        <f t="shared" si="117"/>
        <v>7</v>
      </c>
      <c r="B282" s="30" t="str">
        <f t="shared" si="118"/>
        <v>6</v>
      </c>
      <c r="C282" s="30" t="str">
        <f t="shared" si="119"/>
        <v>1</v>
      </c>
      <c r="D282" s="31">
        <f t="shared" si="120"/>
        <v>3</v>
      </c>
      <c r="E282" s="31">
        <f t="shared" si="121"/>
        <v>1</v>
      </c>
      <c r="F282" s="32">
        <f t="shared" si="122"/>
        <v>4</v>
      </c>
      <c r="G282" s="31">
        <f t="shared" si="123"/>
        <v>0</v>
      </c>
      <c r="H282" s="31">
        <f t="shared" si="124"/>
        <v>0</v>
      </c>
      <c r="I282" s="32">
        <f t="shared" si="125"/>
        <v>0</v>
      </c>
      <c r="N282" t="s">
        <v>491</v>
      </c>
      <c r="R282" s="32" t="str">
        <f t="shared" si="126"/>
        <v>7)Hex(6)Fuc(1)NeuAc(3)NeuGc(1)</v>
      </c>
      <c r="S282" s="32" t="str">
        <f t="shared" si="127"/>
        <v>6)Fuc(1)NeuAc(3)NeuGc(1)</v>
      </c>
      <c r="T282" s="32" t="str">
        <f t="shared" si="128"/>
        <v>1)NeuAc(3)NeuGc(1)</v>
      </c>
      <c r="U282" s="32" t="str">
        <f t="shared" si="129"/>
        <v>3)NeuGc(1)</v>
      </c>
      <c r="V282" s="32" t="str">
        <f t="shared" si="130"/>
        <v>1)</v>
      </c>
      <c r="W282" s="32">
        <f t="shared" si="131"/>
        <v>0</v>
      </c>
      <c r="X282" s="32">
        <f t="shared" si="132"/>
        <v>0</v>
      </c>
      <c r="Y282" s="32">
        <f t="shared" si="133"/>
        <v>0</v>
      </c>
      <c r="Z282" s="32">
        <f t="shared" si="134"/>
        <v>0</v>
      </c>
    </row>
    <row r="283" spans="1:26" x14ac:dyDescent="0.25">
      <c r="A283" s="30" t="str">
        <f t="shared" si="117"/>
        <v>7</v>
      </c>
      <c r="B283" s="30" t="str">
        <f t="shared" si="118"/>
        <v>8</v>
      </c>
      <c r="C283" s="30" t="str">
        <f t="shared" si="119"/>
        <v>1</v>
      </c>
      <c r="D283" s="31">
        <f t="shared" si="120"/>
        <v>3</v>
      </c>
      <c r="E283" s="31">
        <f t="shared" si="121"/>
        <v>0</v>
      </c>
      <c r="F283" s="32">
        <f t="shared" si="122"/>
        <v>3</v>
      </c>
      <c r="G283" s="31">
        <f t="shared" si="123"/>
        <v>0</v>
      </c>
      <c r="H283" s="31">
        <f t="shared" si="124"/>
        <v>0</v>
      </c>
      <c r="I283" s="32">
        <f t="shared" si="125"/>
        <v>0</v>
      </c>
      <c r="N283" t="s">
        <v>492</v>
      </c>
      <c r="R283" s="32" t="str">
        <f t="shared" si="126"/>
        <v>7)Hex(8)Fuc(1)NeuAc(3)</v>
      </c>
      <c r="S283" s="32" t="str">
        <f t="shared" si="127"/>
        <v>8)Fuc(1)NeuAc(3)</v>
      </c>
      <c r="T283" s="32" t="str">
        <f t="shared" si="128"/>
        <v>1)NeuAc(3)</v>
      </c>
      <c r="U283" s="32" t="str">
        <f t="shared" si="129"/>
        <v>3)</v>
      </c>
      <c r="V283" s="32">
        <f t="shared" si="130"/>
        <v>0</v>
      </c>
      <c r="W283" s="32">
        <f t="shared" si="131"/>
        <v>0</v>
      </c>
      <c r="X283" s="32">
        <f t="shared" si="132"/>
        <v>0</v>
      </c>
      <c r="Y283" s="32">
        <f t="shared" si="133"/>
        <v>0</v>
      </c>
      <c r="Z283" s="32">
        <f t="shared" si="134"/>
        <v>0</v>
      </c>
    </row>
    <row r="284" spans="1:26" x14ac:dyDescent="0.25">
      <c r="A284" s="30" t="str">
        <f t="shared" si="117"/>
        <v>7</v>
      </c>
      <c r="B284" s="30" t="str">
        <f t="shared" si="118"/>
        <v>8</v>
      </c>
      <c r="C284" s="30" t="str">
        <f t="shared" si="119"/>
        <v>1</v>
      </c>
      <c r="D284" s="31">
        <f t="shared" si="120"/>
        <v>2</v>
      </c>
      <c r="E284" s="31">
        <f t="shared" si="121"/>
        <v>1</v>
      </c>
      <c r="F284" s="32">
        <f t="shared" si="122"/>
        <v>3</v>
      </c>
      <c r="G284" s="31">
        <f t="shared" si="123"/>
        <v>0</v>
      </c>
      <c r="H284" s="31">
        <f t="shared" si="124"/>
        <v>0</v>
      </c>
      <c r="I284" s="32">
        <f t="shared" si="125"/>
        <v>0</v>
      </c>
      <c r="N284" t="s">
        <v>493</v>
      </c>
      <c r="R284" s="32" t="str">
        <f t="shared" si="126"/>
        <v>7)Hex(8)Fuc(1)NeuAc(2)NeuGc(1)</v>
      </c>
      <c r="S284" s="32" t="str">
        <f t="shared" si="127"/>
        <v>8)Fuc(1)NeuAc(2)NeuGc(1)</v>
      </c>
      <c r="T284" s="32" t="str">
        <f t="shared" si="128"/>
        <v>1)NeuAc(2)NeuGc(1)</v>
      </c>
      <c r="U284" s="32" t="str">
        <f t="shared" si="129"/>
        <v>2)NeuGc(1)</v>
      </c>
      <c r="V284" s="32" t="str">
        <f t="shared" si="130"/>
        <v>1)</v>
      </c>
      <c r="W284" s="32">
        <f t="shared" si="131"/>
        <v>0</v>
      </c>
      <c r="X284" s="32">
        <f t="shared" si="132"/>
        <v>0</v>
      </c>
      <c r="Y284" s="32">
        <f t="shared" si="133"/>
        <v>0</v>
      </c>
      <c r="Z284" s="32">
        <f t="shared" si="134"/>
        <v>0</v>
      </c>
    </row>
    <row r="285" spans="1:26" x14ac:dyDescent="0.25">
      <c r="A285" s="30" t="str">
        <f t="shared" si="117"/>
        <v>7</v>
      </c>
      <c r="B285" s="30" t="str">
        <f t="shared" si="118"/>
        <v>8</v>
      </c>
      <c r="C285" s="30" t="str">
        <f t="shared" si="119"/>
        <v>1</v>
      </c>
      <c r="D285" s="31">
        <f t="shared" si="120"/>
        <v>1</v>
      </c>
      <c r="E285" s="31">
        <f t="shared" si="121"/>
        <v>2</v>
      </c>
      <c r="F285" s="32">
        <f t="shared" si="122"/>
        <v>3</v>
      </c>
      <c r="G285" s="31">
        <f t="shared" si="123"/>
        <v>0</v>
      </c>
      <c r="H285" s="31">
        <f t="shared" si="124"/>
        <v>0</v>
      </c>
      <c r="I285" s="32">
        <f t="shared" si="125"/>
        <v>0</v>
      </c>
      <c r="N285" t="s">
        <v>494</v>
      </c>
      <c r="R285" s="32" t="str">
        <f t="shared" si="126"/>
        <v>7)Hex(8)Fuc(1)NeuAc(1)NeuGc(2)</v>
      </c>
      <c r="S285" s="32" t="str">
        <f t="shared" si="127"/>
        <v>8)Fuc(1)NeuAc(1)NeuGc(2)</v>
      </c>
      <c r="T285" s="32" t="str">
        <f t="shared" si="128"/>
        <v>1)NeuAc(1)NeuGc(2)</v>
      </c>
      <c r="U285" s="32" t="str">
        <f t="shared" si="129"/>
        <v>1)NeuGc(2)</v>
      </c>
      <c r="V285" s="32" t="str">
        <f t="shared" si="130"/>
        <v>2)</v>
      </c>
      <c r="W285" s="32">
        <f t="shared" si="131"/>
        <v>0</v>
      </c>
      <c r="X285" s="32">
        <f t="shared" si="132"/>
        <v>0</v>
      </c>
      <c r="Y285" s="32">
        <f t="shared" si="133"/>
        <v>0</v>
      </c>
      <c r="Z285" s="32">
        <f t="shared" si="134"/>
        <v>0</v>
      </c>
    </row>
    <row r="286" spans="1:26" x14ac:dyDescent="0.25">
      <c r="A286" s="30" t="str">
        <f t="shared" si="117"/>
        <v>7</v>
      </c>
      <c r="B286" s="30" t="str">
        <f t="shared" si="118"/>
        <v>8</v>
      </c>
      <c r="C286" s="30" t="str">
        <f t="shared" si="119"/>
        <v>1</v>
      </c>
      <c r="D286" s="31">
        <f t="shared" si="120"/>
        <v>0</v>
      </c>
      <c r="E286" s="31">
        <f t="shared" si="121"/>
        <v>3</v>
      </c>
      <c r="F286" s="32">
        <f t="shared" si="122"/>
        <v>3</v>
      </c>
      <c r="G286" s="31">
        <f t="shared" si="123"/>
        <v>0</v>
      </c>
      <c r="H286" s="31">
        <f t="shared" si="124"/>
        <v>0</v>
      </c>
      <c r="I286" s="32">
        <f t="shared" si="125"/>
        <v>0</v>
      </c>
      <c r="N286" t="s">
        <v>495</v>
      </c>
      <c r="R286" s="32" t="str">
        <f t="shared" si="126"/>
        <v>7)Hex(8)Fuc(1)NeuGc(3)</v>
      </c>
      <c r="S286" s="32" t="str">
        <f t="shared" si="127"/>
        <v>8)Fuc(1)NeuGc(3)</v>
      </c>
      <c r="T286" s="32" t="str">
        <f t="shared" si="128"/>
        <v>1)NeuGc(3)</v>
      </c>
      <c r="U286" s="32">
        <f t="shared" si="129"/>
        <v>0</v>
      </c>
      <c r="V286" s="32" t="str">
        <f t="shared" si="130"/>
        <v>3)</v>
      </c>
      <c r="W286" s="32">
        <f t="shared" si="131"/>
        <v>0</v>
      </c>
      <c r="X286" s="32">
        <f t="shared" si="132"/>
        <v>0</v>
      </c>
      <c r="Y286" s="32">
        <f t="shared" si="133"/>
        <v>0</v>
      </c>
      <c r="Z286" s="32">
        <f t="shared" si="134"/>
        <v>0</v>
      </c>
    </row>
    <row r="287" spans="1:26" x14ac:dyDescent="0.25">
      <c r="A287" s="30" t="str">
        <f t="shared" si="117"/>
        <v>10</v>
      </c>
      <c r="B287" s="30" t="str">
        <f t="shared" si="118"/>
        <v>10</v>
      </c>
      <c r="C287" s="30" t="str">
        <f t="shared" si="119"/>
        <v>1</v>
      </c>
      <c r="D287" s="31">
        <f t="shared" si="120"/>
        <v>0</v>
      </c>
      <c r="E287" s="31">
        <f t="shared" si="121"/>
        <v>0</v>
      </c>
      <c r="F287" s="32">
        <f t="shared" si="122"/>
        <v>0</v>
      </c>
      <c r="G287" s="31">
        <f t="shared" si="123"/>
        <v>0</v>
      </c>
      <c r="H287" s="31">
        <f t="shared" si="124"/>
        <v>0</v>
      </c>
      <c r="I287" s="32">
        <f t="shared" si="125"/>
        <v>0</v>
      </c>
      <c r="N287" t="s">
        <v>496</v>
      </c>
      <c r="R287" s="32" t="str">
        <f t="shared" si="126"/>
        <v>10)Hex(10)Fuc(1)</v>
      </c>
      <c r="S287" s="32" t="str">
        <f t="shared" si="127"/>
        <v>10)Fuc(1)</v>
      </c>
      <c r="T287" s="32" t="str">
        <f t="shared" si="128"/>
        <v>1)</v>
      </c>
      <c r="U287" s="32">
        <f t="shared" si="129"/>
        <v>0</v>
      </c>
      <c r="V287" s="32">
        <f t="shared" si="130"/>
        <v>0</v>
      </c>
      <c r="W287" s="32">
        <f t="shared" si="131"/>
        <v>0</v>
      </c>
      <c r="X287" s="32">
        <f t="shared" si="132"/>
        <v>0</v>
      </c>
      <c r="Y287" s="32">
        <f t="shared" si="133"/>
        <v>0</v>
      </c>
      <c r="Z287" s="32">
        <f t="shared" si="134"/>
        <v>0</v>
      </c>
    </row>
    <row r="288" spans="1:26" x14ac:dyDescent="0.25">
      <c r="A288" s="30" t="str">
        <f t="shared" si="117"/>
        <v>7</v>
      </c>
      <c r="B288" s="30" t="str">
        <f t="shared" si="118"/>
        <v>7</v>
      </c>
      <c r="C288" s="30" t="str">
        <f t="shared" si="119"/>
        <v>1</v>
      </c>
      <c r="D288" s="31">
        <f t="shared" si="120"/>
        <v>4</v>
      </c>
      <c r="E288" s="31">
        <f t="shared" si="121"/>
        <v>0</v>
      </c>
      <c r="F288" s="32">
        <f t="shared" si="122"/>
        <v>4</v>
      </c>
      <c r="G288" s="31">
        <f t="shared" si="123"/>
        <v>0</v>
      </c>
      <c r="H288" s="31">
        <f t="shared" si="124"/>
        <v>0</v>
      </c>
      <c r="I288" s="32">
        <f t="shared" si="125"/>
        <v>0</v>
      </c>
      <c r="N288" t="s">
        <v>497</v>
      </c>
      <c r="R288" s="32" t="str">
        <f t="shared" si="126"/>
        <v>7)Hex(7)Fuc(1)NeuAc(4)</v>
      </c>
      <c r="S288" s="32" t="str">
        <f t="shared" si="127"/>
        <v>7)Fuc(1)NeuAc(4)</v>
      </c>
      <c r="T288" s="32" t="str">
        <f t="shared" si="128"/>
        <v>1)NeuAc(4)</v>
      </c>
      <c r="U288" s="32" t="str">
        <f t="shared" si="129"/>
        <v>4)</v>
      </c>
      <c r="V288" s="32">
        <f t="shared" si="130"/>
        <v>0</v>
      </c>
      <c r="W288" s="32">
        <f t="shared" si="131"/>
        <v>0</v>
      </c>
      <c r="X288" s="32">
        <f t="shared" si="132"/>
        <v>0</v>
      </c>
      <c r="Y288" s="32">
        <f t="shared" si="133"/>
        <v>0</v>
      </c>
      <c r="Z288" s="32">
        <f t="shared" si="134"/>
        <v>0</v>
      </c>
    </row>
    <row r="289" spans="1:26" x14ac:dyDescent="0.25">
      <c r="A289" s="30" t="str">
        <f t="shared" si="117"/>
        <v>7</v>
      </c>
      <c r="B289" s="30" t="str">
        <f t="shared" si="118"/>
        <v>8</v>
      </c>
      <c r="C289" s="30" t="str">
        <f t="shared" si="119"/>
        <v>1</v>
      </c>
      <c r="D289" s="31">
        <f t="shared" si="120"/>
        <v>4</v>
      </c>
      <c r="E289" s="31">
        <f t="shared" si="121"/>
        <v>0</v>
      </c>
      <c r="F289" s="32">
        <f t="shared" si="122"/>
        <v>4</v>
      </c>
      <c r="G289" s="31">
        <f t="shared" si="123"/>
        <v>0</v>
      </c>
      <c r="H289" s="31">
        <f t="shared" si="124"/>
        <v>0</v>
      </c>
      <c r="I289" s="32">
        <f t="shared" si="125"/>
        <v>0</v>
      </c>
      <c r="N289" t="s">
        <v>498</v>
      </c>
      <c r="R289" s="32" t="str">
        <f t="shared" si="126"/>
        <v>7)Hex(8)Fuc(1)NeuAc(4)</v>
      </c>
      <c r="S289" s="32" t="str">
        <f t="shared" si="127"/>
        <v>8)Fuc(1)NeuAc(4)</v>
      </c>
      <c r="T289" s="32" t="str">
        <f t="shared" si="128"/>
        <v>1)NeuAc(4)</v>
      </c>
      <c r="U289" s="32" t="str">
        <f t="shared" si="129"/>
        <v>4)</v>
      </c>
      <c r="V289" s="32">
        <f t="shared" si="130"/>
        <v>0</v>
      </c>
      <c r="W289" s="32">
        <f t="shared" si="131"/>
        <v>0</v>
      </c>
      <c r="X289" s="32">
        <f t="shared" si="132"/>
        <v>0</v>
      </c>
      <c r="Y289" s="32">
        <f t="shared" si="133"/>
        <v>0</v>
      </c>
      <c r="Z289" s="32">
        <f t="shared" si="134"/>
        <v>0</v>
      </c>
    </row>
    <row r="290" spans="1:26" x14ac:dyDescent="0.25">
      <c r="A290" s="30" t="str">
        <f t="shared" si="117"/>
        <v>8</v>
      </c>
      <c r="B290" s="30" t="str">
        <f t="shared" si="118"/>
        <v>9</v>
      </c>
      <c r="C290" s="30" t="str">
        <f t="shared" si="119"/>
        <v>1</v>
      </c>
      <c r="D290" s="31">
        <f t="shared" si="120"/>
        <v>3</v>
      </c>
      <c r="E290" s="31">
        <f t="shared" si="121"/>
        <v>0</v>
      </c>
      <c r="F290" s="32">
        <f t="shared" si="122"/>
        <v>3</v>
      </c>
      <c r="G290" s="31">
        <f t="shared" si="123"/>
        <v>0</v>
      </c>
      <c r="H290" s="31">
        <f t="shared" si="124"/>
        <v>0</v>
      </c>
      <c r="I290" s="32">
        <f t="shared" si="125"/>
        <v>0</v>
      </c>
      <c r="N290" t="s">
        <v>499</v>
      </c>
      <c r="R290" s="32" t="str">
        <f t="shared" si="126"/>
        <v>8)Hex(9)Fuc(1)NeuAc(3)</v>
      </c>
      <c r="S290" s="32" t="str">
        <f t="shared" si="127"/>
        <v>9)Fuc(1)NeuAc(3)</v>
      </c>
      <c r="T290" s="32" t="str">
        <f t="shared" si="128"/>
        <v>1)NeuAc(3)</v>
      </c>
      <c r="U290" s="32" t="str">
        <f t="shared" si="129"/>
        <v>3)</v>
      </c>
      <c r="V290" s="32">
        <f t="shared" si="130"/>
        <v>0</v>
      </c>
      <c r="W290" s="32">
        <f t="shared" si="131"/>
        <v>0</v>
      </c>
      <c r="X290" s="32">
        <f t="shared" si="132"/>
        <v>0</v>
      </c>
      <c r="Y290" s="32">
        <f t="shared" si="133"/>
        <v>0</v>
      </c>
      <c r="Z290" s="32">
        <f t="shared" si="134"/>
        <v>0</v>
      </c>
    </row>
    <row r="291" spans="1:26" x14ac:dyDescent="0.25">
      <c r="A291" s="30" t="str">
        <f t="shared" si="117"/>
        <v>8</v>
      </c>
      <c r="B291" s="30" t="str">
        <f t="shared" si="118"/>
        <v>9</v>
      </c>
      <c r="C291" s="30" t="str">
        <f t="shared" si="119"/>
        <v>1</v>
      </c>
      <c r="D291" s="31">
        <f t="shared" si="120"/>
        <v>2</v>
      </c>
      <c r="E291" s="31">
        <f t="shared" si="121"/>
        <v>1</v>
      </c>
      <c r="F291" s="32">
        <f t="shared" si="122"/>
        <v>3</v>
      </c>
      <c r="G291" s="31">
        <f t="shared" si="123"/>
        <v>0</v>
      </c>
      <c r="H291" s="31">
        <f t="shared" si="124"/>
        <v>0</v>
      </c>
      <c r="I291" s="32">
        <f t="shared" si="125"/>
        <v>0</v>
      </c>
      <c r="N291" t="s">
        <v>500</v>
      </c>
      <c r="R291" s="32" t="str">
        <f t="shared" si="126"/>
        <v>8)Hex(9)Fuc(1)NeuAc(2)NeuGc(1)</v>
      </c>
      <c r="S291" s="32" t="str">
        <f t="shared" si="127"/>
        <v>9)Fuc(1)NeuAc(2)NeuGc(1)</v>
      </c>
      <c r="T291" s="32" t="str">
        <f t="shared" si="128"/>
        <v>1)NeuAc(2)NeuGc(1)</v>
      </c>
      <c r="U291" s="32" t="str">
        <f t="shared" si="129"/>
        <v>2)NeuGc(1)</v>
      </c>
      <c r="V291" s="32" t="str">
        <f t="shared" si="130"/>
        <v>1)</v>
      </c>
      <c r="W291" s="32">
        <f t="shared" si="131"/>
        <v>0</v>
      </c>
      <c r="X291" s="32">
        <f t="shared" si="132"/>
        <v>0</v>
      </c>
      <c r="Y291" s="32">
        <f t="shared" si="133"/>
        <v>0</v>
      </c>
      <c r="Z291" s="32">
        <f t="shared" si="134"/>
        <v>0</v>
      </c>
    </row>
    <row r="292" spans="1:26" x14ac:dyDescent="0.25">
      <c r="A292" s="30" t="str">
        <f t="shared" si="117"/>
        <v>8</v>
      </c>
      <c r="B292" s="30" t="str">
        <f t="shared" si="118"/>
        <v>9</v>
      </c>
      <c r="C292" s="30" t="str">
        <f t="shared" si="119"/>
        <v>1</v>
      </c>
      <c r="D292" s="31">
        <f t="shared" si="120"/>
        <v>1</v>
      </c>
      <c r="E292" s="31">
        <f t="shared" si="121"/>
        <v>2</v>
      </c>
      <c r="F292" s="32">
        <f t="shared" si="122"/>
        <v>3</v>
      </c>
      <c r="G292" s="31">
        <f t="shared" si="123"/>
        <v>0</v>
      </c>
      <c r="H292" s="31">
        <f t="shared" si="124"/>
        <v>0</v>
      </c>
      <c r="I292" s="32">
        <f t="shared" si="125"/>
        <v>0</v>
      </c>
      <c r="N292" t="s">
        <v>501</v>
      </c>
      <c r="R292" s="32" t="str">
        <f t="shared" si="126"/>
        <v>8)Hex(9)Fuc(1)NeuAc(1)NeuGc(2)</v>
      </c>
      <c r="S292" s="32" t="str">
        <f t="shared" si="127"/>
        <v>9)Fuc(1)NeuAc(1)NeuGc(2)</v>
      </c>
      <c r="T292" s="32" t="str">
        <f t="shared" si="128"/>
        <v>1)NeuAc(1)NeuGc(2)</v>
      </c>
      <c r="U292" s="32" t="str">
        <f t="shared" si="129"/>
        <v>1)NeuGc(2)</v>
      </c>
      <c r="V292" s="32" t="str">
        <f t="shared" si="130"/>
        <v>2)</v>
      </c>
      <c r="W292" s="32">
        <f t="shared" si="131"/>
        <v>0</v>
      </c>
      <c r="X292" s="32">
        <f t="shared" si="132"/>
        <v>0</v>
      </c>
      <c r="Y292" s="32">
        <f t="shared" si="133"/>
        <v>0</v>
      </c>
      <c r="Z292" s="32">
        <f t="shared" si="134"/>
        <v>0</v>
      </c>
    </row>
    <row r="293" spans="1:26" x14ac:dyDescent="0.25">
      <c r="A293" s="30" t="str">
        <f t="shared" si="117"/>
        <v>11</v>
      </c>
      <c r="B293" s="30" t="str">
        <f t="shared" si="118"/>
        <v>11</v>
      </c>
      <c r="C293" s="30">
        <f t="shared" si="119"/>
        <v>0</v>
      </c>
      <c r="D293" s="31">
        <f t="shared" si="120"/>
        <v>1</v>
      </c>
      <c r="E293" s="31">
        <f t="shared" si="121"/>
        <v>0</v>
      </c>
      <c r="F293" s="32">
        <f t="shared" si="122"/>
        <v>1</v>
      </c>
      <c r="G293" s="31">
        <f t="shared" si="123"/>
        <v>0</v>
      </c>
      <c r="H293" s="31">
        <f t="shared" si="124"/>
        <v>0</v>
      </c>
      <c r="I293" s="32">
        <f t="shared" si="125"/>
        <v>0</v>
      </c>
      <c r="N293" t="s">
        <v>502</v>
      </c>
      <c r="R293" s="32" t="str">
        <f t="shared" si="126"/>
        <v>11)Hex(11)NeuAc(1)</v>
      </c>
      <c r="S293" s="32" t="str">
        <f t="shared" si="127"/>
        <v>11)NeuAc(1)</v>
      </c>
      <c r="T293" s="32">
        <f t="shared" si="128"/>
        <v>0</v>
      </c>
      <c r="U293" s="32" t="str">
        <f t="shared" si="129"/>
        <v>1)</v>
      </c>
      <c r="V293" s="32">
        <f t="shared" si="130"/>
        <v>0</v>
      </c>
      <c r="W293" s="32">
        <f t="shared" si="131"/>
        <v>0</v>
      </c>
      <c r="X293" s="32">
        <f t="shared" si="132"/>
        <v>0</v>
      </c>
      <c r="Y293" s="32">
        <f t="shared" si="133"/>
        <v>0</v>
      </c>
      <c r="Z293" s="32">
        <f t="shared" si="134"/>
        <v>0</v>
      </c>
    </row>
    <row r="294" spans="1:26" x14ac:dyDescent="0.25">
      <c r="A294" s="30" t="str">
        <f t="shared" si="117"/>
        <v>11</v>
      </c>
      <c r="B294" s="30" t="str">
        <f t="shared" si="118"/>
        <v>11</v>
      </c>
      <c r="C294" s="30">
        <f t="shared" si="119"/>
        <v>0</v>
      </c>
      <c r="D294" s="31">
        <f t="shared" si="120"/>
        <v>0</v>
      </c>
      <c r="E294" s="31">
        <f t="shared" si="121"/>
        <v>1</v>
      </c>
      <c r="F294" s="32">
        <f t="shared" si="122"/>
        <v>1</v>
      </c>
      <c r="G294" s="31">
        <f t="shared" si="123"/>
        <v>0</v>
      </c>
      <c r="H294" s="31">
        <f t="shared" si="124"/>
        <v>0</v>
      </c>
      <c r="I294" s="32">
        <f t="shared" si="125"/>
        <v>0</v>
      </c>
      <c r="N294" t="s">
        <v>503</v>
      </c>
      <c r="R294" s="32" t="str">
        <f t="shared" si="126"/>
        <v>11)Hex(11)NeuGc(1)</v>
      </c>
      <c r="S294" s="32" t="str">
        <f t="shared" si="127"/>
        <v>11)NeuGc(1)</v>
      </c>
      <c r="T294" s="32">
        <f t="shared" si="128"/>
        <v>0</v>
      </c>
      <c r="U294" s="32">
        <f t="shared" si="129"/>
        <v>0</v>
      </c>
      <c r="V294" s="32" t="str">
        <f t="shared" si="130"/>
        <v>1)</v>
      </c>
      <c r="W294" s="32">
        <f t="shared" si="131"/>
        <v>0</v>
      </c>
      <c r="X294" s="32">
        <f t="shared" si="132"/>
        <v>0</v>
      </c>
      <c r="Y294" s="32">
        <f t="shared" si="133"/>
        <v>0</v>
      </c>
      <c r="Z294" s="32">
        <f t="shared" si="134"/>
        <v>0</v>
      </c>
    </row>
    <row r="295" spans="1:26" x14ac:dyDescent="0.25">
      <c r="A295" s="30" t="str">
        <f t="shared" si="117"/>
        <v>8</v>
      </c>
      <c r="B295" s="30" t="str">
        <f t="shared" si="118"/>
        <v>9</v>
      </c>
      <c r="C295" s="30" t="str">
        <f t="shared" si="119"/>
        <v>1</v>
      </c>
      <c r="D295" s="31">
        <f t="shared" si="120"/>
        <v>4</v>
      </c>
      <c r="E295" s="31">
        <f t="shared" si="121"/>
        <v>0</v>
      </c>
      <c r="F295" s="32">
        <f t="shared" si="122"/>
        <v>4</v>
      </c>
      <c r="G295" s="31">
        <f t="shared" si="123"/>
        <v>0</v>
      </c>
      <c r="H295" s="31">
        <f t="shared" si="124"/>
        <v>0</v>
      </c>
      <c r="I295" s="32">
        <f t="shared" si="125"/>
        <v>0</v>
      </c>
      <c r="N295" t="s">
        <v>504</v>
      </c>
      <c r="R295" s="32" t="str">
        <f t="shared" si="126"/>
        <v>8)Hex(9)Fuc(1)NeuAc(4)</v>
      </c>
      <c r="S295" s="32" t="str">
        <f t="shared" si="127"/>
        <v>9)Fuc(1)NeuAc(4)</v>
      </c>
      <c r="T295" s="32" t="str">
        <f t="shared" si="128"/>
        <v>1)NeuAc(4)</v>
      </c>
      <c r="U295" s="32" t="str">
        <f t="shared" si="129"/>
        <v>4)</v>
      </c>
      <c r="V295" s="32">
        <f t="shared" si="130"/>
        <v>0</v>
      </c>
      <c r="W295" s="32">
        <f t="shared" si="131"/>
        <v>0</v>
      </c>
      <c r="X295" s="32">
        <f t="shared" si="132"/>
        <v>0</v>
      </c>
      <c r="Y295" s="32">
        <f t="shared" si="133"/>
        <v>0</v>
      </c>
      <c r="Z295" s="32">
        <f t="shared" si="134"/>
        <v>0</v>
      </c>
    </row>
    <row r="296" spans="1:26" x14ac:dyDescent="0.25">
      <c r="A296" s="30" t="str">
        <f t="shared" si="117"/>
        <v>9</v>
      </c>
      <c r="B296" s="30" t="str">
        <f t="shared" si="118"/>
        <v>10</v>
      </c>
      <c r="C296" s="30" t="str">
        <f t="shared" si="119"/>
        <v>1</v>
      </c>
      <c r="D296" s="31">
        <f t="shared" si="120"/>
        <v>4</v>
      </c>
      <c r="E296" s="31">
        <f t="shared" si="121"/>
        <v>0</v>
      </c>
      <c r="F296" s="32">
        <f t="shared" si="122"/>
        <v>4</v>
      </c>
      <c r="G296" s="31">
        <f t="shared" si="123"/>
        <v>0</v>
      </c>
      <c r="H296" s="31">
        <f t="shared" si="124"/>
        <v>0</v>
      </c>
      <c r="I296" s="32">
        <f t="shared" si="125"/>
        <v>0</v>
      </c>
      <c r="N296" t="s">
        <v>505</v>
      </c>
      <c r="R296" s="32" t="str">
        <f t="shared" si="126"/>
        <v>9)Hex(10)Fuc(1)NeuAc(4)</v>
      </c>
      <c r="S296" s="32" t="str">
        <f t="shared" si="127"/>
        <v>10)Fuc(1)NeuAc(4)</v>
      </c>
      <c r="T296" s="32" t="str">
        <f t="shared" si="128"/>
        <v>1)NeuAc(4)</v>
      </c>
      <c r="U296" s="32" t="str">
        <f t="shared" si="129"/>
        <v>4)</v>
      </c>
      <c r="V296" s="32">
        <f t="shared" si="130"/>
        <v>0</v>
      </c>
      <c r="W296" s="32">
        <f t="shared" si="131"/>
        <v>0</v>
      </c>
      <c r="X296" s="32">
        <f t="shared" si="132"/>
        <v>0</v>
      </c>
      <c r="Y296" s="32">
        <f t="shared" si="133"/>
        <v>0</v>
      </c>
      <c r="Z296" s="32">
        <f t="shared" si="134"/>
        <v>0</v>
      </c>
    </row>
    <row r="297" spans="1:26" x14ac:dyDescent="0.25">
      <c r="A297" s="30" t="str">
        <f t="shared" si="117"/>
        <v>2</v>
      </c>
      <c r="B297" s="30" t="str">
        <f t="shared" si="118"/>
        <v>3</v>
      </c>
      <c r="C297" s="30" t="str">
        <f t="shared" si="119"/>
        <v>1</v>
      </c>
      <c r="D297" s="31">
        <f t="shared" si="120"/>
        <v>0</v>
      </c>
      <c r="E297" s="31">
        <f t="shared" si="121"/>
        <v>0</v>
      </c>
      <c r="F297" s="32">
        <f t="shared" si="122"/>
        <v>0</v>
      </c>
      <c r="G297" s="31">
        <f t="shared" si="123"/>
        <v>0</v>
      </c>
      <c r="H297" s="31">
        <f t="shared" si="124"/>
        <v>0</v>
      </c>
      <c r="I297" s="32">
        <f t="shared" si="125"/>
        <v>0</v>
      </c>
      <c r="N297" t="s">
        <v>72</v>
      </c>
      <c r="R297" s="32" t="str">
        <f t="shared" si="126"/>
        <v>2)Hex(3)Fuc(1)</v>
      </c>
      <c r="S297" s="32" t="str">
        <f t="shared" si="127"/>
        <v>3)Fuc(1)</v>
      </c>
      <c r="T297" s="32" t="str">
        <f t="shared" si="128"/>
        <v>1)</v>
      </c>
      <c r="U297" s="32">
        <f t="shared" si="129"/>
        <v>0</v>
      </c>
      <c r="V297" s="32">
        <f t="shared" si="130"/>
        <v>0</v>
      </c>
      <c r="W297" s="32">
        <f t="shared" si="131"/>
        <v>0</v>
      </c>
      <c r="X297" s="32">
        <f t="shared" si="132"/>
        <v>0</v>
      </c>
      <c r="Y297" s="32">
        <f t="shared" si="133"/>
        <v>0</v>
      </c>
      <c r="Z297" s="32">
        <f t="shared" si="134"/>
        <v>0</v>
      </c>
    </row>
    <row r="298" spans="1:26" x14ac:dyDescent="0.25">
      <c r="A298" s="30" t="str">
        <f t="shared" si="117"/>
        <v>6</v>
      </c>
      <c r="B298" s="30" t="str">
        <f t="shared" si="118"/>
        <v>3</v>
      </c>
      <c r="C298" s="30" t="str">
        <f t="shared" si="119"/>
        <v>1</v>
      </c>
      <c r="D298" s="31">
        <f t="shared" si="120"/>
        <v>0</v>
      </c>
      <c r="E298" s="31">
        <f t="shared" si="121"/>
        <v>0</v>
      </c>
      <c r="F298" s="32">
        <f t="shared" si="122"/>
        <v>0</v>
      </c>
      <c r="G298" s="31">
        <f t="shared" si="123"/>
        <v>1</v>
      </c>
      <c r="H298" s="31">
        <f t="shared" si="124"/>
        <v>0</v>
      </c>
      <c r="I298" s="32">
        <f t="shared" si="125"/>
        <v>1</v>
      </c>
      <c r="N298" t="s">
        <v>77</v>
      </c>
      <c r="R298" s="32" t="str">
        <f t="shared" si="126"/>
        <v>6)Hex(3)Fuc(1)Sulfo(1)</v>
      </c>
      <c r="S298" s="32" t="str">
        <f t="shared" si="127"/>
        <v>3)Fuc(1)Sulfo(1)</v>
      </c>
      <c r="T298" s="32" t="str">
        <f t="shared" si="128"/>
        <v>1)Sulfo(1)</v>
      </c>
      <c r="U298" s="32">
        <f t="shared" si="129"/>
        <v>0</v>
      </c>
      <c r="V298" s="32">
        <f t="shared" si="130"/>
        <v>0</v>
      </c>
      <c r="W298" s="32">
        <f t="shared" si="131"/>
        <v>0</v>
      </c>
      <c r="X298" s="32" t="str">
        <f t="shared" si="132"/>
        <v>1)</v>
      </c>
      <c r="Y298" s="32">
        <f t="shared" si="133"/>
        <v>0</v>
      </c>
      <c r="Z298" s="32">
        <f t="shared" si="134"/>
        <v>0</v>
      </c>
    </row>
    <row r="299" spans="1:26" x14ac:dyDescent="0.25">
      <c r="A299" s="30" t="str">
        <f t="shared" si="117"/>
        <v>6</v>
      </c>
      <c r="B299" s="30" t="str">
        <f t="shared" si="118"/>
        <v>3</v>
      </c>
      <c r="C299" s="30" t="str">
        <f t="shared" si="119"/>
        <v>1</v>
      </c>
      <c r="D299" s="31">
        <f t="shared" si="120"/>
        <v>0</v>
      </c>
      <c r="E299" s="31">
        <f t="shared" si="121"/>
        <v>0</v>
      </c>
      <c r="F299" s="32">
        <f t="shared" si="122"/>
        <v>0</v>
      </c>
      <c r="G299" s="31">
        <f t="shared" si="123"/>
        <v>2</v>
      </c>
      <c r="H299" s="31">
        <f t="shared" si="124"/>
        <v>0</v>
      </c>
      <c r="I299" s="32">
        <f t="shared" si="125"/>
        <v>2</v>
      </c>
      <c r="N299" t="s">
        <v>78</v>
      </c>
      <c r="R299" s="32" t="str">
        <f t="shared" si="126"/>
        <v>6)Hex(3)Fuc(1)Sulfo(2)</v>
      </c>
      <c r="S299" s="32" t="str">
        <f t="shared" si="127"/>
        <v>3)Fuc(1)Sulfo(2)</v>
      </c>
      <c r="T299" s="32" t="str">
        <f t="shared" si="128"/>
        <v>1)Sulfo(2)</v>
      </c>
      <c r="U299" s="32">
        <f t="shared" si="129"/>
        <v>0</v>
      </c>
      <c r="V299" s="32">
        <f t="shared" si="130"/>
        <v>0</v>
      </c>
      <c r="W299" s="32">
        <f t="shared" si="131"/>
        <v>0</v>
      </c>
      <c r="X299" s="32" t="str">
        <f t="shared" si="132"/>
        <v>2)</v>
      </c>
      <c r="Y299" s="32">
        <f t="shared" si="133"/>
        <v>0</v>
      </c>
      <c r="Z299" s="32">
        <f t="shared" si="134"/>
        <v>0</v>
      </c>
    </row>
    <row r="300" spans="1:26" x14ac:dyDescent="0.25">
      <c r="A300" s="30" t="str">
        <f t="shared" si="117"/>
        <v>7</v>
      </c>
      <c r="B300" s="30" t="str">
        <f t="shared" si="118"/>
        <v>8</v>
      </c>
      <c r="C300" s="30">
        <f t="shared" si="119"/>
        <v>0</v>
      </c>
      <c r="D300" s="31">
        <f t="shared" si="120"/>
        <v>0</v>
      </c>
      <c r="E300" s="31">
        <f t="shared" si="121"/>
        <v>0</v>
      </c>
      <c r="F300" s="32">
        <f t="shared" si="122"/>
        <v>0</v>
      </c>
      <c r="G300" s="31">
        <f t="shared" si="123"/>
        <v>1</v>
      </c>
      <c r="H300" s="31">
        <f t="shared" si="124"/>
        <v>0</v>
      </c>
      <c r="I300" s="32">
        <f t="shared" si="125"/>
        <v>1</v>
      </c>
      <c r="N300" t="s">
        <v>79</v>
      </c>
      <c r="R300" s="32" t="str">
        <f t="shared" si="126"/>
        <v>7)Hex(8)Sulfo(1)</v>
      </c>
      <c r="S300" s="32" t="str">
        <f t="shared" si="127"/>
        <v>8)Sulfo(1)</v>
      </c>
      <c r="T300" s="32">
        <f t="shared" si="128"/>
        <v>0</v>
      </c>
      <c r="U300" s="32">
        <f t="shared" si="129"/>
        <v>0</v>
      </c>
      <c r="V300" s="32">
        <f t="shared" si="130"/>
        <v>0</v>
      </c>
      <c r="W300" s="32">
        <f t="shared" si="131"/>
        <v>0</v>
      </c>
      <c r="X300" s="32" t="str">
        <f t="shared" si="132"/>
        <v>1)</v>
      </c>
      <c r="Y300" s="32">
        <f t="shared" si="133"/>
        <v>0</v>
      </c>
      <c r="Z300" s="32">
        <f t="shared" si="134"/>
        <v>0</v>
      </c>
    </row>
    <row r="301" spans="1:26" x14ac:dyDescent="0.25">
      <c r="A301" s="30" t="str">
        <f t="shared" si="117"/>
        <v>7</v>
      </c>
      <c r="B301" s="30" t="str">
        <f t="shared" si="118"/>
        <v>8</v>
      </c>
      <c r="C301" s="30">
        <f t="shared" si="119"/>
        <v>0</v>
      </c>
      <c r="D301" s="31">
        <f t="shared" si="120"/>
        <v>0</v>
      </c>
      <c r="E301" s="31">
        <f t="shared" si="121"/>
        <v>0</v>
      </c>
      <c r="F301" s="32">
        <f t="shared" si="122"/>
        <v>0</v>
      </c>
      <c r="G301" s="31">
        <f t="shared" si="123"/>
        <v>2</v>
      </c>
      <c r="H301" s="31">
        <f t="shared" si="124"/>
        <v>0</v>
      </c>
      <c r="I301" s="32">
        <f t="shared" si="125"/>
        <v>2</v>
      </c>
      <c r="N301" t="s">
        <v>80</v>
      </c>
      <c r="R301" s="32" t="str">
        <f t="shared" si="126"/>
        <v>7)Hex(8)Sulfo(2)</v>
      </c>
      <c r="S301" s="32" t="str">
        <f t="shared" si="127"/>
        <v>8)Sulfo(2)</v>
      </c>
      <c r="T301" s="32">
        <f t="shared" si="128"/>
        <v>0</v>
      </c>
      <c r="U301" s="32">
        <f t="shared" si="129"/>
        <v>0</v>
      </c>
      <c r="V301" s="32">
        <f t="shared" si="130"/>
        <v>0</v>
      </c>
      <c r="W301" s="32">
        <f t="shared" si="131"/>
        <v>0</v>
      </c>
      <c r="X301" s="32" t="str">
        <f t="shared" si="132"/>
        <v>2)</v>
      </c>
      <c r="Y301" s="32">
        <f t="shared" si="133"/>
        <v>0</v>
      </c>
      <c r="Z301" s="32">
        <f t="shared" si="134"/>
        <v>0</v>
      </c>
    </row>
    <row r="302" spans="1:26" x14ac:dyDescent="0.25">
      <c r="A302" s="30" t="str">
        <f t="shared" si="117"/>
        <v>7</v>
      </c>
      <c r="B302" s="30" t="str">
        <f t="shared" si="118"/>
        <v>8</v>
      </c>
      <c r="C302" s="30">
        <f t="shared" si="119"/>
        <v>0</v>
      </c>
      <c r="D302" s="31">
        <f t="shared" si="120"/>
        <v>0</v>
      </c>
      <c r="E302" s="31">
        <f t="shared" si="121"/>
        <v>0</v>
      </c>
      <c r="F302" s="32">
        <f t="shared" si="122"/>
        <v>0</v>
      </c>
      <c r="G302" s="31">
        <f t="shared" si="123"/>
        <v>3</v>
      </c>
      <c r="H302" s="31">
        <f t="shared" si="124"/>
        <v>0</v>
      </c>
      <c r="I302" s="32">
        <f t="shared" si="125"/>
        <v>3</v>
      </c>
      <c r="N302" t="s">
        <v>81</v>
      </c>
      <c r="R302" s="32" t="str">
        <f t="shared" si="126"/>
        <v>7)Hex(8)Sulfo(3)</v>
      </c>
      <c r="S302" s="32" t="str">
        <f t="shared" si="127"/>
        <v>8)Sulfo(3)</v>
      </c>
      <c r="T302" s="32">
        <f t="shared" si="128"/>
        <v>0</v>
      </c>
      <c r="U302" s="32">
        <f t="shared" si="129"/>
        <v>0</v>
      </c>
      <c r="V302" s="32">
        <f t="shared" si="130"/>
        <v>0</v>
      </c>
      <c r="W302" s="32">
        <f t="shared" si="131"/>
        <v>0</v>
      </c>
      <c r="X302" s="32" t="str">
        <f t="shared" si="132"/>
        <v>3)</v>
      </c>
      <c r="Y302" s="32">
        <f t="shared" si="133"/>
        <v>0</v>
      </c>
      <c r="Z302" s="32">
        <f t="shared" si="134"/>
        <v>0</v>
      </c>
    </row>
    <row r="303" spans="1:26" x14ac:dyDescent="0.25">
      <c r="A303" s="30" t="str">
        <f t="shared" si="117"/>
        <v>6</v>
      </c>
      <c r="B303" s="30" t="str">
        <f t="shared" si="118"/>
        <v>3</v>
      </c>
      <c r="C303" s="30" t="str">
        <f t="shared" si="119"/>
        <v>1</v>
      </c>
      <c r="D303" s="31">
        <f t="shared" si="120"/>
        <v>0</v>
      </c>
      <c r="E303" s="31">
        <f t="shared" si="121"/>
        <v>0</v>
      </c>
      <c r="F303" s="32">
        <f t="shared" si="122"/>
        <v>0</v>
      </c>
      <c r="G303" s="31">
        <f t="shared" si="123"/>
        <v>3</v>
      </c>
      <c r="H303" s="31">
        <f t="shared" si="124"/>
        <v>0</v>
      </c>
      <c r="I303" s="32">
        <f t="shared" si="125"/>
        <v>3</v>
      </c>
      <c r="N303" t="s">
        <v>82</v>
      </c>
      <c r="R303" s="32" t="str">
        <f t="shared" si="126"/>
        <v>6)Hex(3)Fuc(1)Sulfo(3)</v>
      </c>
      <c r="S303" s="32" t="str">
        <f t="shared" si="127"/>
        <v>3)Fuc(1)Sulfo(3)</v>
      </c>
      <c r="T303" s="32" t="str">
        <f t="shared" si="128"/>
        <v>1)Sulfo(3)</v>
      </c>
      <c r="U303" s="32">
        <f t="shared" si="129"/>
        <v>0</v>
      </c>
      <c r="V303" s="32">
        <f t="shared" si="130"/>
        <v>0</v>
      </c>
      <c r="W303" s="32">
        <f t="shared" si="131"/>
        <v>0</v>
      </c>
      <c r="X303" s="32" t="str">
        <f t="shared" si="132"/>
        <v>3)</v>
      </c>
      <c r="Y303" s="32">
        <f t="shared" si="133"/>
        <v>0</v>
      </c>
      <c r="Z303" s="32">
        <f t="shared" si="134"/>
        <v>0</v>
      </c>
    </row>
    <row r="304" spans="1:26" x14ac:dyDescent="0.25">
      <c r="A304" s="30" t="str">
        <f t="shared" si="117"/>
        <v>8</v>
      </c>
      <c r="B304" s="30" t="str">
        <f t="shared" si="118"/>
        <v>5</v>
      </c>
      <c r="C304" s="30">
        <f t="shared" si="119"/>
        <v>0</v>
      </c>
      <c r="D304" s="31">
        <f t="shared" si="120"/>
        <v>0</v>
      </c>
      <c r="E304" s="31">
        <f t="shared" si="121"/>
        <v>0</v>
      </c>
      <c r="F304" s="32">
        <f t="shared" si="122"/>
        <v>0</v>
      </c>
      <c r="G304" s="31">
        <f t="shared" si="123"/>
        <v>3</v>
      </c>
      <c r="H304" s="31">
        <f t="shared" si="124"/>
        <v>0</v>
      </c>
      <c r="I304" s="32">
        <f t="shared" si="125"/>
        <v>3</v>
      </c>
      <c r="N304" t="s">
        <v>83</v>
      </c>
      <c r="R304" s="32" t="str">
        <f t="shared" si="126"/>
        <v>8)Hex(5)Sulfo(3)</v>
      </c>
      <c r="S304" s="32" t="str">
        <f t="shared" si="127"/>
        <v>5)Sulfo(3)</v>
      </c>
      <c r="T304" s="32">
        <f t="shared" si="128"/>
        <v>0</v>
      </c>
      <c r="U304" s="32">
        <f t="shared" si="129"/>
        <v>0</v>
      </c>
      <c r="V304" s="32">
        <f t="shared" si="130"/>
        <v>0</v>
      </c>
      <c r="W304" s="32">
        <f t="shared" si="131"/>
        <v>0</v>
      </c>
      <c r="X304" s="32" t="str">
        <f t="shared" si="132"/>
        <v>3)</v>
      </c>
      <c r="Y304" s="32">
        <f t="shared" si="133"/>
        <v>0</v>
      </c>
      <c r="Z304" s="32">
        <f t="shared" si="134"/>
        <v>0</v>
      </c>
    </row>
    <row r="305" spans="1:26" x14ac:dyDescent="0.25">
      <c r="A305" s="30" t="str">
        <f t="shared" si="117"/>
        <v>8</v>
      </c>
      <c r="B305" s="30" t="str">
        <f t="shared" si="118"/>
        <v>5</v>
      </c>
      <c r="C305" s="30">
        <f t="shared" si="119"/>
        <v>0</v>
      </c>
      <c r="D305" s="31">
        <f t="shared" si="120"/>
        <v>0</v>
      </c>
      <c r="E305" s="31">
        <f t="shared" si="121"/>
        <v>0</v>
      </c>
      <c r="F305" s="32">
        <f t="shared" si="122"/>
        <v>0</v>
      </c>
      <c r="G305" s="31">
        <f t="shared" si="123"/>
        <v>2</v>
      </c>
      <c r="H305" s="31">
        <f t="shared" si="124"/>
        <v>0</v>
      </c>
      <c r="I305" s="32">
        <f t="shared" si="125"/>
        <v>2</v>
      </c>
      <c r="N305" t="s">
        <v>84</v>
      </c>
      <c r="R305" s="32" t="str">
        <f t="shared" si="126"/>
        <v>8)Hex(5)Sulfo(2)</v>
      </c>
      <c r="S305" s="32" t="str">
        <f t="shared" si="127"/>
        <v>5)Sulfo(2)</v>
      </c>
      <c r="T305" s="32">
        <f t="shared" si="128"/>
        <v>0</v>
      </c>
      <c r="U305" s="32">
        <f t="shared" si="129"/>
        <v>0</v>
      </c>
      <c r="V305" s="32">
        <f t="shared" si="130"/>
        <v>0</v>
      </c>
      <c r="W305" s="32">
        <f t="shared" si="131"/>
        <v>0</v>
      </c>
      <c r="X305" s="32" t="str">
        <f t="shared" si="132"/>
        <v>2)</v>
      </c>
      <c r="Y305" s="32">
        <f t="shared" si="133"/>
        <v>0</v>
      </c>
      <c r="Z305" s="32">
        <f t="shared" si="134"/>
        <v>0</v>
      </c>
    </row>
    <row r="306" spans="1:26" x14ac:dyDescent="0.25">
      <c r="A306" s="30" t="str">
        <f t="shared" si="117"/>
        <v>8</v>
      </c>
      <c r="B306" s="30" t="str">
        <f t="shared" si="118"/>
        <v>5</v>
      </c>
      <c r="C306" s="30">
        <f t="shared" si="119"/>
        <v>0</v>
      </c>
      <c r="D306" s="31">
        <f t="shared" si="120"/>
        <v>0</v>
      </c>
      <c r="E306" s="31">
        <f t="shared" si="121"/>
        <v>0</v>
      </c>
      <c r="F306" s="32">
        <f t="shared" si="122"/>
        <v>0</v>
      </c>
      <c r="G306" s="31">
        <f t="shared" si="123"/>
        <v>1</v>
      </c>
      <c r="H306" s="31">
        <f t="shared" si="124"/>
        <v>0</v>
      </c>
      <c r="I306" s="32">
        <f t="shared" si="125"/>
        <v>1</v>
      </c>
      <c r="N306" t="s">
        <v>85</v>
      </c>
      <c r="R306" s="32" t="str">
        <f t="shared" si="126"/>
        <v>8)Hex(5)Sulfo(1)</v>
      </c>
      <c r="S306" s="32" t="str">
        <f t="shared" si="127"/>
        <v>5)Sulfo(1)</v>
      </c>
      <c r="T306" s="32">
        <f t="shared" si="128"/>
        <v>0</v>
      </c>
      <c r="U306" s="32">
        <f t="shared" si="129"/>
        <v>0</v>
      </c>
      <c r="V306" s="32">
        <f t="shared" si="130"/>
        <v>0</v>
      </c>
      <c r="W306" s="32">
        <f t="shared" si="131"/>
        <v>0</v>
      </c>
      <c r="X306" s="32" t="str">
        <f t="shared" si="132"/>
        <v>1)</v>
      </c>
      <c r="Y306" s="32">
        <f t="shared" si="133"/>
        <v>0</v>
      </c>
      <c r="Z306" s="32">
        <f t="shared" si="134"/>
        <v>0</v>
      </c>
    </row>
    <row r="307" spans="1:26" x14ac:dyDescent="0.25">
      <c r="A307" s="30" t="str">
        <f t="shared" si="117"/>
        <v>3</v>
      </c>
      <c r="B307" s="30" t="str">
        <f t="shared" si="118"/>
        <v>4</v>
      </c>
      <c r="C307" s="30" t="str">
        <f t="shared" si="119"/>
        <v>1</v>
      </c>
      <c r="D307" s="31">
        <f t="shared" si="120"/>
        <v>0</v>
      </c>
      <c r="E307" s="31">
        <f t="shared" si="121"/>
        <v>0</v>
      </c>
      <c r="F307" s="32">
        <f t="shared" si="122"/>
        <v>0</v>
      </c>
      <c r="G307" s="31">
        <f t="shared" si="123"/>
        <v>1</v>
      </c>
      <c r="H307" s="31">
        <f t="shared" si="124"/>
        <v>0</v>
      </c>
      <c r="I307" s="32">
        <f t="shared" si="125"/>
        <v>1</v>
      </c>
      <c r="N307" t="s">
        <v>86</v>
      </c>
      <c r="R307" s="32" t="str">
        <f t="shared" si="126"/>
        <v>3)Hex(4)Fuc(1)Sulfo(1)</v>
      </c>
      <c r="S307" s="32" t="str">
        <f t="shared" si="127"/>
        <v>4)Fuc(1)Sulfo(1)</v>
      </c>
      <c r="T307" s="32" t="str">
        <f t="shared" si="128"/>
        <v>1)Sulfo(1)</v>
      </c>
      <c r="U307" s="32">
        <f t="shared" si="129"/>
        <v>0</v>
      </c>
      <c r="V307" s="32">
        <f t="shared" si="130"/>
        <v>0</v>
      </c>
      <c r="W307" s="32">
        <f t="shared" si="131"/>
        <v>0</v>
      </c>
      <c r="X307" s="32" t="str">
        <f t="shared" si="132"/>
        <v>1)</v>
      </c>
      <c r="Y307" s="32">
        <f t="shared" si="133"/>
        <v>0</v>
      </c>
      <c r="Z307" s="32">
        <f t="shared" si="134"/>
        <v>0</v>
      </c>
    </row>
    <row r="308" spans="1:26" x14ac:dyDescent="0.25">
      <c r="A308" s="30" t="str">
        <f t="shared" si="117"/>
        <v>3</v>
      </c>
      <c r="B308" s="30" t="str">
        <f t="shared" si="118"/>
        <v>4</v>
      </c>
      <c r="C308" s="30" t="str">
        <f t="shared" si="119"/>
        <v>1</v>
      </c>
      <c r="D308" s="31">
        <f t="shared" si="120"/>
        <v>0</v>
      </c>
      <c r="E308" s="31">
        <f t="shared" si="121"/>
        <v>0</v>
      </c>
      <c r="F308" s="32">
        <f t="shared" si="122"/>
        <v>0</v>
      </c>
      <c r="G308" s="31">
        <f t="shared" si="123"/>
        <v>2</v>
      </c>
      <c r="H308" s="31">
        <f t="shared" si="124"/>
        <v>0</v>
      </c>
      <c r="I308" s="32">
        <f t="shared" si="125"/>
        <v>2</v>
      </c>
      <c r="N308" t="s">
        <v>87</v>
      </c>
      <c r="R308" s="32" t="str">
        <f t="shared" si="126"/>
        <v>3)Hex(4)Fuc(1)Sulfo(2)</v>
      </c>
      <c r="S308" s="32" t="str">
        <f t="shared" si="127"/>
        <v>4)Fuc(1)Sulfo(2)</v>
      </c>
      <c r="T308" s="32" t="str">
        <f t="shared" si="128"/>
        <v>1)Sulfo(2)</v>
      </c>
      <c r="U308" s="32">
        <f t="shared" si="129"/>
        <v>0</v>
      </c>
      <c r="V308" s="32">
        <f t="shared" si="130"/>
        <v>0</v>
      </c>
      <c r="W308" s="32">
        <f t="shared" si="131"/>
        <v>0</v>
      </c>
      <c r="X308" s="32" t="str">
        <f t="shared" si="132"/>
        <v>2)</v>
      </c>
      <c r="Y308" s="32">
        <f t="shared" si="133"/>
        <v>0</v>
      </c>
      <c r="Z308" s="32">
        <f t="shared" si="134"/>
        <v>0</v>
      </c>
    </row>
    <row r="309" spans="1:26" x14ac:dyDescent="0.25">
      <c r="A309" s="30" t="str">
        <f t="shared" si="117"/>
        <v>3</v>
      </c>
      <c r="B309" s="30" t="str">
        <f t="shared" si="118"/>
        <v>4</v>
      </c>
      <c r="C309" s="30" t="str">
        <f t="shared" si="119"/>
        <v>1</v>
      </c>
      <c r="D309" s="31">
        <f t="shared" si="120"/>
        <v>0</v>
      </c>
      <c r="E309" s="31">
        <f t="shared" si="121"/>
        <v>0</v>
      </c>
      <c r="F309" s="32">
        <f t="shared" si="122"/>
        <v>0</v>
      </c>
      <c r="G309" s="31">
        <f t="shared" si="123"/>
        <v>3</v>
      </c>
      <c r="H309" s="31">
        <f t="shared" si="124"/>
        <v>0</v>
      </c>
      <c r="I309" s="32">
        <f t="shared" si="125"/>
        <v>3</v>
      </c>
      <c r="N309" t="s">
        <v>88</v>
      </c>
      <c r="R309" s="32" t="str">
        <f t="shared" si="126"/>
        <v>3)Hex(4)Fuc(1)Sulfo(3)</v>
      </c>
      <c r="S309" s="32" t="str">
        <f t="shared" si="127"/>
        <v>4)Fuc(1)Sulfo(3)</v>
      </c>
      <c r="T309" s="32" t="str">
        <f t="shared" si="128"/>
        <v>1)Sulfo(3)</v>
      </c>
      <c r="U309" s="32">
        <f t="shared" si="129"/>
        <v>0</v>
      </c>
      <c r="V309" s="32">
        <f t="shared" si="130"/>
        <v>0</v>
      </c>
      <c r="W309" s="32">
        <f t="shared" si="131"/>
        <v>0</v>
      </c>
      <c r="X309" s="32" t="str">
        <f t="shared" si="132"/>
        <v>3)</v>
      </c>
      <c r="Y309" s="32">
        <f t="shared" si="133"/>
        <v>0</v>
      </c>
      <c r="Z309" s="32">
        <f t="shared" si="134"/>
        <v>0</v>
      </c>
    </row>
    <row r="310" spans="1:26" x14ac:dyDescent="0.25">
      <c r="A310" s="30" t="str">
        <f t="shared" si="117"/>
        <v>4</v>
      </c>
      <c r="B310" s="30" t="str">
        <f t="shared" si="118"/>
        <v>4</v>
      </c>
      <c r="C310" s="30" t="str">
        <f t="shared" si="119"/>
        <v>1</v>
      </c>
      <c r="D310" s="31">
        <f t="shared" si="120"/>
        <v>0</v>
      </c>
      <c r="E310" s="31">
        <f t="shared" si="121"/>
        <v>0</v>
      </c>
      <c r="F310" s="32">
        <f t="shared" si="122"/>
        <v>0</v>
      </c>
      <c r="G310" s="31">
        <f t="shared" si="123"/>
        <v>1</v>
      </c>
      <c r="H310" s="31">
        <f t="shared" si="124"/>
        <v>0</v>
      </c>
      <c r="I310" s="32">
        <f t="shared" si="125"/>
        <v>1</v>
      </c>
      <c r="N310" t="s">
        <v>89</v>
      </c>
      <c r="R310" s="32" t="str">
        <f t="shared" si="126"/>
        <v>4)Hex(4)Fuc(1)Sulfo(1)</v>
      </c>
      <c r="S310" s="32" t="str">
        <f t="shared" si="127"/>
        <v>4)Fuc(1)Sulfo(1)</v>
      </c>
      <c r="T310" s="32" t="str">
        <f t="shared" si="128"/>
        <v>1)Sulfo(1)</v>
      </c>
      <c r="U310" s="32">
        <f t="shared" si="129"/>
        <v>0</v>
      </c>
      <c r="V310" s="32">
        <f t="shared" si="130"/>
        <v>0</v>
      </c>
      <c r="W310" s="32">
        <f t="shared" si="131"/>
        <v>0</v>
      </c>
      <c r="X310" s="32" t="str">
        <f t="shared" si="132"/>
        <v>1)</v>
      </c>
      <c r="Y310" s="32">
        <f t="shared" si="133"/>
        <v>0</v>
      </c>
      <c r="Z310" s="32">
        <f t="shared" si="134"/>
        <v>0</v>
      </c>
    </row>
    <row r="311" spans="1:26" x14ac:dyDescent="0.25">
      <c r="A311" s="30" t="str">
        <f t="shared" si="117"/>
        <v>4</v>
      </c>
      <c r="B311" s="30" t="str">
        <f t="shared" si="118"/>
        <v>4</v>
      </c>
      <c r="C311" s="30" t="str">
        <f t="shared" si="119"/>
        <v>1</v>
      </c>
      <c r="D311" s="31">
        <f t="shared" si="120"/>
        <v>0</v>
      </c>
      <c r="E311" s="31">
        <f t="shared" si="121"/>
        <v>0</v>
      </c>
      <c r="F311" s="32">
        <f t="shared" si="122"/>
        <v>0</v>
      </c>
      <c r="G311" s="31">
        <f t="shared" si="123"/>
        <v>2</v>
      </c>
      <c r="H311" s="31">
        <f t="shared" si="124"/>
        <v>0</v>
      </c>
      <c r="I311" s="32">
        <f t="shared" si="125"/>
        <v>2</v>
      </c>
      <c r="N311" t="s">
        <v>90</v>
      </c>
      <c r="R311" s="32" t="str">
        <f t="shared" si="126"/>
        <v>4)Hex(4)Fuc(1)Sulfo(2)</v>
      </c>
      <c r="S311" s="32" t="str">
        <f t="shared" si="127"/>
        <v>4)Fuc(1)Sulfo(2)</v>
      </c>
      <c r="T311" s="32" t="str">
        <f t="shared" si="128"/>
        <v>1)Sulfo(2)</v>
      </c>
      <c r="U311" s="32">
        <f t="shared" si="129"/>
        <v>0</v>
      </c>
      <c r="V311" s="32">
        <f t="shared" si="130"/>
        <v>0</v>
      </c>
      <c r="W311" s="32">
        <f t="shared" si="131"/>
        <v>0</v>
      </c>
      <c r="X311" s="32" t="str">
        <f t="shared" si="132"/>
        <v>2)</v>
      </c>
      <c r="Y311" s="32">
        <f t="shared" si="133"/>
        <v>0</v>
      </c>
      <c r="Z311" s="32">
        <f t="shared" si="134"/>
        <v>0</v>
      </c>
    </row>
    <row r="312" spans="1:26" x14ac:dyDescent="0.25">
      <c r="A312" s="30" t="str">
        <f t="shared" si="117"/>
        <v>4</v>
      </c>
      <c r="B312" s="30" t="str">
        <f t="shared" si="118"/>
        <v>4</v>
      </c>
      <c r="C312" s="30" t="str">
        <f t="shared" si="119"/>
        <v>1</v>
      </c>
      <c r="D312" s="31">
        <f t="shared" si="120"/>
        <v>0</v>
      </c>
      <c r="E312" s="31">
        <f t="shared" si="121"/>
        <v>0</v>
      </c>
      <c r="F312" s="32">
        <f t="shared" si="122"/>
        <v>0</v>
      </c>
      <c r="G312" s="31">
        <f t="shared" si="123"/>
        <v>3</v>
      </c>
      <c r="H312" s="31">
        <f t="shared" si="124"/>
        <v>0</v>
      </c>
      <c r="I312" s="32">
        <f t="shared" si="125"/>
        <v>3</v>
      </c>
      <c r="N312" t="s">
        <v>91</v>
      </c>
      <c r="R312" s="32" t="str">
        <f t="shared" si="126"/>
        <v>4)Hex(4)Fuc(1)Sulfo(3)</v>
      </c>
      <c r="S312" s="32" t="str">
        <f t="shared" si="127"/>
        <v>4)Fuc(1)Sulfo(3)</v>
      </c>
      <c r="T312" s="32" t="str">
        <f t="shared" si="128"/>
        <v>1)Sulfo(3)</v>
      </c>
      <c r="U312" s="32">
        <f t="shared" si="129"/>
        <v>0</v>
      </c>
      <c r="V312" s="32">
        <f t="shared" si="130"/>
        <v>0</v>
      </c>
      <c r="W312" s="32">
        <f t="shared" si="131"/>
        <v>0</v>
      </c>
      <c r="X312" s="32" t="str">
        <f t="shared" si="132"/>
        <v>3)</v>
      </c>
      <c r="Y312" s="32">
        <f t="shared" si="133"/>
        <v>0</v>
      </c>
      <c r="Z312" s="32">
        <f t="shared" si="134"/>
        <v>0</v>
      </c>
    </row>
    <row r="313" spans="1:26" x14ac:dyDescent="0.25">
      <c r="A313" s="30" t="str">
        <f t="shared" si="117"/>
        <v>4</v>
      </c>
      <c r="B313" s="30" t="str">
        <f t="shared" si="118"/>
        <v>6</v>
      </c>
      <c r="C313" s="30" t="str">
        <f t="shared" si="119"/>
        <v>1</v>
      </c>
      <c r="D313" s="31">
        <f t="shared" si="120"/>
        <v>0</v>
      </c>
      <c r="E313" s="31">
        <f t="shared" si="121"/>
        <v>0</v>
      </c>
      <c r="F313" s="32">
        <f t="shared" si="122"/>
        <v>0</v>
      </c>
      <c r="G313" s="31">
        <f t="shared" si="123"/>
        <v>1</v>
      </c>
      <c r="H313" s="31">
        <f t="shared" si="124"/>
        <v>0</v>
      </c>
      <c r="I313" s="32">
        <f t="shared" si="125"/>
        <v>1</v>
      </c>
      <c r="N313" t="s">
        <v>92</v>
      </c>
      <c r="R313" s="32" t="str">
        <f t="shared" si="126"/>
        <v>4)Hex(6)Fuc(1)Sulfo(1)</v>
      </c>
      <c r="S313" s="32" t="str">
        <f t="shared" si="127"/>
        <v>6)Fuc(1)Sulfo(1)</v>
      </c>
      <c r="T313" s="32" t="str">
        <f t="shared" si="128"/>
        <v>1)Sulfo(1)</v>
      </c>
      <c r="U313" s="32">
        <f t="shared" si="129"/>
        <v>0</v>
      </c>
      <c r="V313" s="32">
        <f t="shared" si="130"/>
        <v>0</v>
      </c>
      <c r="W313" s="32">
        <f t="shared" si="131"/>
        <v>0</v>
      </c>
      <c r="X313" s="32" t="str">
        <f t="shared" si="132"/>
        <v>1)</v>
      </c>
      <c r="Y313" s="32">
        <f t="shared" si="133"/>
        <v>0</v>
      </c>
      <c r="Z313" s="32">
        <f t="shared" si="134"/>
        <v>0</v>
      </c>
    </row>
    <row r="314" spans="1:26" x14ac:dyDescent="0.25">
      <c r="A314" s="30" t="str">
        <f t="shared" si="117"/>
        <v>4</v>
      </c>
      <c r="B314" s="30" t="str">
        <f t="shared" si="118"/>
        <v>6</v>
      </c>
      <c r="C314" s="30" t="str">
        <f t="shared" si="119"/>
        <v>1</v>
      </c>
      <c r="D314" s="31">
        <f t="shared" si="120"/>
        <v>0</v>
      </c>
      <c r="E314" s="31">
        <f t="shared" si="121"/>
        <v>0</v>
      </c>
      <c r="F314" s="32">
        <f t="shared" si="122"/>
        <v>0</v>
      </c>
      <c r="G314" s="31">
        <f t="shared" si="123"/>
        <v>2</v>
      </c>
      <c r="H314" s="31">
        <f t="shared" si="124"/>
        <v>0</v>
      </c>
      <c r="I314" s="32">
        <f t="shared" si="125"/>
        <v>2</v>
      </c>
      <c r="N314" t="s">
        <v>93</v>
      </c>
      <c r="R314" s="32" t="str">
        <f t="shared" si="126"/>
        <v>4)Hex(6)Fuc(1)Sulfo(2)</v>
      </c>
      <c r="S314" s="32" t="str">
        <f t="shared" si="127"/>
        <v>6)Fuc(1)Sulfo(2)</v>
      </c>
      <c r="T314" s="32" t="str">
        <f t="shared" si="128"/>
        <v>1)Sulfo(2)</v>
      </c>
      <c r="U314" s="32">
        <f t="shared" si="129"/>
        <v>0</v>
      </c>
      <c r="V314" s="32">
        <f t="shared" si="130"/>
        <v>0</v>
      </c>
      <c r="W314" s="32">
        <f t="shared" si="131"/>
        <v>0</v>
      </c>
      <c r="X314" s="32" t="str">
        <f t="shared" si="132"/>
        <v>2)</v>
      </c>
      <c r="Y314" s="32">
        <f t="shared" si="133"/>
        <v>0</v>
      </c>
      <c r="Z314" s="32">
        <f t="shared" si="134"/>
        <v>0</v>
      </c>
    </row>
    <row r="315" spans="1:26" x14ac:dyDescent="0.25">
      <c r="A315" s="30" t="str">
        <f t="shared" si="117"/>
        <v>4</v>
      </c>
      <c r="B315" s="30" t="str">
        <f t="shared" si="118"/>
        <v>6</v>
      </c>
      <c r="C315" s="30" t="str">
        <f t="shared" si="119"/>
        <v>1</v>
      </c>
      <c r="D315" s="31">
        <f t="shared" si="120"/>
        <v>0</v>
      </c>
      <c r="E315" s="31">
        <f t="shared" si="121"/>
        <v>0</v>
      </c>
      <c r="F315" s="32">
        <f t="shared" si="122"/>
        <v>0</v>
      </c>
      <c r="G315" s="31">
        <f t="shared" si="123"/>
        <v>3</v>
      </c>
      <c r="H315" s="31">
        <f t="shared" si="124"/>
        <v>0</v>
      </c>
      <c r="I315" s="32">
        <f t="shared" si="125"/>
        <v>3</v>
      </c>
      <c r="N315" t="s">
        <v>94</v>
      </c>
      <c r="R315" s="32" t="str">
        <f t="shared" si="126"/>
        <v>4)Hex(6)Fuc(1)Sulfo(3)</v>
      </c>
      <c r="S315" s="32" t="str">
        <f t="shared" si="127"/>
        <v>6)Fuc(1)Sulfo(3)</v>
      </c>
      <c r="T315" s="32" t="str">
        <f t="shared" si="128"/>
        <v>1)Sulfo(3)</v>
      </c>
      <c r="U315" s="32">
        <f t="shared" si="129"/>
        <v>0</v>
      </c>
      <c r="V315" s="32">
        <f t="shared" si="130"/>
        <v>0</v>
      </c>
      <c r="W315" s="32">
        <f t="shared" si="131"/>
        <v>0</v>
      </c>
      <c r="X315" s="32" t="str">
        <f t="shared" si="132"/>
        <v>3)</v>
      </c>
      <c r="Y315" s="32">
        <f t="shared" si="133"/>
        <v>0</v>
      </c>
      <c r="Z315" s="32">
        <f t="shared" si="134"/>
        <v>0</v>
      </c>
    </row>
    <row r="316" spans="1:26" x14ac:dyDescent="0.25">
      <c r="A316" s="30" t="str">
        <f t="shared" si="117"/>
        <v>5</v>
      </c>
      <c r="B316" s="30" t="str">
        <f t="shared" si="118"/>
        <v>3</v>
      </c>
      <c r="C316" s="30" t="str">
        <f t="shared" si="119"/>
        <v>1</v>
      </c>
      <c r="D316" s="31">
        <f t="shared" si="120"/>
        <v>0</v>
      </c>
      <c r="E316" s="31">
        <f t="shared" si="121"/>
        <v>0</v>
      </c>
      <c r="F316" s="32">
        <f t="shared" si="122"/>
        <v>0</v>
      </c>
      <c r="G316" s="31">
        <f t="shared" si="123"/>
        <v>1</v>
      </c>
      <c r="H316" s="31">
        <f t="shared" si="124"/>
        <v>0</v>
      </c>
      <c r="I316" s="32">
        <f t="shared" si="125"/>
        <v>1</v>
      </c>
      <c r="N316" t="s">
        <v>95</v>
      </c>
      <c r="R316" s="32" t="str">
        <f t="shared" si="126"/>
        <v>5)Hex(3)Fuc(1)Sulfo(1)</v>
      </c>
      <c r="S316" s="32" t="str">
        <f t="shared" si="127"/>
        <v>3)Fuc(1)Sulfo(1)</v>
      </c>
      <c r="T316" s="32" t="str">
        <f t="shared" si="128"/>
        <v>1)Sulfo(1)</v>
      </c>
      <c r="U316" s="32">
        <f t="shared" si="129"/>
        <v>0</v>
      </c>
      <c r="V316" s="32">
        <f t="shared" si="130"/>
        <v>0</v>
      </c>
      <c r="W316" s="32">
        <f t="shared" si="131"/>
        <v>0</v>
      </c>
      <c r="X316" s="32" t="str">
        <f t="shared" si="132"/>
        <v>1)</v>
      </c>
      <c r="Y316" s="32">
        <f t="shared" si="133"/>
        <v>0</v>
      </c>
      <c r="Z316" s="32">
        <f t="shared" si="134"/>
        <v>0</v>
      </c>
    </row>
    <row r="317" spans="1:26" x14ac:dyDescent="0.25">
      <c r="A317" s="30" t="str">
        <f t="shared" si="117"/>
        <v>5</v>
      </c>
      <c r="B317" s="30" t="str">
        <f t="shared" si="118"/>
        <v>3</v>
      </c>
      <c r="C317" s="30" t="str">
        <f t="shared" si="119"/>
        <v>1</v>
      </c>
      <c r="D317" s="31">
        <f t="shared" si="120"/>
        <v>0</v>
      </c>
      <c r="E317" s="31">
        <f t="shared" si="121"/>
        <v>0</v>
      </c>
      <c r="F317" s="32">
        <f t="shared" si="122"/>
        <v>0</v>
      </c>
      <c r="G317" s="31">
        <f t="shared" si="123"/>
        <v>2</v>
      </c>
      <c r="H317" s="31">
        <f t="shared" si="124"/>
        <v>0</v>
      </c>
      <c r="I317" s="32">
        <f t="shared" si="125"/>
        <v>2</v>
      </c>
      <c r="N317" t="s">
        <v>96</v>
      </c>
      <c r="R317" s="32" t="str">
        <f t="shared" si="126"/>
        <v>5)Hex(3)Fuc(1)Sulfo(2)</v>
      </c>
      <c r="S317" s="32" t="str">
        <f t="shared" si="127"/>
        <v>3)Fuc(1)Sulfo(2)</v>
      </c>
      <c r="T317" s="32" t="str">
        <f t="shared" si="128"/>
        <v>1)Sulfo(2)</v>
      </c>
      <c r="U317" s="32">
        <f t="shared" si="129"/>
        <v>0</v>
      </c>
      <c r="V317" s="32">
        <f t="shared" si="130"/>
        <v>0</v>
      </c>
      <c r="W317" s="32">
        <f t="shared" si="131"/>
        <v>0</v>
      </c>
      <c r="X317" s="32" t="str">
        <f t="shared" si="132"/>
        <v>2)</v>
      </c>
      <c r="Y317" s="32">
        <f t="shared" si="133"/>
        <v>0</v>
      </c>
      <c r="Z317" s="32">
        <f t="shared" si="134"/>
        <v>0</v>
      </c>
    </row>
    <row r="318" spans="1:26" x14ac:dyDescent="0.25">
      <c r="A318" s="30" t="str">
        <f t="shared" si="117"/>
        <v>5</v>
      </c>
      <c r="B318" s="30" t="str">
        <f t="shared" si="118"/>
        <v>3</v>
      </c>
      <c r="C318" s="30" t="str">
        <f t="shared" si="119"/>
        <v>1</v>
      </c>
      <c r="D318" s="31">
        <f t="shared" si="120"/>
        <v>0</v>
      </c>
      <c r="E318" s="31">
        <f t="shared" si="121"/>
        <v>0</v>
      </c>
      <c r="F318" s="32">
        <f t="shared" si="122"/>
        <v>0</v>
      </c>
      <c r="G318" s="31">
        <f t="shared" si="123"/>
        <v>3</v>
      </c>
      <c r="H318" s="31">
        <f t="shared" si="124"/>
        <v>0</v>
      </c>
      <c r="I318" s="32">
        <f t="shared" si="125"/>
        <v>3</v>
      </c>
      <c r="N318" t="s">
        <v>97</v>
      </c>
      <c r="R318" s="32" t="str">
        <f t="shared" si="126"/>
        <v>5)Hex(3)Fuc(1)Sulfo(3)</v>
      </c>
      <c r="S318" s="32" t="str">
        <f t="shared" si="127"/>
        <v>3)Fuc(1)Sulfo(3)</v>
      </c>
      <c r="T318" s="32" t="str">
        <f t="shared" si="128"/>
        <v>1)Sulfo(3)</v>
      </c>
      <c r="U318" s="32">
        <f t="shared" si="129"/>
        <v>0</v>
      </c>
      <c r="V318" s="32">
        <f t="shared" si="130"/>
        <v>0</v>
      </c>
      <c r="W318" s="32">
        <f t="shared" si="131"/>
        <v>0</v>
      </c>
      <c r="X318" s="32" t="str">
        <f t="shared" si="132"/>
        <v>3)</v>
      </c>
      <c r="Y318" s="32">
        <f t="shared" si="133"/>
        <v>0</v>
      </c>
      <c r="Z318" s="32">
        <f t="shared" si="134"/>
        <v>0</v>
      </c>
    </row>
    <row r="319" spans="1:26" x14ac:dyDescent="0.25">
      <c r="A319" s="30" t="str">
        <f t="shared" si="117"/>
        <v>5</v>
      </c>
      <c r="B319" s="30" t="str">
        <f t="shared" si="118"/>
        <v>4</v>
      </c>
      <c r="C319" s="30" t="str">
        <f t="shared" si="119"/>
        <v>1</v>
      </c>
      <c r="D319" s="31">
        <f t="shared" si="120"/>
        <v>0</v>
      </c>
      <c r="E319" s="31">
        <f t="shared" si="121"/>
        <v>0</v>
      </c>
      <c r="F319" s="32">
        <f t="shared" si="122"/>
        <v>0</v>
      </c>
      <c r="G319" s="31">
        <f t="shared" si="123"/>
        <v>1</v>
      </c>
      <c r="H319" s="31">
        <f t="shared" si="124"/>
        <v>0</v>
      </c>
      <c r="I319" s="32">
        <f t="shared" si="125"/>
        <v>1</v>
      </c>
      <c r="N319" t="s">
        <v>98</v>
      </c>
      <c r="R319" s="32" t="str">
        <f t="shared" si="126"/>
        <v>5)Hex(4)Fuc(1)Sulfo(1)</v>
      </c>
      <c r="S319" s="32" t="str">
        <f t="shared" si="127"/>
        <v>4)Fuc(1)Sulfo(1)</v>
      </c>
      <c r="T319" s="32" t="str">
        <f t="shared" si="128"/>
        <v>1)Sulfo(1)</v>
      </c>
      <c r="U319" s="32">
        <f t="shared" si="129"/>
        <v>0</v>
      </c>
      <c r="V319" s="32">
        <f t="shared" si="130"/>
        <v>0</v>
      </c>
      <c r="W319" s="32">
        <f t="shared" si="131"/>
        <v>0</v>
      </c>
      <c r="X319" s="32" t="str">
        <f t="shared" si="132"/>
        <v>1)</v>
      </c>
      <c r="Y319" s="32">
        <f t="shared" si="133"/>
        <v>0</v>
      </c>
      <c r="Z319" s="32">
        <f t="shared" si="134"/>
        <v>0</v>
      </c>
    </row>
    <row r="320" spans="1:26" x14ac:dyDescent="0.25">
      <c r="A320" s="30" t="str">
        <f t="shared" si="117"/>
        <v>5</v>
      </c>
      <c r="B320" s="30" t="str">
        <f t="shared" si="118"/>
        <v>4</v>
      </c>
      <c r="C320" s="30" t="str">
        <f t="shared" si="119"/>
        <v>1</v>
      </c>
      <c r="D320" s="31">
        <f t="shared" si="120"/>
        <v>0</v>
      </c>
      <c r="E320" s="31">
        <f t="shared" si="121"/>
        <v>0</v>
      </c>
      <c r="F320" s="32">
        <f t="shared" si="122"/>
        <v>0</v>
      </c>
      <c r="G320" s="31">
        <f t="shared" si="123"/>
        <v>2</v>
      </c>
      <c r="H320" s="31">
        <f t="shared" si="124"/>
        <v>0</v>
      </c>
      <c r="I320" s="32">
        <f t="shared" si="125"/>
        <v>2</v>
      </c>
      <c r="N320" t="s">
        <v>99</v>
      </c>
      <c r="R320" s="32" t="str">
        <f t="shared" si="126"/>
        <v>5)Hex(4)Fuc(1)Sulfo(2)</v>
      </c>
      <c r="S320" s="32" t="str">
        <f t="shared" si="127"/>
        <v>4)Fuc(1)Sulfo(2)</v>
      </c>
      <c r="T320" s="32" t="str">
        <f t="shared" si="128"/>
        <v>1)Sulfo(2)</v>
      </c>
      <c r="U320" s="32">
        <f t="shared" si="129"/>
        <v>0</v>
      </c>
      <c r="V320" s="32">
        <f t="shared" si="130"/>
        <v>0</v>
      </c>
      <c r="W320" s="32">
        <f t="shared" si="131"/>
        <v>0</v>
      </c>
      <c r="X320" s="32" t="str">
        <f t="shared" si="132"/>
        <v>2)</v>
      </c>
      <c r="Y320" s="32">
        <f t="shared" si="133"/>
        <v>0</v>
      </c>
      <c r="Z320" s="32">
        <f t="shared" si="134"/>
        <v>0</v>
      </c>
    </row>
    <row r="321" spans="1:26" x14ac:dyDescent="0.25">
      <c r="A321" s="30" t="str">
        <f t="shared" si="117"/>
        <v>5</v>
      </c>
      <c r="B321" s="30" t="str">
        <f t="shared" si="118"/>
        <v>4</v>
      </c>
      <c r="C321" s="30" t="str">
        <f t="shared" si="119"/>
        <v>1</v>
      </c>
      <c r="D321" s="31">
        <f t="shared" si="120"/>
        <v>0</v>
      </c>
      <c r="E321" s="31">
        <f t="shared" si="121"/>
        <v>0</v>
      </c>
      <c r="F321" s="32">
        <f t="shared" si="122"/>
        <v>0</v>
      </c>
      <c r="G321" s="31">
        <f t="shared" si="123"/>
        <v>3</v>
      </c>
      <c r="H321" s="31">
        <f t="shared" si="124"/>
        <v>0</v>
      </c>
      <c r="I321" s="32">
        <f t="shared" si="125"/>
        <v>3</v>
      </c>
      <c r="N321" t="s">
        <v>100</v>
      </c>
      <c r="R321" s="32" t="str">
        <f t="shared" si="126"/>
        <v>5)Hex(4)Fuc(1)Sulfo(3)</v>
      </c>
      <c r="S321" s="32" t="str">
        <f t="shared" si="127"/>
        <v>4)Fuc(1)Sulfo(3)</v>
      </c>
      <c r="T321" s="32" t="str">
        <f t="shared" si="128"/>
        <v>1)Sulfo(3)</v>
      </c>
      <c r="U321" s="32">
        <f t="shared" si="129"/>
        <v>0</v>
      </c>
      <c r="V321" s="32">
        <f t="shared" si="130"/>
        <v>0</v>
      </c>
      <c r="W321" s="32">
        <f t="shared" si="131"/>
        <v>0</v>
      </c>
      <c r="X321" s="32" t="str">
        <f t="shared" si="132"/>
        <v>3)</v>
      </c>
      <c r="Y321" s="32">
        <f t="shared" si="133"/>
        <v>0</v>
      </c>
      <c r="Z321" s="32">
        <f t="shared" si="134"/>
        <v>0</v>
      </c>
    </row>
    <row r="322" spans="1:26" x14ac:dyDescent="0.25">
      <c r="A322" s="30" t="str">
        <f t="shared" si="117"/>
        <v>5</v>
      </c>
      <c r="B322" s="30" t="str">
        <f t="shared" si="118"/>
        <v>4</v>
      </c>
      <c r="C322" s="30" t="str">
        <f t="shared" si="119"/>
        <v>1</v>
      </c>
      <c r="D322" s="31">
        <f t="shared" si="120"/>
        <v>1</v>
      </c>
      <c r="E322" s="31">
        <f t="shared" si="121"/>
        <v>0</v>
      </c>
      <c r="F322" s="32">
        <f t="shared" si="122"/>
        <v>1</v>
      </c>
      <c r="G322" s="31">
        <f t="shared" si="123"/>
        <v>1</v>
      </c>
      <c r="H322" s="31">
        <f t="shared" si="124"/>
        <v>0</v>
      </c>
      <c r="I322" s="32">
        <f t="shared" si="125"/>
        <v>1</v>
      </c>
      <c r="N322" t="s">
        <v>101</v>
      </c>
      <c r="R322" s="32" t="str">
        <f t="shared" si="126"/>
        <v>5)Hex(4)Fuc(1)NeuAc(1)Sulfo(1)</v>
      </c>
      <c r="S322" s="32" t="str">
        <f t="shared" si="127"/>
        <v>4)Fuc(1)NeuAc(1)Sulfo(1)</v>
      </c>
      <c r="T322" s="32" t="str">
        <f t="shared" si="128"/>
        <v>1)NeuAc(1)Sulfo(1)</v>
      </c>
      <c r="U322" s="32" t="str">
        <f t="shared" si="129"/>
        <v>1)Sulfo(1)</v>
      </c>
      <c r="V322" s="32">
        <f t="shared" si="130"/>
        <v>0</v>
      </c>
      <c r="W322" s="32">
        <f t="shared" si="131"/>
        <v>0</v>
      </c>
      <c r="X322" s="32" t="str">
        <f t="shared" si="132"/>
        <v>1)</v>
      </c>
      <c r="Y322" s="32">
        <f t="shared" si="133"/>
        <v>0</v>
      </c>
      <c r="Z322" s="32">
        <f t="shared" si="134"/>
        <v>0</v>
      </c>
    </row>
    <row r="323" spans="1:26" x14ac:dyDescent="0.25">
      <c r="A323" s="30" t="str">
        <f t="shared" si="117"/>
        <v>5</v>
      </c>
      <c r="B323" s="30" t="str">
        <f t="shared" si="118"/>
        <v>4</v>
      </c>
      <c r="C323" s="30" t="str">
        <f t="shared" si="119"/>
        <v>1</v>
      </c>
      <c r="D323" s="31">
        <f t="shared" si="120"/>
        <v>1</v>
      </c>
      <c r="E323" s="31">
        <f t="shared" si="121"/>
        <v>0</v>
      </c>
      <c r="F323" s="32">
        <f t="shared" si="122"/>
        <v>1</v>
      </c>
      <c r="G323" s="31">
        <f t="shared" si="123"/>
        <v>2</v>
      </c>
      <c r="H323" s="31">
        <f t="shared" si="124"/>
        <v>0</v>
      </c>
      <c r="I323" s="32">
        <f t="shared" si="125"/>
        <v>2</v>
      </c>
      <c r="N323" t="s">
        <v>102</v>
      </c>
      <c r="R323" s="32" t="str">
        <f t="shared" si="126"/>
        <v>5)Hex(4)Fuc(1)NeuAc(1)Sulfo(2)</v>
      </c>
      <c r="S323" s="32" t="str">
        <f t="shared" si="127"/>
        <v>4)Fuc(1)NeuAc(1)Sulfo(2)</v>
      </c>
      <c r="T323" s="32" t="str">
        <f t="shared" si="128"/>
        <v>1)NeuAc(1)Sulfo(2)</v>
      </c>
      <c r="U323" s="32" t="str">
        <f t="shared" si="129"/>
        <v>1)Sulfo(2)</v>
      </c>
      <c r="V323" s="32">
        <f t="shared" si="130"/>
        <v>0</v>
      </c>
      <c r="W323" s="32">
        <f t="shared" si="131"/>
        <v>0</v>
      </c>
      <c r="X323" s="32" t="str">
        <f t="shared" si="132"/>
        <v>2)</v>
      </c>
      <c r="Y323" s="32">
        <f t="shared" si="133"/>
        <v>0</v>
      </c>
      <c r="Z323" s="32">
        <f t="shared" si="134"/>
        <v>0</v>
      </c>
    </row>
    <row r="324" spans="1:26" x14ac:dyDescent="0.25">
      <c r="A324" s="30" t="str">
        <f t="shared" si="117"/>
        <v>5</v>
      </c>
      <c r="B324" s="30" t="str">
        <f t="shared" si="118"/>
        <v>4</v>
      </c>
      <c r="C324" s="30" t="str">
        <f t="shared" si="119"/>
        <v>1</v>
      </c>
      <c r="D324" s="31">
        <f t="shared" si="120"/>
        <v>1</v>
      </c>
      <c r="E324" s="31">
        <f t="shared" si="121"/>
        <v>0</v>
      </c>
      <c r="F324" s="32">
        <f t="shared" si="122"/>
        <v>1</v>
      </c>
      <c r="G324" s="31">
        <f t="shared" si="123"/>
        <v>3</v>
      </c>
      <c r="H324" s="31">
        <f t="shared" si="124"/>
        <v>0</v>
      </c>
      <c r="I324" s="32">
        <f t="shared" si="125"/>
        <v>3</v>
      </c>
      <c r="N324" t="s">
        <v>103</v>
      </c>
      <c r="R324" s="32" t="str">
        <f t="shared" si="126"/>
        <v>5)Hex(4)Fuc(1)NeuAc(1)Sulfo(3)</v>
      </c>
      <c r="S324" s="32" t="str">
        <f t="shared" si="127"/>
        <v>4)Fuc(1)NeuAc(1)Sulfo(3)</v>
      </c>
      <c r="T324" s="32" t="str">
        <f t="shared" si="128"/>
        <v>1)NeuAc(1)Sulfo(3)</v>
      </c>
      <c r="U324" s="32" t="str">
        <f t="shared" si="129"/>
        <v>1)Sulfo(3)</v>
      </c>
      <c r="V324" s="32">
        <f t="shared" si="130"/>
        <v>0</v>
      </c>
      <c r="W324" s="32">
        <f t="shared" si="131"/>
        <v>0</v>
      </c>
      <c r="X324" s="32" t="str">
        <f t="shared" si="132"/>
        <v>3)</v>
      </c>
      <c r="Y324" s="32">
        <f t="shared" si="133"/>
        <v>0</v>
      </c>
      <c r="Z324" s="32">
        <f t="shared" si="134"/>
        <v>0</v>
      </c>
    </row>
    <row r="325" spans="1:26" x14ac:dyDescent="0.25">
      <c r="A325" s="30" t="str">
        <f t="shared" si="117"/>
        <v>5</v>
      </c>
      <c r="B325" s="30" t="str">
        <f t="shared" si="118"/>
        <v>4</v>
      </c>
      <c r="C325" s="30" t="str">
        <f t="shared" si="119"/>
        <v>2</v>
      </c>
      <c r="D325" s="31">
        <f t="shared" si="120"/>
        <v>0</v>
      </c>
      <c r="E325" s="31">
        <f t="shared" si="121"/>
        <v>0</v>
      </c>
      <c r="F325" s="32">
        <f t="shared" si="122"/>
        <v>0</v>
      </c>
      <c r="G325" s="31">
        <f t="shared" si="123"/>
        <v>1</v>
      </c>
      <c r="H325" s="31">
        <f t="shared" si="124"/>
        <v>0</v>
      </c>
      <c r="I325" s="32">
        <f t="shared" si="125"/>
        <v>1</v>
      </c>
      <c r="N325" t="s">
        <v>104</v>
      </c>
      <c r="R325" s="32" t="str">
        <f t="shared" si="126"/>
        <v>5)Hex(4)Fuc(2)Sulfo(1)</v>
      </c>
      <c r="S325" s="32" t="str">
        <f t="shared" si="127"/>
        <v>4)Fuc(2)Sulfo(1)</v>
      </c>
      <c r="T325" s="32" t="str">
        <f t="shared" si="128"/>
        <v>2)Sulfo(1)</v>
      </c>
      <c r="U325" s="32">
        <f t="shared" si="129"/>
        <v>0</v>
      </c>
      <c r="V325" s="32">
        <f t="shared" si="130"/>
        <v>0</v>
      </c>
      <c r="W325" s="32">
        <f t="shared" si="131"/>
        <v>0</v>
      </c>
      <c r="X325" s="32" t="str">
        <f t="shared" si="132"/>
        <v>1)</v>
      </c>
      <c r="Y325" s="32">
        <f t="shared" si="133"/>
        <v>0</v>
      </c>
      <c r="Z325" s="32">
        <f t="shared" si="134"/>
        <v>0</v>
      </c>
    </row>
    <row r="326" spans="1:26" x14ac:dyDescent="0.25">
      <c r="A326" s="30" t="str">
        <f t="shared" si="117"/>
        <v>5</v>
      </c>
      <c r="B326" s="30" t="str">
        <f t="shared" si="118"/>
        <v>4</v>
      </c>
      <c r="C326" s="30" t="str">
        <f t="shared" si="119"/>
        <v>2</v>
      </c>
      <c r="D326" s="31">
        <f t="shared" si="120"/>
        <v>0</v>
      </c>
      <c r="E326" s="31">
        <f t="shared" si="121"/>
        <v>0</v>
      </c>
      <c r="F326" s="32">
        <f t="shared" si="122"/>
        <v>0</v>
      </c>
      <c r="G326" s="31">
        <f t="shared" si="123"/>
        <v>2</v>
      </c>
      <c r="H326" s="31">
        <f t="shared" si="124"/>
        <v>0</v>
      </c>
      <c r="I326" s="32">
        <f t="shared" si="125"/>
        <v>2</v>
      </c>
      <c r="N326" t="s">
        <v>105</v>
      </c>
      <c r="R326" s="32" t="str">
        <f t="shared" si="126"/>
        <v>5)Hex(4)Fuc(2)Sulfo(2)</v>
      </c>
      <c r="S326" s="32" t="str">
        <f t="shared" si="127"/>
        <v>4)Fuc(2)Sulfo(2)</v>
      </c>
      <c r="T326" s="32" t="str">
        <f t="shared" si="128"/>
        <v>2)Sulfo(2)</v>
      </c>
      <c r="U326" s="32">
        <f t="shared" si="129"/>
        <v>0</v>
      </c>
      <c r="V326" s="32">
        <f t="shared" si="130"/>
        <v>0</v>
      </c>
      <c r="W326" s="32">
        <f t="shared" si="131"/>
        <v>0</v>
      </c>
      <c r="X326" s="32" t="str">
        <f t="shared" si="132"/>
        <v>2)</v>
      </c>
      <c r="Y326" s="32">
        <f t="shared" si="133"/>
        <v>0</v>
      </c>
      <c r="Z326" s="32">
        <f t="shared" si="134"/>
        <v>0</v>
      </c>
    </row>
    <row r="327" spans="1:26" x14ac:dyDescent="0.25">
      <c r="A327" s="30" t="str">
        <f t="shared" si="117"/>
        <v>5</v>
      </c>
      <c r="B327" s="30" t="str">
        <f t="shared" si="118"/>
        <v>4</v>
      </c>
      <c r="C327" s="30" t="str">
        <f t="shared" si="119"/>
        <v>2</v>
      </c>
      <c r="D327" s="31">
        <f t="shared" si="120"/>
        <v>0</v>
      </c>
      <c r="E327" s="31">
        <f t="shared" si="121"/>
        <v>0</v>
      </c>
      <c r="F327" s="32">
        <f t="shared" si="122"/>
        <v>0</v>
      </c>
      <c r="G327" s="31">
        <f t="shared" si="123"/>
        <v>3</v>
      </c>
      <c r="H327" s="31">
        <f t="shared" si="124"/>
        <v>0</v>
      </c>
      <c r="I327" s="32">
        <f t="shared" si="125"/>
        <v>3</v>
      </c>
      <c r="N327" t="s">
        <v>106</v>
      </c>
      <c r="R327" s="32" t="str">
        <f t="shared" si="126"/>
        <v>5)Hex(4)Fuc(2)Sulfo(3)</v>
      </c>
      <c r="S327" s="32" t="str">
        <f t="shared" si="127"/>
        <v>4)Fuc(2)Sulfo(3)</v>
      </c>
      <c r="T327" s="32" t="str">
        <f t="shared" si="128"/>
        <v>2)Sulfo(3)</v>
      </c>
      <c r="U327" s="32">
        <f t="shared" si="129"/>
        <v>0</v>
      </c>
      <c r="V327" s="32">
        <f t="shared" si="130"/>
        <v>0</v>
      </c>
      <c r="W327" s="32">
        <f t="shared" si="131"/>
        <v>0</v>
      </c>
      <c r="X327" s="32" t="str">
        <f t="shared" si="132"/>
        <v>3)</v>
      </c>
      <c r="Y327" s="32">
        <f t="shared" si="133"/>
        <v>0</v>
      </c>
      <c r="Z327" s="32">
        <f t="shared" si="134"/>
        <v>0</v>
      </c>
    </row>
    <row r="328" spans="1:26" x14ac:dyDescent="0.25">
      <c r="A328" s="30" t="str">
        <f t="shared" si="117"/>
        <v>6</v>
      </c>
      <c r="B328" s="30" t="str">
        <f t="shared" si="118"/>
        <v>3</v>
      </c>
      <c r="C328" s="30" t="str">
        <f t="shared" si="119"/>
        <v>2</v>
      </c>
      <c r="D328" s="31">
        <f t="shared" si="120"/>
        <v>0</v>
      </c>
      <c r="E328" s="31">
        <f t="shared" si="121"/>
        <v>0</v>
      </c>
      <c r="F328" s="32">
        <f t="shared" si="122"/>
        <v>0</v>
      </c>
      <c r="G328" s="31">
        <f t="shared" si="123"/>
        <v>1</v>
      </c>
      <c r="H328" s="31">
        <f t="shared" si="124"/>
        <v>0</v>
      </c>
      <c r="I328" s="32">
        <f t="shared" si="125"/>
        <v>1</v>
      </c>
      <c r="N328" t="s">
        <v>107</v>
      </c>
      <c r="R328" s="32" t="str">
        <f t="shared" si="126"/>
        <v>6)Hex(3)Fuc(2)Sulfo(1)</v>
      </c>
      <c r="S328" s="32" t="str">
        <f t="shared" si="127"/>
        <v>3)Fuc(2)Sulfo(1)</v>
      </c>
      <c r="T328" s="32" t="str">
        <f t="shared" si="128"/>
        <v>2)Sulfo(1)</v>
      </c>
      <c r="U328" s="32">
        <f t="shared" si="129"/>
        <v>0</v>
      </c>
      <c r="V328" s="32">
        <f t="shared" si="130"/>
        <v>0</v>
      </c>
      <c r="W328" s="32">
        <f t="shared" si="131"/>
        <v>0</v>
      </c>
      <c r="X328" s="32" t="str">
        <f t="shared" si="132"/>
        <v>1)</v>
      </c>
      <c r="Y328" s="32">
        <f t="shared" si="133"/>
        <v>0</v>
      </c>
      <c r="Z328" s="32">
        <f t="shared" si="134"/>
        <v>0</v>
      </c>
    </row>
    <row r="329" spans="1:26" x14ac:dyDescent="0.25">
      <c r="A329" s="30" t="str">
        <f t="shared" si="117"/>
        <v>6</v>
      </c>
      <c r="B329" s="30" t="str">
        <f t="shared" si="118"/>
        <v>3</v>
      </c>
      <c r="C329" s="30" t="str">
        <f t="shared" si="119"/>
        <v>2</v>
      </c>
      <c r="D329" s="31">
        <f t="shared" si="120"/>
        <v>0</v>
      </c>
      <c r="E329" s="31">
        <f t="shared" si="121"/>
        <v>0</v>
      </c>
      <c r="F329" s="32">
        <f t="shared" si="122"/>
        <v>0</v>
      </c>
      <c r="G329" s="31">
        <f t="shared" si="123"/>
        <v>2</v>
      </c>
      <c r="H329" s="31">
        <f t="shared" si="124"/>
        <v>0</v>
      </c>
      <c r="I329" s="32">
        <f t="shared" si="125"/>
        <v>2</v>
      </c>
      <c r="N329" t="s">
        <v>108</v>
      </c>
      <c r="R329" s="32" t="str">
        <f t="shared" si="126"/>
        <v>6)Hex(3)Fuc(2)Sulfo(2)</v>
      </c>
      <c r="S329" s="32" t="str">
        <f t="shared" si="127"/>
        <v>3)Fuc(2)Sulfo(2)</v>
      </c>
      <c r="T329" s="32" t="str">
        <f t="shared" si="128"/>
        <v>2)Sulfo(2)</v>
      </c>
      <c r="U329" s="32">
        <f t="shared" si="129"/>
        <v>0</v>
      </c>
      <c r="V329" s="32">
        <f t="shared" si="130"/>
        <v>0</v>
      </c>
      <c r="W329" s="32">
        <f t="shared" si="131"/>
        <v>0</v>
      </c>
      <c r="X329" s="32" t="str">
        <f t="shared" si="132"/>
        <v>2)</v>
      </c>
      <c r="Y329" s="32">
        <f t="shared" si="133"/>
        <v>0</v>
      </c>
      <c r="Z329" s="32">
        <f t="shared" si="134"/>
        <v>0</v>
      </c>
    </row>
    <row r="330" spans="1:26" x14ac:dyDescent="0.25">
      <c r="A330" s="30" t="str">
        <f t="shared" si="117"/>
        <v>6</v>
      </c>
      <c r="B330" s="30" t="str">
        <f t="shared" si="118"/>
        <v>3</v>
      </c>
      <c r="C330" s="30" t="str">
        <f t="shared" si="119"/>
        <v>2</v>
      </c>
      <c r="D330" s="31">
        <f t="shared" si="120"/>
        <v>0</v>
      </c>
      <c r="E330" s="31">
        <f t="shared" si="121"/>
        <v>0</v>
      </c>
      <c r="F330" s="32">
        <f t="shared" si="122"/>
        <v>0</v>
      </c>
      <c r="G330" s="31">
        <f t="shared" si="123"/>
        <v>3</v>
      </c>
      <c r="H330" s="31">
        <f t="shared" si="124"/>
        <v>0</v>
      </c>
      <c r="I330" s="32">
        <f t="shared" si="125"/>
        <v>3</v>
      </c>
      <c r="N330" t="s">
        <v>109</v>
      </c>
      <c r="R330" s="32" t="str">
        <f t="shared" si="126"/>
        <v>6)Hex(3)Fuc(2)Sulfo(3)</v>
      </c>
      <c r="S330" s="32" t="str">
        <f t="shared" si="127"/>
        <v>3)Fuc(2)Sulfo(3)</v>
      </c>
      <c r="T330" s="32" t="str">
        <f t="shared" si="128"/>
        <v>2)Sulfo(3)</v>
      </c>
      <c r="U330" s="32">
        <f t="shared" si="129"/>
        <v>0</v>
      </c>
      <c r="V330" s="32">
        <f t="shared" si="130"/>
        <v>0</v>
      </c>
      <c r="W330" s="32">
        <f t="shared" si="131"/>
        <v>0</v>
      </c>
      <c r="X330" s="32" t="str">
        <f t="shared" si="132"/>
        <v>3)</v>
      </c>
      <c r="Y330" s="32">
        <f t="shared" si="133"/>
        <v>0</v>
      </c>
      <c r="Z330" s="32">
        <f t="shared" si="134"/>
        <v>0</v>
      </c>
    </row>
    <row r="331" spans="1:26" x14ac:dyDescent="0.25">
      <c r="A331" s="30" t="str">
        <f t="shared" ref="A331:A394" si="135">IFERROR(LEFT(R331,FIND(")",R331)-1),0)</f>
        <v>6</v>
      </c>
      <c r="B331" s="30" t="str">
        <f t="shared" ref="B331:B394" si="136">IFERROR(LEFT(S331,FIND(")",S331)-1),0)</f>
        <v>5</v>
      </c>
      <c r="C331" s="30" t="str">
        <f t="shared" ref="C331:C394" si="137">IFERROR(LEFT(T331,FIND(")",T331)-1),0)</f>
        <v>1</v>
      </c>
      <c r="D331" s="31">
        <f t="shared" ref="D331:D394" si="138">VALUE(IFERROR(LEFT(U331,FIND(")",U331)-1),0))</f>
        <v>1</v>
      </c>
      <c r="E331" s="31">
        <f t="shared" ref="E331:E394" si="139">VALUE(IFERROR(LEFT(V331,FIND(")",V331)-1),0))</f>
        <v>0</v>
      </c>
      <c r="F331" s="32">
        <f t="shared" ref="F331:F394" si="140">SUM(D331:E331)</f>
        <v>1</v>
      </c>
      <c r="G331" s="31">
        <f t="shared" ref="G331:G394" si="141">VALUE(IFERROR(LEFT(X331,FIND(")",X331)-1),0))</f>
        <v>1</v>
      </c>
      <c r="H331" s="31">
        <f t="shared" ref="H331:H394" si="142">VALUE(IFERROR(LEFT(Y331,FIND(")",Y331)-1),0))</f>
        <v>0</v>
      </c>
      <c r="I331" s="32">
        <f t="shared" ref="I331:I394" si="143">SUM(G331:H331)</f>
        <v>1</v>
      </c>
      <c r="N331" t="s">
        <v>110</v>
      </c>
      <c r="R331" s="32" t="str">
        <f t="shared" si="126"/>
        <v>6)Hex(5)Fuc(1)NeuAc(1)Sulfo(1)</v>
      </c>
      <c r="S331" s="32" t="str">
        <f t="shared" si="127"/>
        <v>5)Fuc(1)NeuAc(1)Sulfo(1)</v>
      </c>
      <c r="T331" s="32" t="str">
        <f t="shared" si="128"/>
        <v>1)NeuAc(1)Sulfo(1)</v>
      </c>
      <c r="U331" s="32" t="str">
        <f t="shared" si="129"/>
        <v>1)Sulfo(1)</v>
      </c>
      <c r="V331" s="32">
        <f t="shared" si="130"/>
        <v>0</v>
      </c>
      <c r="W331" s="32">
        <f t="shared" si="131"/>
        <v>0</v>
      </c>
      <c r="X331" s="32" t="str">
        <f t="shared" si="132"/>
        <v>1)</v>
      </c>
      <c r="Y331" s="32">
        <f t="shared" si="133"/>
        <v>0</v>
      </c>
      <c r="Z331" s="32">
        <f t="shared" si="134"/>
        <v>0</v>
      </c>
    </row>
    <row r="332" spans="1:26" x14ac:dyDescent="0.25">
      <c r="A332" s="30" t="str">
        <f t="shared" si="135"/>
        <v>6</v>
      </c>
      <c r="B332" s="30" t="str">
        <f t="shared" si="136"/>
        <v>5</v>
      </c>
      <c r="C332" s="30" t="str">
        <f t="shared" si="137"/>
        <v>1</v>
      </c>
      <c r="D332" s="31">
        <f t="shared" si="138"/>
        <v>1</v>
      </c>
      <c r="E332" s="31">
        <f t="shared" si="139"/>
        <v>0</v>
      </c>
      <c r="F332" s="32">
        <f t="shared" si="140"/>
        <v>1</v>
      </c>
      <c r="G332" s="31">
        <f t="shared" si="141"/>
        <v>2</v>
      </c>
      <c r="H332" s="31">
        <f t="shared" si="142"/>
        <v>0</v>
      </c>
      <c r="I332" s="32">
        <f t="shared" si="143"/>
        <v>2</v>
      </c>
      <c r="N332" t="s">
        <v>111</v>
      </c>
      <c r="R332" s="32" t="str">
        <f t="shared" si="126"/>
        <v>6)Hex(5)Fuc(1)NeuAc(1)Sulfo(2)</v>
      </c>
      <c r="S332" s="32" t="str">
        <f t="shared" si="127"/>
        <v>5)Fuc(1)NeuAc(1)Sulfo(2)</v>
      </c>
      <c r="T332" s="32" t="str">
        <f t="shared" si="128"/>
        <v>1)NeuAc(1)Sulfo(2)</v>
      </c>
      <c r="U332" s="32" t="str">
        <f t="shared" si="129"/>
        <v>1)Sulfo(2)</v>
      </c>
      <c r="V332" s="32">
        <f t="shared" si="130"/>
        <v>0</v>
      </c>
      <c r="W332" s="32">
        <f t="shared" si="131"/>
        <v>0</v>
      </c>
      <c r="X332" s="32" t="str">
        <f t="shared" si="132"/>
        <v>2)</v>
      </c>
      <c r="Y332" s="32">
        <f t="shared" si="133"/>
        <v>0</v>
      </c>
      <c r="Z332" s="32">
        <f t="shared" si="134"/>
        <v>0</v>
      </c>
    </row>
    <row r="333" spans="1:26" x14ac:dyDescent="0.25">
      <c r="A333" s="30" t="str">
        <f t="shared" si="135"/>
        <v>6</v>
      </c>
      <c r="B333" s="30" t="str">
        <f t="shared" si="136"/>
        <v>5</v>
      </c>
      <c r="C333" s="30" t="str">
        <f t="shared" si="137"/>
        <v>1</v>
      </c>
      <c r="D333" s="31">
        <f t="shared" si="138"/>
        <v>1</v>
      </c>
      <c r="E333" s="31">
        <f t="shared" si="139"/>
        <v>0</v>
      </c>
      <c r="F333" s="32">
        <f t="shared" si="140"/>
        <v>1</v>
      </c>
      <c r="G333" s="31">
        <f t="shared" si="141"/>
        <v>3</v>
      </c>
      <c r="H333" s="31">
        <f t="shared" si="142"/>
        <v>0</v>
      </c>
      <c r="I333" s="32">
        <f t="shared" si="143"/>
        <v>3</v>
      </c>
      <c r="N333" t="s">
        <v>112</v>
      </c>
      <c r="R333" s="32" t="str">
        <f t="shared" si="126"/>
        <v>6)Hex(5)Fuc(1)NeuAc(1)Sulfo(3)</v>
      </c>
      <c r="S333" s="32" t="str">
        <f t="shared" si="127"/>
        <v>5)Fuc(1)NeuAc(1)Sulfo(3)</v>
      </c>
      <c r="T333" s="32" t="str">
        <f t="shared" si="128"/>
        <v>1)NeuAc(1)Sulfo(3)</v>
      </c>
      <c r="U333" s="32" t="str">
        <f t="shared" si="129"/>
        <v>1)Sulfo(3)</v>
      </c>
      <c r="V333" s="32">
        <f t="shared" si="130"/>
        <v>0</v>
      </c>
      <c r="W333" s="32">
        <f t="shared" si="131"/>
        <v>0</v>
      </c>
      <c r="X333" s="32" t="str">
        <f t="shared" si="132"/>
        <v>3)</v>
      </c>
      <c r="Y333" s="32">
        <f t="shared" si="133"/>
        <v>0</v>
      </c>
      <c r="Z333" s="32">
        <f t="shared" si="134"/>
        <v>0</v>
      </c>
    </row>
    <row r="334" spans="1:26" x14ac:dyDescent="0.25">
      <c r="A334" s="30" t="str">
        <f t="shared" si="135"/>
        <v>6</v>
      </c>
      <c r="B334" s="30" t="str">
        <f t="shared" si="136"/>
        <v>5</v>
      </c>
      <c r="C334" s="30" t="str">
        <f t="shared" si="137"/>
        <v>1</v>
      </c>
      <c r="D334" s="31">
        <f t="shared" si="138"/>
        <v>2</v>
      </c>
      <c r="E334" s="31">
        <f t="shared" si="139"/>
        <v>0</v>
      </c>
      <c r="F334" s="32">
        <f t="shared" si="140"/>
        <v>2</v>
      </c>
      <c r="G334" s="31">
        <f t="shared" si="141"/>
        <v>1</v>
      </c>
      <c r="H334" s="31">
        <f t="shared" si="142"/>
        <v>0</v>
      </c>
      <c r="I334" s="32">
        <f t="shared" si="143"/>
        <v>1</v>
      </c>
      <c r="N334" t="s">
        <v>113</v>
      </c>
      <c r="R334" s="32" t="str">
        <f t="shared" ref="R334:R397" si="144">IFERROR(MID($N334,SEARCH(A$1&amp;"(",$N334)+LEN(A$1)+1,LEN($N334)),0)</f>
        <v>6)Hex(5)Fuc(1)NeuAc(2)Sulfo(1)</v>
      </c>
      <c r="S334" s="32" t="str">
        <f t="shared" ref="S334:S397" si="145">IFERROR(MID($N334,SEARCH(B$1&amp;"(",$N334)+LEN(B$1)+1,LEN($N334)),0)</f>
        <v>5)Fuc(1)NeuAc(2)Sulfo(1)</v>
      </c>
      <c r="T334" s="32" t="str">
        <f t="shared" ref="T334:T397" si="146">IFERROR(MID($N334,SEARCH(C$1&amp;"(",$N334)+LEN(C$1)+1,LEN($N334)),0)</f>
        <v>1)NeuAc(2)Sulfo(1)</v>
      </c>
      <c r="U334" s="32" t="str">
        <f t="shared" ref="U334:U397" si="147">IFERROR(MID($N334,SEARCH(D$1&amp;"(",$N334)+LEN(D$1)+1,LEN($N334)),0)</f>
        <v>2)Sulfo(1)</v>
      </c>
      <c r="V334" s="32">
        <f t="shared" ref="V334:V397" si="148">IFERROR(MID($N334,SEARCH(E$1&amp;"(",$N334)+LEN(E$1)+1,LEN($N334)),0)</f>
        <v>0</v>
      </c>
      <c r="W334" s="32">
        <f t="shared" ref="W334:W397" si="149">IFERROR(MID($N334,SEARCH(F$1&amp;"(",$N334)+LEN(F$1)+1,LEN($N334)),0)</f>
        <v>0</v>
      </c>
      <c r="X334" s="32" t="str">
        <f t="shared" ref="X334:X397" si="150">IFERROR(MID($N334,SEARCH(G$1&amp;"(",$N334)+LEN(G$1)+1,LEN($N334)),0)</f>
        <v>1)</v>
      </c>
      <c r="Y334" s="32">
        <f t="shared" ref="Y334:Y397" si="151">IFERROR(MID($N334,SEARCH(H$1&amp;"(",$N334)+LEN(H$1)+1,LEN($N334)),0)</f>
        <v>0</v>
      </c>
      <c r="Z334" s="32">
        <f t="shared" ref="Z334:Z397" si="152">IFERROR(MID($N334,SEARCH(I$1&amp;"(",$N334)+LEN(I$1)+1,LEN($N334)),0)</f>
        <v>0</v>
      </c>
    </row>
    <row r="335" spans="1:26" x14ac:dyDescent="0.25">
      <c r="A335" s="30" t="str">
        <f t="shared" si="135"/>
        <v>6</v>
      </c>
      <c r="B335" s="30" t="str">
        <f t="shared" si="136"/>
        <v>5</v>
      </c>
      <c r="C335" s="30" t="str">
        <f t="shared" si="137"/>
        <v>1</v>
      </c>
      <c r="D335" s="31">
        <f t="shared" si="138"/>
        <v>2</v>
      </c>
      <c r="E335" s="31">
        <f t="shared" si="139"/>
        <v>0</v>
      </c>
      <c r="F335" s="32">
        <f t="shared" si="140"/>
        <v>2</v>
      </c>
      <c r="G335" s="31">
        <f t="shared" si="141"/>
        <v>2</v>
      </c>
      <c r="H335" s="31">
        <f t="shared" si="142"/>
        <v>0</v>
      </c>
      <c r="I335" s="32">
        <f t="shared" si="143"/>
        <v>2</v>
      </c>
      <c r="N335" t="s">
        <v>114</v>
      </c>
      <c r="R335" s="32" t="str">
        <f t="shared" si="144"/>
        <v>6)Hex(5)Fuc(1)NeuAc(2)Sulfo(2)</v>
      </c>
      <c r="S335" s="32" t="str">
        <f t="shared" si="145"/>
        <v>5)Fuc(1)NeuAc(2)Sulfo(2)</v>
      </c>
      <c r="T335" s="32" t="str">
        <f t="shared" si="146"/>
        <v>1)NeuAc(2)Sulfo(2)</v>
      </c>
      <c r="U335" s="32" t="str">
        <f t="shared" si="147"/>
        <v>2)Sulfo(2)</v>
      </c>
      <c r="V335" s="32">
        <f t="shared" si="148"/>
        <v>0</v>
      </c>
      <c r="W335" s="32">
        <f t="shared" si="149"/>
        <v>0</v>
      </c>
      <c r="X335" s="32" t="str">
        <f t="shared" si="150"/>
        <v>2)</v>
      </c>
      <c r="Y335" s="32">
        <f t="shared" si="151"/>
        <v>0</v>
      </c>
      <c r="Z335" s="32">
        <f t="shared" si="152"/>
        <v>0</v>
      </c>
    </row>
    <row r="336" spans="1:26" x14ac:dyDescent="0.25">
      <c r="A336" s="30" t="str">
        <f t="shared" si="135"/>
        <v>6</v>
      </c>
      <c r="B336" s="30" t="str">
        <f t="shared" si="136"/>
        <v>5</v>
      </c>
      <c r="C336" s="30" t="str">
        <f t="shared" si="137"/>
        <v>1</v>
      </c>
      <c r="D336" s="31">
        <f t="shared" si="138"/>
        <v>2</v>
      </c>
      <c r="E336" s="31">
        <f t="shared" si="139"/>
        <v>0</v>
      </c>
      <c r="F336" s="32">
        <f t="shared" si="140"/>
        <v>2</v>
      </c>
      <c r="G336" s="31">
        <f t="shared" si="141"/>
        <v>3</v>
      </c>
      <c r="H336" s="31">
        <f t="shared" si="142"/>
        <v>0</v>
      </c>
      <c r="I336" s="32">
        <f t="shared" si="143"/>
        <v>3</v>
      </c>
      <c r="N336" t="s">
        <v>115</v>
      </c>
      <c r="R336" s="32" t="str">
        <f t="shared" si="144"/>
        <v>6)Hex(5)Fuc(1)NeuAc(2)Sulfo(3)</v>
      </c>
      <c r="S336" s="32" t="str">
        <f t="shared" si="145"/>
        <v>5)Fuc(1)NeuAc(2)Sulfo(3)</v>
      </c>
      <c r="T336" s="32" t="str">
        <f t="shared" si="146"/>
        <v>1)NeuAc(2)Sulfo(3)</v>
      </c>
      <c r="U336" s="32" t="str">
        <f t="shared" si="147"/>
        <v>2)Sulfo(3)</v>
      </c>
      <c r="V336" s="32">
        <f t="shared" si="148"/>
        <v>0</v>
      </c>
      <c r="W336" s="32">
        <f t="shared" si="149"/>
        <v>0</v>
      </c>
      <c r="X336" s="32" t="str">
        <f t="shared" si="150"/>
        <v>3)</v>
      </c>
      <c r="Y336" s="32">
        <f t="shared" si="151"/>
        <v>0</v>
      </c>
      <c r="Z336" s="32">
        <f t="shared" si="152"/>
        <v>0</v>
      </c>
    </row>
    <row r="337" spans="1:26" x14ac:dyDescent="0.25">
      <c r="A337" s="30" t="str">
        <f t="shared" si="135"/>
        <v>7</v>
      </c>
      <c r="B337" s="30" t="str">
        <f t="shared" si="136"/>
        <v>3</v>
      </c>
      <c r="C337" s="30" t="str">
        <f t="shared" si="137"/>
        <v>1</v>
      </c>
      <c r="D337" s="31">
        <f t="shared" si="138"/>
        <v>0</v>
      </c>
      <c r="E337" s="31">
        <f t="shared" si="139"/>
        <v>0</v>
      </c>
      <c r="F337" s="32">
        <f t="shared" si="140"/>
        <v>0</v>
      </c>
      <c r="G337" s="31">
        <f t="shared" si="141"/>
        <v>1</v>
      </c>
      <c r="H337" s="31">
        <f t="shared" si="142"/>
        <v>0</v>
      </c>
      <c r="I337" s="32">
        <f t="shared" si="143"/>
        <v>1</v>
      </c>
      <c r="N337" t="s">
        <v>116</v>
      </c>
      <c r="R337" s="32" t="str">
        <f t="shared" si="144"/>
        <v>7)Hex(3)Fuc(1)Sulfo(1)</v>
      </c>
      <c r="S337" s="32" t="str">
        <f t="shared" si="145"/>
        <v>3)Fuc(1)Sulfo(1)</v>
      </c>
      <c r="T337" s="32" t="str">
        <f t="shared" si="146"/>
        <v>1)Sulfo(1)</v>
      </c>
      <c r="U337" s="32">
        <f t="shared" si="147"/>
        <v>0</v>
      </c>
      <c r="V337" s="32">
        <f t="shared" si="148"/>
        <v>0</v>
      </c>
      <c r="W337" s="32">
        <f t="shared" si="149"/>
        <v>0</v>
      </c>
      <c r="X337" s="32" t="str">
        <f t="shared" si="150"/>
        <v>1)</v>
      </c>
      <c r="Y337" s="32">
        <f t="shared" si="151"/>
        <v>0</v>
      </c>
      <c r="Z337" s="32">
        <f t="shared" si="152"/>
        <v>0</v>
      </c>
    </row>
    <row r="338" spans="1:26" x14ac:dyDescent="0.25">
      <c r="A338" s="30" t="str">
        <f t="shared" si="135"/>
        <v>7</v>
      </c>
      <c r="B338" s="30" t="str">
        <f t="shared" si="136"/>
        <v>4</v>
      </c>
      <c r="C338" s="30" t="str">
        <f t="shared" si="137"/>
        <v>2</v>
      </c>
      <c r="D338" s="31">
        <f t="shared" si="138"/>
        <v>0</v>
      </c>
      <c r="E338" s="31">
        <f t="shared" si="139"/>
        <v>0</v>
      </c>
      <c r="F338" s="32">
        <f t="shared" si="140"/>
        <v>0</v>
      </c>
      <c r="G338" s="31">
        <f t="shared" si="141"/>
        <v>2</v>
      </c>
      <c r="H338" s="31">
        <f t="shared" si="142"/>
        <v>0</v>
      </c>
      <c r="I338" s="32">
        <f t="shared" si="143"/>
        <v>2</v>
      </c>
      <c r="N338" t="s">
        <v>117</v>
      </c>
      <c r="R338" s="32" t="str">
        <f t="shared" si="144"/>
        <v>7)Hex(4)Fuc(2)Sulfo(2)</v>
      </c>
      <c r="S338" s="32" t="str">
        <f t="shared" si="145"/>
        <v>4)Fuc(2)Sulfo(2)</v>
      </c>
      <c r="T338" s="32" t="str">
        <f t="shared" si="146"/>
        <v>2)Sulfo(2)</v>
      </c>
      <c r="U338" s="32">
        <f t="shared" si="147"/>
        <v>0</v>
      </c>
      <c r="V338" s="32">
        <f t="shared" si="148"/>
        <v>0</v>
      </c>
      <c r="W338" s="32">
        <f t="shared" si="149"/>
        <v>0</v>
      </c>
      <c r="X338" s="32" t="str">
        <f t="shared" si="150"/>
        <v>2)</v>
      </c>
      <c r="Y338" s="32">
        <f t="shared" si="151"/>
        <v>0</v>
      </c>
      <c r="Z338" s="32">
        <f t="shared" si="152"/>
        <v>0</v>
      </c>
    </row>
    <row r="339" spans="1:26" x14ac:dyDescent="0.25">
      <c r="A339" s="30" t="str">
        <f t="shared" si="135"/>
        <v>7</v>
      </c>
      <c r="B339" s="30" t="str">
        <f t="shared" si="136"/>
        <v>4</v>
      </c>
      <c r="C339" s="30" t="str">
        <f t="shared" si="137"/>
        <v>2</v>
      </c>
      <c r="D339" s="31">
        <f t="shared" si="138"/>
        <v>0</v>
      </c>
      <c r="E339" s="31">
        <f t="shared" si="139"/>
        <v>0</v>
      </c>
      <c r="F339" s="32">
        <f t="shared" si="140"/>
        <v>0</v>
      </c>
      <c r="G339" s="31">
        <f t="shared" si="141"/>
        <v>3</v>
      </c>
      <c r="H339" s="31">
        <f t="shared" si="142"/>
        <v>0</v>
      </c>
      <c r="I339" s="32">
        <f t="shared" si="143"/>
        <v>3</v>
      </c>
      <c r="N339" t="s">
        <v>118</v>
      </c>
      <c r="R339" s="32" t="str">
        <f t="shared" si="144"/>
        <v>7)Hex(4)Fuc(2)Sulfo(3)</v>
      </c>
      <c r="S339" s="32" t="str">
        <f t="shared" si="145"/>
        <v>4)Fuc(2)Sulfo(3)</v>
      </c>
      <c r="T339" s="32" t="str">
        <f t="shared" si="146"/>
        <v>2)Sulfo(3)</v>
      </c>
      <c r="U339" s="32">
        <f t="shared" si="147"/>
        <v>0</v>
      </c>
      <c r="V339" s="32">
        <f t="shared" si="148"/>
        <v>0</v>
      </c>
      <c r="W339" s="32">
        <f t="shared" si="149"/>
        <v>0</v>
      </c>
      <c r="X339" s="32" t="str">
        <f t="shared" si="150"/>
        <v>3)</v>
      </c>
      <c r="Y339" s="32">
        <f t="shared" si="151"/>
        <v>0</v>
      </c>
      <c r="Z339" s="32">
        <f t="shared" si="152"/>
        <v>0</v>
      </c>
    </row>
    <row r="340" spans="1:26" x14ac:dyDescent="0.25">
      <c r="A340" s="30" t="str">
        <f t="shared" si="135"/>
        <v>7</v>
      </c>
      <c r="B340" s="30" t="str">
        <f t="shared" si="136"/>
        <v>4</v>
      </c>
      <c r="C340" s="30" t="str">
        <f t="shared" si="137"/>
        <v>1</v>
      </c>
      <c r="D340" s="31">
        <f t="shared" si="138"/>
        <v>0</v>
      </c>
      <c r="E340" s="31">
        <f t="shared" si="139"/>
        <v>0</v>
      </c>
      <c r="F340" s="32">
        <f t="shared" si="140"/>
        <v>0</v>
      </c>
      <c r="G340" s="31">
        <f t="shared" si="141"/>
        <v>1</v>
      </c>
      <c r="H340" s="31">
        <f t="shared" si="142"/>
        <v>0</v>
      </c>
      <c r="I340" s="32">
        <f t="shared" si="143"/>
        <v>1</v>
      </c>
      <c r="N340" t="s">
        <v>119</v>
      </c>
      <c r="R340" s="32" t="str">
        <f t="shared" si="144"/>
        <v>7)Hex(4)Fuc(1)Sulfo(1)</v>
      </c>
      <c r="S340" s="32" t="str">
        <f t="shared" si="145"/>
        <v>4)Fuc(1)Sulfo(1)</v>
      </c>
      <c r="T340" s="32" t="str">
        <f t="shared" si="146"/>
        <v>1)Sulfo(1)</v>
      </c>
      <c r="U340" s="32">
        <f t="shared" si="147"/>
        <v>0</v>
      </c>
      <c r="V340" s="32">
        <f t="shared" si="148"/>
        <v>0</v>
      </c>
      <c r="W340" s="32">
        <f t="shared" si="149"/>
        <v>0</v>
      </c>
      <c r="X340" s="32" t="str">
        <f t="shared" si="150"/>
        <v>1)</v>
      </c>
      <c r="Y340" s="32">
        <f t="shared" si="151"/>
        <v>0</v>
      </c>
      <c r="Z340" s="32">
        <f t="shared" si="152"/>
        <v>0</v>
      </c>
    </row>
    <row r="341" spans="1:26" x14ac:dyDescent="0.25">
      <c r="A341" s="30" t="str">
        <f t="shared" si="135"/>
        <v>7</v>
      </c>
      <c r="B341" s="30" t="str">
        <f t="shared" si="136"/>
        <v>4</v>
      </c>
      <c r="C341" s="30" t="str">
        <f t="shared" si="137"/>
        <v>1</v>
      </c>
      <c r="D341" s="31">
        <f t="shared" si="138"/>
        <v>0</v>
      </c>
      <c r="E341" s="31">
        <f t="shared" si="139"/>
        <v>0</v>
      </c>
      <c r="F341" s="32">
        <f t="shared" si="140"/>
        <v>0</v>
      </c>
      <c r="G341" s="31">
        <f t="shared" si="141"/>
        <v>2</v>
      </c>
      <c r="H341" s="31">
        <f t="shared" si="142"/>
        <v>0</v>
      </c>
      <c r="I341" s="32">
        <f t="shared" si="143"/>
        <v>2</v>
      </c>
      <c r="N341" t="s">
        <v>120</v>
      </c>
      <c r="R341" s="32" t="str">
        <f t="shared" si="144"/>
        <v>7)Hex(4)Fuc(1)Sulfo(2)</v>
      </c>
      <c r="S341" s="32" t="str">
        <f t="shared" si="145"/>
        <v>4)Fuc(1)Sulfo(2)</v>
      </c>
      <c r="T341" s="32" t="str">
        <f t="shared" si="146"/>
        <v>1)Sulfo(2)</v>
      </c>
      <c r="U341" s="32">
        <f t="shared" si="147"/>
        <v>0</v>
      </c>
      <c r="V341" s="32">
        <f t="shared" si="148"/>
        <v>0</v>
      </c>
      <c r="W341" s="32">
        <f t="shared" si="149"/>
        <v>0</v>
      </c>
      <c r="X341" s="32" t="str">
        <f t="shared" si="150"/>
        <v>2)</v>
      </c>
      <c r="Y341" s="32">
        <f t="shared" si="151"/>
        <v>0</v>
      </c>
      <c r="Z341" s="32">
        <f t="shared" si="152"/>
        <v>0</v>
      </c>
    </row>
    <row r="342" spans="1:26" x14ac:dyDescent="0.25">
      <c r="A342" s="30" t="str">
        <f t="shared" si="135"/>
        <v>7</v>
      </c>
      <c r="B342" s="30" t="str">
        <f t="shared" si="136"/>
        <v>4</v>
      </c>
      <c r="C342" s="30" t="str">
        <f t="shared" si="137"/>
        <v>1</v>
      </c>
      <c r="D342" s="31">
        <f t="shared" si="138"/>
        <v>0</v>
      </c>
      <c r="E342" s="31">
        <f t="shared" si="139"/>
        <v>0</v>
      </c>
      <c r="F342" s="32">
        <f t="shared" si="140"/>
        <v>0</v>
      </c>
      <c r="G342" s="31">
        <f t="shared" si="141"/>
        <v>3</v>
      </c>
      <c r="H342" s="31">
        <f t="shared" si="142"/>
        <v>0</v>
      </c>
      <c r="I342" s="32">
        <f t="shared" si="143"/>
        <v>3</v>
      </c>
      <c r="N342" t="s">
        <v>121</v>
      </c>
      <c r="R342" s="32" t="str">
        <f t="shared" si="144"/>
        <v>7)Hex(4)Fuc(1)Sulfo(3)</v>
      </c>
      <c r="S342" s="32" t="str">
        <f t="shared" si="145"/>
        <v>4)Fuc(1)Sulfo(3)</v>
      </c>
      <c r="T342" s="32" t="str">
        <f t="shared" si="146"/>
        <v>1)Sulfo(3)</v>
      </c>
      <c r="U342" s="32">
        <f t="shared" si="147"/>
        <v>0</v>
      </c>
      <c r="V342" s="32">
        <f t="shared" si="148"/>
        <v>0</v>
      </c>
      <c r="W342" s="32">
        <f t="shared" si="149"/>
        <v>0</v>
      </c>
      <c r="X342" s="32" t="str">
        <f t="shared" si="150"/>
        <v>3)</v>
      </c>
      <c r="Y342" s="32">
        <f t="shared" si="151"/>
        <v>0</v>
      </c>
      <c r="Z342" s="32">
        <f t="shared" si="152"/>
        <v>0</v>
      </c>
    </row>
    <row r="343" spans="1:26" x14ac:dyDescent="0.25">
      <c r="A343" s="30" t="str">
        <f t="shared" si="135"/>
        <v>7</v>
      </c>
      <c r="B343" s="30" t="str">
        <f t="shared" si="136"/>
        <v>4</v>
      </c>
      <c r="C343" s="30" t="str">
        <f t="shared" si="137"/>
        <v>2</v>
      </c>
      <c r="D343" s="31">
        <f t="shared" si="138"/>
        <v>0</v>
      </c>
      <c r="E343" s="31">
        <f t="shared" si="139"/>
        <v>0</v>
      </c>
      <c r="F343" s="32">
        <f t="shared" si="140"/>
        <v>0</v>
      </c>
      <c r="G343" s="31">
        <f t="shared" si="141"/>
        <v>1</v>
      </c>
      <c r="H343" s="31">
        <f t="shared" si="142"/>
        <v>0</v>
      </c>
      <c r="I343" s="32">
        <f t="shared" si="143"/>
        <v>1</v>
      </c>
      <c r="N343" t="s">
        <v>122</v>
      </c>
      <c r="R343" s="32" t="str">
        <f t="shared" si="144"/>
        <v>7)Hex(4)Fuc(2)Sulfo(1)</v>
      </c>
      <c r="S343" s="32" t="str">
        <f t="shared" si="145"/>
        <v>4)Fuc(2)Sulfo(1)</v>
      </c>
      <c r="T343" s="32" t="str">
        <f t="shared" si="146"/>
        <v>2)Sulfo(1)</v>
      </c>
      <c r="U343" s="32">
        <f t="shared" si="147"/>
        <v>0</v>
      </c>
      <c r="V343" s="32">
        <f t="shared" si="148"/>
        <v>0</v>
      </c>
      <c r="W343" s="32">
        <f t="shared" si="149"/>
        <v>0</v>
      </c>
      <c r="X343" s="32" t="str">
        <f t="shared" si="150"/>
        <v>1)</v>
      </c>
      <c r="Y343" s="32">
        <f t="shared" si="151"/>
        <v>0</v>
      </c>
      <c r="Z343" s="32">
        <f t="shared" si="152"/>
        <v>0</v>
      </c>
    </row>
    <row r="344" spans="1:26" x14ac:dyDescent="0.25">
      <c r="A344" s="30" t="str">
        <f t="shared" si="135"/>
        <v>7</v>
      </c>
      <c r="B344" s="30" t="str">
        <f t="shared" si="136"/>
        <v>7</v>
      </c>
      <c r="C344" s="30" t="str">
        <f t="shared" si="137"/>
        <v>1</v>
      </c>
      <c r="D344" s="31">
        <f t="shared" si="138"/>
        <v>2</v>
      </c>
      <c r="E344" s="31">
        <f t="shared" si="139"/>
        <v>0</v>
      </c>
      <c r="F344" s="32">
        <f t="shared" si="140"/>
        <v>2</v>
      </c>
      <c r="G344" s="31">
        <f t="shared" si="141"/>
        <v>1</v>
      </c>
      <c r="H344" s="31">
        <f t="shared" si="142"/>
        <v>0</v>
      </c>
      <c r="I344" s="32">
        <f t="shared" si="143"/>
        <v>1</v>
      </c>
      <c r="N344" t="s">
        <v>123</v>
      </c>
      <c r="R344" s="32" t="str">
        <f t="shared" si="144"/>
        <v>7)Hex(7)Fuc(1)NeuAc(2)Sulfo(1)</v>
      </c>
      <c r="S344" s="32" t="str">
        <f t="shared" si="145"/>
        <v>7)Fuc(1)NeuAc(2)Sulfo(1)</v>
      </c>
      <c r="T344" s="32" t="str">
        <f t="shared" si="146"/>
        <v>1)NeuAc(2)Sulfo(1)</v>
      </c>
      <c r="U344" s="32" t="str">
        <f t="shared" si="147"/>
        <v>2)Sulfo(1)</v>
      </c>
      <c r="V344" s="32">
        <f t="shared" si="148"/>
        <v>0</v>
      </c>
      <c r="W344" s="32">
        <f t="shared" si="149"/>
        <v>0</v>
      </c>
      <c r="X344" s="32" t="str">
        <f t="shared" si="150"/>
        <v>1)</v>
      </c>
      <c r="Y344" s="32">
        <f t="shared" si="151"/>
        <v>0</v>
      </c>
      <c r="Z344" s="32">
        <f t="shared" si="152"/>
        <v>0</v>
      </c>
    </row>
    <row r="345" spans="1:26" x14ac:dyDescent="0.25">
      <c r="A345" s="30" t="str">
        <f t="shared" si="135"/>
        <v>7</v>
      </c>
      <c r="B345" s="30" t="str">
        <f t="shared" si="136"/>
        <v>7</v>
      </c>
      <c r="C345" s="30" t="str">
        <f t="shared" si="137"/>
        <v>1</v>
      </c>
      <c r="D345" s="31">
        <f t="shared" si="138"/>
        <v>2</v>
      </c>
      <c r="E345" s="31">
        <f t="shared" si="139"/>
        <v>0</v>
      </c>
      <c r="F345" s="32">
        <f t="shared" si="140"/>
        <v>2</v>
      </c>
      <c r="G345" s="31">
        <f t="shared" si="141"/>
        <v>2</v>
      </c>
      <c r="H345" s="31">
        <f t="shared" si="142"/>
        <v>0</v>
      </c>
      <c r="I345" s="32">
        <f t="shared" si="143"/>
        <v>2</v>
      </c>
      <c r="N345" t="s">
        <v>124</v>
      </c>
      <c r="R345" s="32" t="str">
        <f t="shared" si="144"/>
        <v>7)Hex(7)Fuc(1)NeuAc(2)Sulfo(2)</v>
      </c>
      <c r="S345" s="32" t="str">
        <f t="shared" si="145"/>
        <v>7)Fuc(1)NeuAc(2)Sulfo(2)</v>
      </c>
      <c r="T345" s="32" t="str">
        <f t="shared" si="146"/>
        <v>1)NeuAc(2)Sulfo(2)</v>
      </c>
      <c r="U345" s="32" t="str">
        <f t="shared" si="147"/>
        <v>2)Sulfo(2)</v>
      </c>
      <c r="V345" s="32">
        <f t="shared" si="148"/>
        <v>0</v>
      </c>
      <c r="W345" s="32">
        <f t="shared" si="149"/>
        <v>0</v>
      </c>
      <c r="X345" s="32" t="str">
        <f t="shared" si="150"/>
        <v>2)</v>
      </c>
      <c r="Y345" s="32">
        <f t="shared" si="151"/>
        <v>0</v>
      </c>
      <c r="Z345" s="32">
        <f t="shared" si="152"/>
        <v>0</v>
      </c>
    </row>
    <row r="346" spans="1:26" x14ac:dyDescent="0.25">
      <c r="A346" s="30" t="str">
        <f t="shared" si="135"/>
        <v>7</v>
      </c>
      <c r="B346" s="30" t="str">
        <f t="shared" si="136"/>
        <v>7</v>
      </c>
      <c r="C346" s="30" t="str">
        <f t="shared" si="137"/>
        <v>1</v>
      </c>
      <c r="D346" s="31">
        <f t="shared" si="138"/>
        <v>2</v>
      </c>
      <c r="E346" s="31">
        <f t="shared" si="139"/>
        <v>0</v>
      </c>
      <c r="F346" s="32">
        <f t="shared" si="140"/>
        <v>2</v>
      </c>
      <c r="G346" s="31">
        <f t="shared" si="141"/>
        <v>3</v>
      </c>
      <c r="H346" s="31">
        <f t="shared" si="142"/>
        <v>0</v>
      </c>
      <c r="I346" s="32">
        <f t="shared" si="143"/>
        <v>3</v>
      </c>
      <c r="N346" t="s">
        <v>125</v>
      </c>
      <c r="R346" s="32" t="str">
        <f t="shared" si="144"/>
        <v>7)Hex(7)Fuc(1)NeuAc(2)Sulfo(3)</v>
      </c>
      <c r="S346" s="32" t="str">
        <f t="shared" si="145"/>
        <v>7)Fuc(1)NeuAc(2)Sulfo(3)</v>
      </c>
      <c r="T346" s="32" t="str">
        <f t="shared" si="146"/>
        <v>1)NeuAc(2)Sulfo(3)</v>
      </c>
      <c r="U346" s="32" t="str">
        <f t="shared" si="147"/>
        <v>2)Sulfo(3)</v>
      </c>
      <c r="V346" s="32">
        <f t="shared" si="148"/>
        <v>0</v>
      </c>
      <c r="W346" s="32">
        <f t="shared" si="149"/>
        <v>0</v>
      </c>
      <c r="X346" s="32" t="str">
        <f t="shared" si="150"/>
        <v>3)</v>
      </c>
      <c r="Y346" s="32">
        <f t="shared" si="151"/>
        <v>0</v>
      </c>
      <c r="Z346" s="32">
        <f t="shared" si="152"/>
        <v>0</v>
      </c>
    </row>
    <row r="347" spans="1:26" x14ac:dyDescent="0.25">
      <c r="A347" s="30" t="str">
        <f t="shared" si="135"/>
        <v>4</v>
      </c>
      <c r="B347" s="30" t="str">
        <f t="shared" si="136"/>
        <v>7</v>
      </c>
      <c r="C347" s="30">
        <f t="shared" si="137"/>
        <v>0</v>
      </c>
      <c r="D347" s="31">
        <f t="shared" si="138"/>
        <v>0</v>
      </c>
      <c r="E347" s="31">
        <f t="shared" si="139"/>
        <v>0</v>
      </c>
      <c r="F347" s="32">
        <f t="shared" si="140"/>
        <v>0</v>
      </c>
      <c r="G347" s="31">
        <f t="shared" si="141"/>
        <v>1</v>
      </c>
      <c r="H347" s="31">
        <f t="shared" si="142"/>
        <v>0</v>
      </c>
      <c r="I347" s="32">
        <f t="shared" si="143"/>
        <v>1</v>
      </c>
      <c r="N347" t="s">
        <v>126</v>
      </c>
      <c r="R347" s="32" t="str">
        <f t="shared" si="144"/>
        <v>4)Hex(7)Sulfo(1)</v>
      </c>
      <c r="S347" s="32" t="str">
        <f t="shared" si="145"/>
        <v>7)Sulfo(1)</v>
      </c>
      <c r="T347" s="32">
        <f t="shared" si="146"/>
        <v>0</v>
      </c>
      <c r="U347" s="32">
        <f t="shared" si="147"/>
        <v>0</v>
      </c>
      <c r="V347" s="32">
        <f t="shared" si="148"/>
        <v>0</v>
      </c>
      <c r="W347" s="32">
        <f t="shared" si="149"/>
        <v>0</v>
      </c>
      <c r="X347" s="32" t="str">
        <f t="shared" si="150"/>
        <v>1)</v>
      </c>
      <c r="Y347" s="32">
        <f t="shared" si="151"/>
        <v>0</v>
      </c>
      <c r="Z347" s="32">
        <f t="shared" si="152"/>
        <v>0</v>
      </c>
    </row>
    <row r="348" spans="1:26" x14ac:dyDescent="0.25">
      <c r="A348" s="30" t="str">
        <f t="shared" si="135"/>
        <v>4</v>
      </c>
      <c r="B348" s="30" t="str">
        <f t="shared" si="136"/>
        <v>7</v>
      </c>
      <c r="C348" s="30">
        <f t="shared" si="137"/>
        <v>0</v>
      </c>
      <c r="D348" s="31">
        <f t="shared" si="138"/>
        <v>0</v>
      </c>
      <c r="E348" s="31">
        <f t="shared" si="139"/>
        <v>0</v>
      </c>
      <c r="F348" s="32">
        <f t="shared" si="140"/>
        <v>0</v>
      </c>
      <c r="G348" s="31">
        <f t="shared" si="141"/>
        <v>2</v>
      </c>
      <c r="H348" s="31">
        <f t="shared" si="142"/>
        <v>0</v>
      </c>
      <c r="I348" s="32">
        <f t="shared" si="143"/>
        <v>2</v>
      </c>
      <c r="N348" t="s">
        <v>127</v>
      </c>
      <c r="R348" s="32" t="str">
        <f t="shared" si="144"/>
        <v>4)Hex(7)Sulfo(2)</v>
      </c>
      <c r="S348" s="32" t="str">
        <f t="shared" si="145"/>
        <v>7)Sulfo(2)</v>
      </c>
      <c r="T348" s="32">
        <f t="shared" si="146"/>
        <v>0</v>
      </c>
      <c r="U348" s="32">
        <f t="shared" si="147"/>
        <v>0</v>
      </c>
      <c r="V348" s="32">
        <f t="shared" si="148"/>
        <v>0</v>
      </c>
      <c r="W348" s="32">
        <f t="shared" si="149"/>
        <v>0</v>
      </c>
      <c r="X348" s="32" t="str">
        <f t="shared" si="150"/>
        <v>2)</v>
      </c>
      <c r="Y348" s="32">
        <f t="shared" si="151"/>
        <v>0</v>
      </c>
      <c r="Z348" s="32">
        <f t="shared" si="152"/>
        <v>0</v>
      </c>
    </row>
    <row r="349" spans="1:26" x14ac:dyDescent="0.25">
      <c r="A349" s="30" t="str">
        <f t="shared" si="135"/>
        <v>4</v>
      </c>
      <c r="B349" s="30" t="str">
        <f t="shared" si="136"/>
        <v>7</v>
      </c>
      <c r="C349" s="30">
        <f t="shared" si="137"/>
        <v>0</v>
      </c>
      <c r="D349" s="31">
        <f t="shared" si="138"/>
        <v>0</v>
      </c>
      <c r="E349" s="31">
        <f t="shared" si="139"/>
        <v>0</v>
      </c>
      <c r="F349" s="32">
        <f t="shared" si="140"/>
        <v>0</v>
      </c>
      <c r="G349" s="31">
        <f t="shared" si="141"/>
        <v>3</v>
      </c>
      <c r="H349" s="31">
        <f t="shared" si="142"/>
        <v>0</v>
      </c>
      <c r="I349" s="32">
        <f t="shared" si="143"/>
        <v>3</v>
      </c>
      <c r="N349" t="s">
        <v>128</v>
      </c>
      <c r="R349" s="32" t="str">
        <f t="shared" si="144"/>
        <v>4)Hex(7)Sulfo(3)</v>
      </c>
      <c r="S349" s="32" t="str">
        <f t="shared" si="145"/>
        <v>7)Sulfo(3)</v>
      </c>
      <c r="T349" s="32">
        <f t="shared" si="146"/>
        <v>0</v>
      </c>
      <c r="U349" s="32">
        <f t="shared" si="147"/>
        <v>0</v>
      </c>
      <c r="V349" s="32">
        <f t="shared" si="148"/>
        <v>0</v>
      </c>
      <c r="W349" s="32">
        <f t="shared" si="149"/>
        <v>0</v>
      </c>
      <c r="X349" s="32" t="str">
        <f t="shared" si="150"/>
        <v>3)</v>
      </c>
      <c r="Y349" s="32">
        <f t="shared" si="151"/>
        <v>0</v>
      </c>
      <c r="Z349" s="32">
        <f t="shared" si="152"/>
        <v>0</v>
      </c>
    </row>
    <row r="350" spans="1:26" x14ac:dyDescent="0.25">
      <c r="A350" s="30" t="str">
        <f t="shared" si="135"/>
        <v>3</v>
      </c>
      <c r="B350" s="30" t="str">
        <f t="shared" si="136"/>
        <v>4</v>
      </c>
      <c r="C350" s="30" t="str">
        <f t="shared" si="137"/>
        <v>2</v>
      </c>
      <c r="D350" s="31">
        <f t="shared" si="138"/>
        <v>0</v>
      </c>
      <c r="E350" s="31">
        <f t="shared" si="139"/>
        <v>0</v>
      </c>
      <c r="F350" s="32">
        <f t="shared" si="140"/>
        <v>0</v>
      </c>
      <c r="G350" s="31">
        <f t="shared" si="141"/>
        <v>1</v>
      </c>
      <c r="H350" s="31">
        <f t="shared" si="142"/>
        <v>0</v>
      </c>
      <c r="I350" s="32">
        <f t="shared" si="143"/>
        <v>1</v>
      </c>
      <c r="N350" t="s">
        <v>129</v>
      </c>
      <c r="R350" s="32" t="str">
        <f t="shared" si="144"/>
        <v>3)Hex(4)Fuc(2)Sulfo(1)</v>
      </c>
      <c r="S350" s="32" t="str">
        <f t="shared" si="145"/>
        <v>4)Fuc(2)Sulfo(1)</v>
      </c>
      <c r="T350" s="32" t="str">
        <f t="shared" si="146"/>
        <v>2)Sulfo(1)</v>
      </c>
      <c r="U350" s="32">
        <f t="shared" si="147"/>
        <v>0</v>
      </c>
      <c r="V350" s="32">
        <f t="shared" si="148"/>
        <v>0</v>
      </c>
      <c r="W350" s="32">
        <f t="shared" si="149"/>
        <v>0</v>
      </c>
      <c r="X350" s="32" t="str">
        <f t="shared" si="150"/>
        <v>1)</v>
      </c>
      <c r="Y350" s="32">
        <f t="shared" si="151"/>
        <v>0</v>
      </c>
      <c r="Z350" s="32">
        <f t="shared" si="152"/>
        <v>0</v>
      </c>
    </row>
    <row r="351" spans="1:26" x14ac:dyDescent="0.25">
      <c r="A351" s="30" t="str">
        <f t="shared" si="135"/>
        <v>3</v>
      </c>
      <c r="B351" s="30" t="str">
        <f t="shared" si="136"/>
        <v>4</v>
      </c>
      <c r="C351" s="30" t="str">
        <f t="shared" si="137"/>
        <v>2</v>
      </c>
      <c r="D351" s="31">
        <f t="shared" si="138"/>
        <v>0</v>
      </c>
      <c r="E351" s="31">
        <f t="shared" si="139"/>
        <v>0</v>
      </c>
      <c r="F351" s="32">
        <f t="shared" si="140"/>
        <v>0</v>
      </c>
      <c r="G351" s="31">
        <f t="shared" si="141"/>
        <v>2</v>
      </c>
      <c r="H351" s="31">
        <f t="shared" si="142"/>
        <v>0</v>
      </c>
      <c r="I351" s="32">
        <f t="shared" si="143"/>
        <v>2</v>
      </c>
      <c r="N351" t="s">
        <v>130</v>
      </c>
      <c r="R351" s="32" t="str">
        <f t="shared" si="144"/>
        <v>3)Hex(4)Fuc(2)Sulfo(2)</v>
      </c>
      <c r="S351" s="32" t="str">
        <f t="shared" si="145"/>
        <v>4)Fuc(2)Sulfo(2)</v>
      </c>
      <c r="T351" s="32" t="str">
        <f t="shared" si="146"/>
        <v>2)Sulfo(2)</v>
      </c>
      <c r="U351" s="32">
        <f t="shared" si="147"/>
        <v>0</v>
      </c>
      <c r="V351" s="32">
        <f t="shared" si="148"/>
        <v>0</v>
      </c>
      <c r="W351" s="32">
        <f t="shared" si="149"/>
        <v>0</v>
      </c>
      <c r="X351" s="32" t="str">
        <f t="shared" si="150"/>
        <v>2)</v>
      </c>
      <c r="Y351" s="32">
        <f t="shared" si="151"/>
        <v>0</v>
      </c>
      <c r="Z351" s="32">
        <f t="shared" si="152"/>
        <v>0</v>
      </c>
    </row>
    <row r="352" spans="1:26" x14ac:dyDescent="0.25">
      <c r="A352" s="30" t="str">
        <f t="shared" si="135"/>
        <v>3</v>
      </c>
      <c r="B352" s="30" t="str">
        <f t="shared" si="136"/>
        <v>4</v>
      </c>
      <c r="C352" s="30" t="str">
        <f t="shared" si="137"/>
        <v>2</v>
      </c>
      <c r="D352" s="31">
        <f t="shared" si="138"/>
        <v>0</v>
      </c>
      <c r="E352" s="31">
        <f t="shared" si="139"/>
        <v>0</v>
      </c>
      <c r="F352" s="32">
        <f t="shared" si="140"/>
        <v>0</v>
      </c>
      <c r="G352" s="31">
        <f t="shared" si="141"/>
        <v>3</v>
      </c>
      <c r="H352" s="31">
        <f t="shared" si="142"/>
        <v>0</v>
      </c>
      <c r="I352" s="32">
        <f t="shared" si="143"/>
        <v>3</v>
      </c>
      <c r="N352" t="s">
        <v>131</v>
      </c>
      <c r="R352" s="32" t="str">
        <f t="shared" si="144"/>
        <v>3)Hex(4)Fuc(2)Sulfo(3)</v>
      </c>
      <c r="S352" s="32" t="str">
        <f t="shared" si="145"/>
        <v>4)Fuc(2)Sulfo(3)</v>
      </c>
      <c r="T352" s="32" t="str">
        <f t="shared" si="146"/>
        <v>2)Sulfo(3)</v>
      </c>
      <c r="U352" s="32">
        <f t="shared" si="147"/>
        <v>0</v>
      </c>
      <c r="V352" s="32">
        <f t="shared" si="148"/>
        <v>0</v>
      </c>
      <c r="W352" s="32">
        <f t="shared" si="149"/>
        <v>0</v>
      </c>
      <c r="X352" s="32" t="str">
        <f t="shared" si="150"/>
        <v>3)</v>
      </c>
      <c r="Y352" s="32">
        <f t="shared" si="151"/>
        <v>0</v>
      </c>
      <c r="Z352" s="32">
        <f t="shared" si="152"/>
        <v>0</v>
      </c>
    </row>
    <row r="353" spans="1:26" x14ac:dyDescent="0.25">
      <c r="A353" s="30" t="str">
        <f t="shared" si="135"/>
        <v>6</v>
      </c>
      <c r="B353" s="30" t="str">
        <f t="shared" si="136"/>
        <v>7</v>
      </c>
      <c r="C353" s="30" t="str">
        <f t="shared" si="137"/>
        <v>4</v>
      </c>
      <c r="D353" s="31">
        <f t="shared" si="138"/>
        <v>0</v>
      </c>
      <c r="E353" s="31">
        <f t="shared" si="139"/>
        <v>0</v>
      </c>
      <c r="F353" s="32">
        <f t="shared" si="140"/>
        <v>0</v>
      </c>
      <c r="G353" s="31">
        <f t="shared" si="141"/>
        <v>1</v>
      </c>
      <c r="H353" s="31">
        <f t="shared" si="142"/>
        <v>0</v>
      </c>
      <c r="I353" s="32">
        <f t="shared" si="143"/>
        <v>1</v>
      </c>
      <c r="N353" t="s">
        <v>132</v>
      </c>
      <c r="R353" s="32" t="str">
        <f t="shared" si="144"/>
        <v>6)Hex(7)Fuc(4)Sulfo(1)</v>
      </c>
      <c r="S353" s="32" t="str">
        <f t="shared" si="145"/>
        <v>7)Fuc(4)Sulfo(1)</v>
      </c>
      <c r="T353" s="32" t="str">
        <f t="shared" si="146"/>
        <v>4)Sulfo(1)</v>
      </c>
      <c r="U353" s="32">
        <f t="shared" si="147"/>
        <v>0</v>
      </c>
      <c r="V353" s="32">
        <f t="shared" si="148"/>
        <v>0</v>
      </c>
      <c r="W353" s="32">
        <f t="shared" si="149"/>
        <v>0</v>
      </c>
      <c r="X353" s="32" t="str">
        <f t="shared" si="150"/>
        <v>1)</v>
      </c>
      <c r="Y353" s="32">
        <f t="shared" si="151"/>
        <v>0</v>
      </c>
      <c r="Z353" s="32">
        <f t="shared" si="152"/>
        <v>0</v>
      </c>
    </row>
    <row r="354" spans="1:26" x14ac:dyDescent="0.25">
      <c r="A354" s="30" t="str">
        <f t="shared" si="135"/>
        <v>6</v>
      </c>
      <c r="B354" s="30" t="str">
        <f t="shared" si="136"/>
        <v>4</v>
      </c>
      <c r="C354" s="30" t="str">
        <f t="shared" si="137"/>
        <v>1</v>
      </c>
      <c r="D354" s="31">
        <f t="shared" si="138"/>
        <v>0</v>
      </c>
      <c r="E354" s="31">
        <f t="shared" si="139"/>
        <v>0</v>
      </c>
      <c r="F354" s="32">
        <f t="shared" si="140"/>
        <v>0</v>
      </c>
      <c r="G354" s="31">
        <f t="shared" si="141"/>
        <v>1</v>
      </c>
      <c r="H354" s="31">
        <f t="shared" si="142"/>
        <v>0</v>
      </c>
      <c r="I354" s="32">
        <f t="shared" si="143"/>
        <v>1</v>
      </c>
      <c r="N354" t="s">
        <v>133</v>
      </c>
      <c r="R354" s="32" t="str">
        <f t="shared" si="144"/>
        <v>6)Hex(4)Fuc(1)Sulfo(1)</v>
      </c>
      <c r="S354" s="32" t="str">
        <f t="shared" si="145"/>
        <v>4)Fuc(1)Sulfo(1)</v>
      </c>
      <c r="T354" s="32" t="str">
        <f t="shared" si="146"/>
        <v>1)Sulfo(1)</v>
      </c>
      <c r="U354" s="32">
        <f t="shared" si="147"/>
        <v>0</v>
      </c>
      <c r="V354" s="32">
        <f t="shared" si="148"/>
        <v>0</v>
      </c>
      <c r="W354" s="32">
        <f t="shared" si="149"/>
        <v>0</v>
      </c>
      <c r="X354" s="32" t="str">
        <f t="shared" si="150"/>
        <v>1)</v>
      </c>
      <c r="Y354" s="32">
        <f t="shared" si="151"/>
        <v>0</v>
      </c>
      <c r="Z354" s="32">
        <f t="shared" si="152"/>
        <v>0</v>
      </c>
    </row>
    <row r="355" spans="1:26" x14ac:dyDescent="0.25">
      <c r="A355" s="30" t="str">
        <f t="shared" si="135"/>
        <v>6</v>
      </c>
      <c r="B355" s="30" t="str">
        <f t="shared" si="136"/>
        <v>4</v>
      </c>
      <c r="C355" s="30" t="str">
        <f t="shared" si="137"/>
        <v>1</v>
      </c>
      <c r="D355" s="31">
        <f t="shared" si="138"/>
        <v>0</v>
      </c>
      <c r="E355" s="31">
        <f t="shared" si="139"/>
        <v>0</v>
      </c>
      <c r="F355" s="32">
        <f t="shared" si="140"/>
        <v>0</v>
      </c>
      <c r="G355" s="31">
        <f t="shared" si="141"/>
        <v>2</v>
      </c>
      <c r="H355" s="31">
        <f t="shared" si="142"/>
        <v>0</v>
      </c>
      <c r="I355" s="32">
        <f t="shared" si="143"/>
        <v>2</v>
      </c>
      <c r="N355" t="s">
        <v>134</v>
      </c>
      <c r="R355" s="32" t="str">
        <f t="shared" si="144"/>
        <v>6)Hex(4)Fuc(1)Sulfo(2)</v>
      </c>
      <c r="S355" s="32" t="str">
        <f t="shared" si="145"/>
        <v>4)Fuc(1)Sulfo(2)</v>
      </c>
      <c r="T355" s="32" t="str">
        <f t="shared" si="146"/>
        <v>1)Sulfo(2)</v>
      </c>
      <c r="U355" s="32">
        <f t="shared" si="147"/>
        <v>0</v>
      </c>
      <c r="V355" s="32">
        <f t="shared" si="148"/>
        <v>0</v>
      </c>
      <c r="W355" s="32">
        <f t="shared" si="149"/>
        <v>0</v>
      </c>
      <c r="X355" s="32" t="str">
        <f t="shared" si="150"/>
        <v>2)</v>
      </c>
      <c r="Y355" s="32">
        <f t="shared" si="151"/>
        <v>0</v>
      </c>
      <c r="Z355" s="32">
        <f t="shared" si="152"/>
        <v>0</v>
      </c>
    </row>
    <row r="356" spans="1:26" x14ac:dyDescent="0.25">
      <c r="A356" s="30" t="str">
        <f t="shared" si="135"/>
        <v>6</v>
      </c>
      <c r="B356" s="30" t="str">
        <f t="shared" si="136"/>
        <v>4</v>
      </c>
      <c r="C356" s="30" t="str">
        <f t="shared" si="137"/>
        <v>1</v>
      </c>
      <c r="D356" s="31">
        <f t="shared" si="138"/>
        <v>0</v>
      </c>
      <c r="E356" s="31">
        <f t="shared" si="139"/>
        <v>0</v>
      </c>
      <c r="F356" s="32">
        <f t="shared" si="140"/>
        <v>0</v>
      </c>
      <c r="G356" s="31">
        <f t="shared" si="141"/>
        <v>3</v>
      </c>
      <c r="H356" s="31">
        <f t="shared" si="142"/>
        <v>0</v>
      </c>
      <c r="I356" s="32">
        <f t="shared" si="143"/>
        <v>3</v>
      </c>
      <c r="N356" t="s">
        <v>135</v>
      </c>
      <c r="R356" s="32" t="str">
        <f t="shared" si="144"/>
        <v>6)Hex(4)Fuc(1)Sulfo(3)</v>
      </c>
      <c r="S356" s="32" t="str">
        <f t="shared" si="145"/>
        <v>4)Fuc(1)Sulfo(3)</v>
      </c>
      <c r="T356" s="32" t="str">
        <f t="shared" si="146"/>
        <v>1)Sulfo(3)</v>
      </c>
      <c r="U356" s="32">
        <f t="shared" si="147"/>
        <v>0</v>
      </c>
      <c r="V356" s="32">
        <f t="shared" si="148"/>
        <v>0</v>
      </c>
      <c r="W356" s="32">
        <f t="shared" si="149"/>
        <v>0</v>
      </c>
      <c r="X356" s="32" t="str">
        <f t="shared" si="150"/>
        <v>3)</v>
      </c>
      <c r="Y356" s="32">
        <f t="shared" si="151"/>
        <v>0</v>
      </c>
      <c r="Z356" s="32">
        <f t="shared" si="152"/>
        <v>0</v>
      </c>
    </row>
    <row r="357" spans="1:26" x14ac:dyDescent="0.25">
      <c r="A357" s="30" t="str">
        <f t="shared" si="135"/>
        <v>5</v>
      </c>
      <c r="B357" s="30" t="str">
        <f t="shared" si="136"/>
        <v>5</v>
      </c>
      <c r="C357" s="30" t="str">
        <f t="shared" si="137"/>
        <v>2</v>
      </c>
      <c r="D357" s="31">
        <f t="shared" si="138"/>
        <v>0</v>
      </c>
      <c r="E357" s="31">
        <f t="shared" si="139"/>
        <v>0</v>
      </c>
      <c r="F357" s="32">
        <f t="shared" si="140"/>
        <v>0</v>
      </c>
      <c r="G357" s="31">
        <f t="shared" si="141"/>
        <v>1</v>
      </c>
      <c r="H357" s="31">
        <f t="shared" si="142"/>
        <v>0</v>
      </c>
      <c r="I357" s="32">
        <f t="shared" si="143"/>
        <v>1</v>
      </c>
      <c r="N357" t="s">
        <v>136</v>
      </c>
      <c r="R357" s="32" t="str">
        <f t="shared" si="144"/>
        <v>5)Hex(5)Fuc(2)Sulfo(1)</v>
      </c>
      <c r="S357" s="32" t="str">
        <f t="shared" si="145"/>
        <v>5)Fuc(2)Sulfo(1)</v>
      </c>
      <c r="T357" s="32" t="str">
        <f t="shared" si="146"/>
        <v>2)Sulfo(1)</v>
      </c>
      <c r="U357" s="32">
        <f t="shared" si="147"/>
        <v>0</v>
      </c>
      <c r="V357" s="32">
        <f t="shared" si="148"/>
        <v>0</v>
      </c>
      <c r="W357" s="32">
        <f t="shared" si="149"/>
        <v>0</v>
      </c>
      <c r="X357" s="32" t="str">
        <f t="shared" si="150"/>
        <v>1)</v>
      </c>
      <c r="Y357" s="32">
        <f t="shared" si="151"/>
        <v>0</v>
      </c>
      <c r="Z357" s="32">
        <f t="shared" si="152"/>
        <v>0</v>
      </c>
    </row>
    <row r="358" spans="1:26" x14ac:dyDescent="0.25">
      <c r="A358" s="30" t="str">
        <f t="shared" si="135"/>
        <v>5</v>
      </c>
      <c r="B358" s="30" t="str">
        <f t="shared" si="136"/>
        <v>5</v>
      </c>
      <c r="C358" s="30" t="str">
        <f t="shared" si="137"/>
        <v>2</v>
      </c>
      <c r="D358" s="31">
        <f t="shared" si="138"/>
        <v>0</v>
      </c>
      <c r="E358" s="31">
        <f t="shared" si="139"/>
        <v>0</v>
      </c>
      <c r="F358" s="32">
        <f t="shared" si="140"/>
        <v>0</v>
      </c>
      <c r="G358" s="31">
        <f t="shared" si="141"/>
        <v>2</v>
      </c>
      <c r="H358" s="31">
        <f t="shared" si="142"/>
        <v>0</v>
      </c>
      <c r="I358" s="32">
        <f t="shared" si="143"/>
        <v>2</v>
      </c>
      <c r="N358" t="s">
        <v>137</v>
      </c>
      <c r="R358" s="32" t="str">
        <f t="shared" si="144"/>
        <v>5)Hex(5)Fuc(2)Sulfo(2)</v>
      </c>
      <c r="S358" s="32" t="str">
        <f t="shared" si="145"/>
        <v>5)Fuc(2)Sulfo(2)</v>
      </c>
      <c r="T358" s="32" t="str">
        <f t="shared" si="146"/>
        <v>2)Sulfo(2)</v>
      </c>
      <c r="U358" s="32">
        <f t="shared" si="147"/>
        <v>0</v>
      </c>
      <c r="V358" s="32">
        <f t="shared" si="148"/>
        <v>0</v>
      </c>
      <c r="W358" s="32">
        <f t="shared" si="149"/>
        <v>0</v>
      </c>
      <c r="X358" s="32" t="str">
        <f t="shared" si="150"/>
        <v>2)</v>
      </c>
      <c r="Y358" s="32">
        <f t="shared" si="151"/>
        <v>0</v>
      </c>
      <c r="Z358" s="32">
        <f t="shared" si="152"/>
        <v>0</v>
      </c>
    </row>
    <row r="359" spans="1:26" x14ac:dyDescent="0.25">
      <c r="A359" s="30" t="str">
        <f t="shared" si="135"/>
        <v>5</v>
      </c>
      <c r="B359" s="30" t="str">
        <f t="shared" si="136"/>
        <v>5</v>
      </c>
      <c r="C359" s="30" t="str">
        <f t="shared" si="137"/>
        <v>2</v>
      </c>
      <c r="D359" s="31">
        <f t="shared" si="138"/>
        <v>0</v>
      </c>
      <c r="E359" s="31">
        <f t="shared" si="139"/>
        <v>0</v>
      </c>
      <c r="F359" s="32">
        <f t="shared" si="140"/>
        <v>0</v>
      </c>
      <c r="G359" s="31">
        <f t="shared" si="141"/>
        <v>3</v>
      </c>
      <c r="H359" s="31">
        <f t="shared" si="142"/>
        <v>0</v>
      </c>
      <c r="I359" s="32">
        <f t="shared" si="143"/>
        <v>3</v>
      </c>
      <c r="N359" t="s">
        <v>138</v>
      </c>
      <c r="R359" s="32" t="str">
        <f t="shared" si="144"/>
        <v>5)Hex(5)Fuc(2)Sulfo(3)</v>
      </c>
      <c r="S359" s="32" t="str">
        <f t="shared" si="145"/>
        <v>5)Fuc(2)Sulfo(3)</v>
      </c>
      <c r="T359" s="32" t="str">
        <f t="shared" si="146"/>
        <v>2)Sulfo(3)</v>
      </c>
      <c r="U359" s="32">
        <f t="shared" si="147"/>
        <v>0</v>
      </c>
      <c r="V359" s="32">
        <f t="shared" si="148"/>
        <v>0</v>
      </c>
      <c r="W359" s="32">
        <f t="shared" si="149"/>
        <v>0</v>
      </c>
      <c r="X359" s="32" t="str">
        <f t="shared" si="150"/>
        <v>3)</v>
      </c>
      <c r="Y359" s="32">
        <f t="shared" si="151"/>
        <v>0</v>
      </c>
      <c r="Z359" s="32">
        <f t="shared" si="152"/>
        <v>0</v>
      </c>
    </row>
    <row r="360" spans="1:26" x14ac:dyDescent="0.25">
      <c r="A360" s="30" t="str">
        <f t="shared" si="135"/>
        <v>4</v>
      </c>
      <c r="B360" s="30" t="str">
        <f t="shared" si="136"/>
        <v>3</v>
      </c>
      <c r="C360" s="30">
        <f t="shared" si="137"/>
        <v>0</v>
      </c>
      <c r="D360" s="31">
        <f t="shared" si="138"/>
        <v>0</v>
      </c>
      <c r="E360" s="31">
        <f t="shared" si="139"/>
        <v>0</v>
      </c>
      <c r="F360" s="32">
        <f t="shared" si="140"/>
        <v>0</v>
      </c>
      <c r="G360" s="31">
        <f t="shared" si="141"/>
        <v>1</v>
      </c>
      <c r="H360" s="31">
        <f t="shared" si="142"/>
        <v>0</v>
      </c>
      <c r="I360" s="32">
        <f t="shared" si="143"/>
        <v>1</v>
      </c>
      <c r="N360" t="s">
        <v>139</v>
      </c>
      <c r="R360" s="32" t="str">
        <f t="shared" si="144"/>
        <v>4)Hex(3)Sulfo(1)</v>
      </c>
      <c r="S360" s="32" t="str">
        <f t="shared" si="145"/>
        <v>3)Sulfo(1)</v>
      </c>
      <c r="T360" s="32">
        <f t="shared" si="146"/>
        <v>0</v>
      </c>
      <c r="U360" s="32">
        <f t="shared" si="147"/>
        <v>0</v>
      </c>
      <c r="V360" s="32">
        <f t="shared" si="148"/>
        <v>0</v>
      </c>
      <c r="W360" s="32">
        <f t="shared" si="149"/>
        <v>0</v>
      </c>
      <c r="X360" s="32" t="str">
        <f t="shared" si="150"/>
        <v>1)</v>
      </c>
      <c r="Y360" s="32">
        <f t="shared" si="151"/>
        <v>0</v>
      </c>
      <c r="Z360" s="32">
        <f t="shared" si="152"/>
        <v>0</v>
      </c>
    </row>
    <row r="361" spans="1:26" x14ac:dyDescent="0.25">
      <c r="A361" s="30" t="str">
        <f t="shared" si="135"/>
        <v>4</v>
      </c>
      <c r="B361" s="30" t="str">
        <f t="shared" si="136"/>
        <v>3</v>
      </c>
      <c r="C361" s="30">
        <f t="shared" si="137"/>
        <v>0</v>
      </c>
      <c r="D361" s="31">
        <f t="shared" si="138"/>
        <v>0</v>
      </c>
      <c r="E361" s="31">
        <f t="shared" si="139"/>
        <v>0</v>
      </c>
      <c r="F361" s="32">
        <f t="shared" si="140"/>
        <v>0</v>
      </c>
      <c r="G361" s="31">
        <f t="shared" si="141"/>
        <v>2</v>
      </c>
      <c r="H361" s="31">
        <f t="shared" si="142"/>
        <v>0</v>
      </c>
      <c r="I361" s="32">
        <f t="shared" si="143"/>
        <v>2</v>
      </c>
      <c r="N361" t="s">
        <v>140</v>
      </c>
      <c r="R361" s="32" t="str">
        <f t="shared" si="144"/>
        <v>4)Hex(3)Sulfo(2)</v>
      </c>
      <c r="S361" s="32" t="str">
        <f t="shared" si="145"/>
        <v>3)Sulfo(2)</v>
      </c>
      <c r="T361" s="32">
        <f t="shared" si="146"/>
        <v>0</v>
      </c>
      <c r="U361" s="32">
        <f t="shared" si="147"/>
        <v>0</v>
      </c>
      <c r="V361" s="32">
        <f t="shared" si="148"/>
        <v>0</v>
      </c>
      <c r="W361" s="32">
        <f t="shared" si="149"/>
        <v>0</v>
      </c>
      <c r="X361" s="32" t="str">
        <f t="shared" si="150"/>
        <v>2)</v>
      </c>
      <c r="Y361" s="32">
        <f t="shared" si="151"/>
        <v>0</v>
      </c>
      <c r="Z361" s="32">
        <f t="shared" si="152"/>
        <v>0</v>
      </c>
    </row>
    <row r="362" spans="1:26" x14ac:dyDescent="0.25">
      <c r="A362" s="30" t="str">
        <f t="shared" si="135"/>
        <v>4</v>
      </c>
      <c r="B362" s="30" t="str">
        <f t="shared" si="136"/>
        <v>3</v>
      </c>
      <c r="C362" s="30">
        <f t="shared" si="137"/>
        <v>0</v>
      </c>
      <c r="D362" s="31">
        <f t="shared" si="138"/>
        <v>0</v>
      </c>
      <c r="E362" s="31">
        <f t="shared" si="139"/>
        <v>0</v>
      </c>
      <c r="F362" s="32">
        <f t="shared" si="140"/>
        <v>0</v>
      </c>
      <c r="G362" s="31">
        <f t="shared" si="141"/>
        <v>3</v>
      </c>
      <c r="H362" s="31">
        <f t="shared" si="142"/>
        <v>0</v>
      </c>
      <c r="I362" s="32">
        <f t="shared" si="143"/>
        <v>3</v>
      </c>
      <c r="N362" t="s">
        <v>141</v>
      </c>
      <c r="R362" s="32" t="str">
        <f t="shared" si="144"/>
        <v>4)Hex(3)Sulfo(3)</v>
      </c>
      <c r="S362" s="32" t="str">
        <f t="shared" si="145"/>
        <v>3)Sulfo(3)</v>
      </c>
      <c r="T362" s="32">
        <f t="shared" si="146"/>
        <v>0</v>
      </c>
      <c r="U362" s="32">
        <f t="shared" si="147"/>
        <v>0</v>
      </c>
      <c r="V362" s="32">
        <f t="shared" si="148"/>
        <v>0</v>
      </c>
      <c r="W362" s="32">
        <f t="shared" si="149"/>
        <v>0</v>
      </c>
      <c r="X362" s="32" t="str">
        <f t="shared" si="150"/>
        <v>3)</v>
      </c>
      <c r="Y362" s="32">
        <f t="shared" si="151"/>
        <v>0</v>
      </c>
      <c r="Z362" s="32">
        <f t="shared" si="152"/>
        <v>0</v>
      </c>
    </row>
    <row r="363" spans="1:26" x14ac:dyDescent="0.25">
      <c r="A363" s="30" t="str">
        <f t="shared" si="135"/>
        <v>3</v>
      </c>
      <c r="B363" s="30" t="str">
        <f t="shared" si="136"/>
        <v>6</v>
      </c>
      <c r="C363" s="30">
        <f t="shared" si="137"/>
        <v>0</v>
      </c>
      <c r="D363" s="31">
        <f t="shared" si="138"/>
        <v>1</v>
      </c>
      <c r="E363" s="31">
        <f t="shared" si="139"/>
        <v>0</v>
      </c>
      <c r="F363" s="32">
        <f t="shared" si="140"/>
        <v>1</v>
      </c>
      <c r="G363" s="31">
        <f t="shared" si="141"/>
        <v>1</v>
      </c>
      <c r="H363" s="31">
        <f t="shared" si="142"/>
        <v>0</v>
      </c>
      <c r="I363" s="32">
        <f t="shared" si="143"/>
        <v>1</v>
      </c>
      <c r="N363" t="s">
        <v>142</v>
      </c>
      <c r="R363" s="32" t="str">
        <f t="shared" si="144"/>
        <v>3)Hex(6)NeuAc(1)Sulfo(1)</v>
      </c>
      <c r="S363" s="32" t="str">
        <f t="shared" si="145"/>
        <v>6)NeuAc(1)Sulfo(1)</v>
      </c>
      <c r="T363" s="32">
        <f t="shared" si="146"/>
        <v>0</v>
      </c>
      <c r="U363" s="32" t="str">
        <f t="shared" si="147"/>
        <v>1)Sulfo(1)</v>
      </c>
      <c r="V363" s="32">
        <f t="shared" si="148"/>
        <v>0</v>
      </c>
      <c r="W363" s="32">
        <f t="shared" si="149"/>
        <v>0</v>
      </c>
      <c r="X363" s="32" t="str">
        <f t="shared" si="150"/>
        <v>1)</v>
      </c>
      <c r="Y363" s="32">
        <f t="shared" si="151"/>
        <v>0</v>
      </c>
      <c r="Z363" s="32">
        <f t="shared" si="152"/>
        <v>0</v>
      </c>
    </row>
    <row r="364" spans="1:26" x14ac:dyDescent="0.25">
      <c r="A364" s="30" t="str">
        <f t="shared" si="135"/>
        <v>3</v>
      </c>
      <c r="B364" s="30" t="str">
        <f t="shared" si="136"/>
        <v>6</v>
      </c>
      <c r="C364" s="30">
        <f t="shared" si="137"/>
        <v>0</v>
      </c>
      <c r="D364" s="31">
        <f t="shared" si="138"/>
        <v>1</v>
      </c>
      <c r="E364" s="31">
        <f t="shared" si="139"/>
        <v>0</v>
      </c>
      <c r="F364" s="32">
        <f t="shared" si="140"/>
        <v>1</v>
      </c>
      <c r="G364" s="31">
        <f t="shared" si="141"/>
        <v>2</v>
      </c>
      <c r="H364" s="31">
        <f t="shared" si="142"/>
        <v>0</v>
      </c>
      <c r="I364" s="32">
        <f t="shared" si="143"/>
        <v>2</v>
      </c>
      <c r="N364" t="s">
        <v>143</v>
      </c>
      <c r="R364" s="32" t="str">
        <f t="shared" si="144"/>
        <v>3)Hex(6)NeuAc(1)Sulfo(2)</v>
      </c>
      <c r="S364" s="32" t="str">
        <f t="shared" si="145"/>
        <v>6)NeuAc(1)Sulfo(2)</v>
      </c>
      <c r="T364" s="32">
        <f t="shared" si="146"/>
        <v>0</v>
      </c>
      <c r="U364" s="32" t="str">
        <f t="shared" si="147"/>
        <v>1)Sulfo(2)</v>
      </c>
      <c r="V364" s="32">
        <f t="shared" si="148"/>
        <v>0</v>
      </c>
      <c r="W364" s="32">
        <f t="shared" si="149"/>
        <v>0</v>
      </c>
      <c r="X364" s="32" t="str">
        <f t="shared" si="150"/>
        <v>2)</v>
      </c>
      <c r="Y364" s="32">
        <f t="shared" si="151"/>
        <v>0</v>
      </c>
      <c r="Z364" s="32">
        <f t="shared" si="152"/>
        <v>0</v>
      </c>
    </row>
    <row r="365" spans="1:26" x14ac:dyDescent="0.25">
      <c r="A365" s="30" t="str">
        <f t="shared" si="135"/>
        <v>3</v>
      </c>
      <c r="B365" s="30" t="str">
        <f t="shared" si="136"/>
        <v>6</v>
      </c>
      <c r="C365" s="30">
        <f t="shared" si="137"/>
        <v>0</v>
      </c>
      <c r="D365" s="31">
        <f t="shared" si="138"/>
        <v>1</v>
      </c>
      <c r="E365" s="31">
        <f t="shared" si="139"/>
        <v>0</v>
      </c>
      <c r="F365" s="32">
        <f t="shared" si="140"/>
        <v>1</v>
      </c>
      <c r="G365" s="31">
        <f t="shared" si="141"/>
        <v>3</v>
      </c>
      <c r="H365" s="31">
        <f t="shared" si="142"/>
        <v>0</v>
      </c>
      <c r="I365" s="32">
        <f t="shared" si="143"/>
        <v>3</v>
      </c>
      <c r="N365" t="s">
        <v>144</v>
      </c>
      <c r="R365" s="32" t="str">
        <f t="shared" si="144"/>
        <v>3)Hex(6)NeuAc(1)Sulfo(3)</v>
      </c>
      <c r="S365" s="32" t="str">
        <f t="shared" si="145"/>
        <v>6)NeuAc(1)Sulfo(3)</v>
      </c>
      <c r="T365" s="32">
        <f t="shared" si="146"/>
        <v>0</v>
      </c>
      <c r="U365" s="32" t="str">
        <f t="shared" si="147"/>
        <v>1)Sulfo(3)</v>
      </c>
      <c r="V365" s="32">
        <f t="shared" si="148"/>
        <v>0</v>
      </c>
      <c r="W365" s="32">
        <f t="shared" si="149"/>
        <v>0</v>
      </c>
      <c r="X365" s="32" t="str">
        <f t="shared" si="150"/>
        <v>3)</v>
      </c>
      <c r="Y365" s="32">
        <f t="shared" si="151"/>
        <v>0</v>
      </c>
      <c r="Z365" s="32">
        <f t="shared" si="152"/>
        <v>0</v>
      </c>
    </row>
    <row r="366" spans="1:26" x14ac:dyDescent="0.25">
      <c r="A366" s="30" t="str">
        <f t="shared" si="135"/>
        <v>2</v>
      </c>
      <c r="B366" s="30" t="str">
        <f t="shared" si="136"/>
        <v>10</v>
      </c>
      <c r="C366" s="30">
        <f t="shared" si="137"/>
        <v>0</v>
      </c>
      <c r="D366" s="31">
        <f t="shared" si="138"/>
        <v>0</v>
      </c>
      <c r="E366" s="31">
        <f t="shared" si="139"/>
        <v>0</v>
      </c>
      <c r="F366" s="32">
        <f t="shared" si="140"/>
        <v>0</v>
      </c>
      <c r="G366" s="31">
        <f t="shared" si="141"/>
        <v>1</v>
      </c>
      <c r="H366" s="31">
        <f t="shared" si="142"/>
        <v>0</v>
      </c>
      <c r="I366" s="32">
        <f t="shared" si="143"/>
        <v>1</v>
      </c>
      <c r="N366" t="s">
        <v>145</v>
      </c>
      <c r="R366" s="32" t="str">
        <f t="shared" si="144"/>
        <v>2)Hex(10)Sulfo(1)</v>
      </c>
      <c r="S366" s="32" t="str">
        <f t="shared" si="145"/>
        <v>10)Sulfo(1)</v>
      </c>
      <c r="T366" s="32">
        <f t="shared" si="146"/>
        <v>0</v>
      </c>
      <c r="U366" s="32">
        <f t="shared" si="147"/>
        <v>0</v>
      </c>
      <c r="V366" s="32">
        <f t="shared" si="148"/>
        <v>0</v>
      </c>
      <c r="W366" s="32">
        <f t="shared" si="149"/>
        <v>0</v>
      </c>
      <c r="X366" s="32" t="str">
        <f t="shared" si="150"/>
        <v>1)</v>
      </c>
      <c r="Y366" s="32">
        <f t="shared" si="151"/>
        <v>0</v>
      </c>
      <c r="Z366" s="32">
        <f t="shared" si="152"/>
        <v>0</v>
      </c>
    </row>
    <row r="367" spans="1:26" x14ac:dyDescent="0.25">
      <c r="A367" s="30" t="str">
        <f t="shared" si="135"/>
        <v>2</v>
      </c>
      <c r="B367" s="30" t="str">
        <f t="shared" si="136"/>
        <v>10</v>
      </c>
      <c r="C367" s="30">
        <f t="shared" si="137"/>
        <v>0</v>
      </c>
      <c r="D367" s="31">
        <f t="shared" si="138"/>
        <v>0</v>
      </c>
      <c r="E367" s="31">
        <f t="shared" si="139"/>
        <v>0</v>
      </c>
      <c r="F367" s="32">
        <f t="shared" si="140"/>
        <v>0</v>
      </c>
      <c r="G367" s="31">
        <f t="shared" si="141"/>
        <v>2</v>
      </c>
      <c r="H367" s="31">
        <f t="shared" si="142"/>
        <v>0</v>
      </c>
      <c r="I367" s="32">
        <f t="shared" si="143"/>
        <v>2</v>
      </c>
      <c r="N367" t="s">
        <v>146</v>
      </c>
      <c r="R367" s="32" t="str">
        <f t="shared" si="144"/>
        <v>2)Hex(10)Sulfo(2)</v>
      </c>
      <c r="S367" s="32" t="str">
        <f t="shared" si="145"/>
        <v>10)Sulfo(2)</v>
      </c>
      <c r="T367" s="32">
        <f t="shared" si="146"/>
        <v>0</v>
      </c>
      <c r="U367" s="32">
        <f t="shared" si="147"/>
        <v>0</v>
      </c>
      <c r="V367" s="32">
        <f t="shared" si="148"/>
        <v>0</v>
      </c>
      <c r="W367" s="32">
        <f t="shared" si="149"/>
        <v>0</v>
      </c>
      <c r="X367" s="32" t="str">
        <f t="shared" si="150"/>
        <v>2)</v>
      </c>
      <c r="Y367" s="32">
        <f t="shared" si="151"/>
        <v>0</v>
      </c>
      <c r="Z367" s="32">
        <f t="shared" si="152"/>
        <v>0</v>
      </c>
    </row>
    <row r="368" spans="1:26" x14ac:dyDescent="0.25">
      <c r="A368" s="30" t="str">
        <f t="shared" si="135"/>
        <v>2</v>
      </c>
      <c r="B368" s="30" t="str">
        <f t="shared" si="136"/>
        <v>10</v>
      </c>
      <c r="C368" s="30">
        <f t="shared" si="137"/>
        <v>0</v>
      </c>
      <c r="D368" s="31">
        <f t="shared" si="138"/>
        <v>0</v>
      </c>
      <c r="E368" s="31">
        <f t="shared" si="139"/>
        <v>0</v>
      </c>
      <c r="F368" s="32">
        <f t="shared" si="140"/>
        <v>0</v>
      </c>
      <c r="G368" s="31">
        <f t="shared" si="141"/>
        <v>3</v>
      </c>
      <c r="H368" s="31">
        <f t="shared" si="142"/>
        <v>0</v>
      </c>
      <c r="I368" s="32">
        <f t="shared" si="143"/>
        <v>3</v>
      </c>
      <c r="N368" t="s">
        <v>147</v>
      </c>
      <c r="R368" s="32" t="str">
        <f t="shared" si="144"/>
        <v>2)Hex(10)Sulfo(3)</v>
      </c>
      <c r="S368" s="32" t="str">
        <f t="shared" si="145"/>
        <v>10)Sulfo(3)</v>
      </c>
      <c r="T368" s="32">
        <f t="shared" si="146"/>
        <v>0</v>
      </c>
      <c r="U368" s="32">
        <f t="shared" si="147"/>
        <v>0</v>
      </c>
      <c r="V368" s="32">
        <f t="shared" si="148"/>
        <v>0</v>
      </c>
      <c r="W368" s="32">
        <f t="shared" si="149"/>
        <v>0</v>
      </c>
      <c r="X368" s="32" t="str">
        <f t="shared" si="150"/>
        <v>3)</v>
      </c>
      <c r="Y368" s="32">
        <f t="shared" si="151"/>
        <v>0</v>
      </c>
      <c r="Z368" s="32">
        <f t="shared" si="152"/>
        <v>0</v>
      </c>
    </row>
    <row r="369" spans="1:26" x14ac:dyDescent="0.25">
      <c r="A369" s="30" t="str">
        <f t="shared" si="135"/>
        <v>3</v>
      </c>
      <c r="B369" s="30" t="str">
        <f t="shared" si="136"/>
        <v>3</v>
      </c>
      <c r="C369" s="30" t="str">
        <f t="shared" si="137"/>
        <v>1</v>
      </c>
      <c r="D369" s="31">
        <f t="shared" si="138"/>
        <v>0</v>
      </c>
      <c r="E369" s="31">
        <f t="shared" si="139"/>
        <v>0</v>
      </c>
      <c r="F369" s="32">
        <f t="shared" si="140"/>
        <v>0</v>
      </c>
      <c r="G369" s="31">
        <f t="shared" si="141"/>
        <v>1</v>
      </c>
      <c r="H369" s="31">
        <f t="shared" si="142"/>
        <v>0</v>
      </c>
      <c r="I369" s="32">
        <f t="shared" si="143"/>
        <v>1</v>
      </c>
      <c r="N369" t="s">
        <v>148</v>
      </c>
      <c r="R369" s="32" t="str">
        <f t="shared" si="144"/>
        <v>3)Hex(3)Fuc(1)Sulfo(1)</v>
      </c>
      <c r="S369" s="32" t="str">
        <f t="shared" si="145"/>
        <v>3)Fuc(1)Sulfo(1)</v>
      </c>
      <c r="T369" s="32" t="str">
        <f t="shared" si="146"/>
        <v>1)Sulfo(1)</v>
      </c>
      <c r="U369" s="32">
        <f t="shared" si="147"/>
        <v>0</v>
      </c>
      <c r="V369" s="32">
        <f t="shared" si="148"/>
        <v>0</v>
      </c>
      <c r="W369" s="32">
        <f t="shared" si="149"/>
        <v>0</v>
      </c>
      <c r="X369" s="32" t="str">
        <f t="shared" si="150"/>
        <v>1)</v>
      </c>
      <c r="Y369" s="32">
        <f t="shared" si="151"/>
        <v>0</v>
      </c>
      <c r="Z369" s="32">
        <f t="shared" si="152"/>
        <v>0</v>
      </c>
    </row>
    <row r="370" spans="1:26" x14ac:dyDescent="0.25">
      <c r="A370" s="30" t="str">
        <f t="shared" si="135"/>
        <v>3</v>
      </c>
      <c r="B370" s="30" t="str">
        <f t="shared" si="136"/>
        <v>3</v>
      </c>
      <c r="C370" s="30" t="str">
        <f t="shared" si="137"/>
        <v>1</v>
      </c>
      <c r="D370" s="31">
        <f t="shared" si="138"/>
        <v>0</v>
      </c>
      <c r="E370" s="31">
        <f t="shared" si="139"/>
        <v>0</v>
      </c>
      <c r="F370" s="32">
        <f t="shared" si="140"/>
        <v>0</v>
      </c>
      <c r="G370" s="31">
        <f t="shared" si="141"/>
        <v>2</v>
      </c>
      <c r="H370" s="31">
        <f t="shared" si="142"/>
        <v>0</v>
      </c>
      <c r="I370" s="32">
        <f t="shared" si="143"/>
        <v>2</v>
      </c>
      <c r="N370" t="s">
        <v>149</v>
      </c>
      <c r="R370" s="32" t="str">
        <f t="shared" si="144"/>
        <v>3)Hex(3)Fuc(1)Sulfo(2)</v>
      </c>
      <c r="S370" s="32" t="str">
        <f t="shared" si="145"/>
        <v>3)Fuc(1)Sulfo(2)</v>
      </c>
      <c r="T370" s="32" t="str">
        <f t="shared" si="146"/>
        <v>1)Sulfo(2)</v>
      </c>
      <c r="U370" s="32">
        <f t="shared" si="147"/>
        <v>0</v>
      </c>
      <c r="V370" s="32">
        <f t="shared" si="148"/>
        <v>0</v>
      </c>
      <c r="W370" s="32">
        <f t="shared" si="149"/>
        <v>0</v>
      </c>
      <c r="X370" s="32" t="str">
        <f t="shared" si="150"/>
        <v>2)</v>
      </c>
      <c r="Y370" s="32">
        <f t="shared" si="151"/>
        <v>0</v>
      </c>
      <c r="Z370" s="32">
        <f t="shared" si="152"/>
        <v>0</v>
      </c>
    </row>
    <row r="371" spans="1:26" x14ac:dyDescent="0.25">
      <c r="A371" s="30" t="str">
        <f t="shared" si="135"/>
        <v>3</v>
      </c>
      <c r="B371" s="30" t="str">
        <f t="shared" si="136"/>
        <v>3</v>
      </c>
      <c r="C371" s="30" t="str">
        <f t="shared" si="137"/>
        <v>1</v>
      </c>
      <c r="D371" s="31">
        <f t="shared" si="138"/>
        <v>0</v>
      </c>
      <c r="E371" s="31">
        <f t="shared" si="139"/>
        <v>0</v>
      </c>
      <c r="F371" s="32">
        <f t="shared" si="140"/>
        <v>0</v>
      </c>
      <c r="G371" s="31">
        <f t="shared" si="141"/>
        <v>3</v>
      </c>
      <c r="H371" s="31">
        <f t="shared" si="142"/>
        <v>0</v>
      </c>
      <c r="I371" s="32">
        <f t="shared" si="143"/>
        <v>3</v>
      </c>
      <c r="N371" t="s">
        <v>150</v>
      </c>
      <c r="R371" s="32" t="str">
        <f t="shared" si="144"/>
        <v>3)Hex(3)Fuc(1)Sulfo(3)</v>
      </c>
      <c r="S371" s="32" t="str">
        <f t="shared" si="145"/>
        <v>3)Fuc(1)Sulfo(3)</v>
      </c>
      <c r="T371" s="32" t="str">
        <f t="shared" si="146"/>
        <v>1)Sulfo(3)</v>
      </c>
      <c r="U371" s="32">
        <f t="shared" si="147"/>
        <v>0</v>
      </c>
      <c r="V371" s="32">
        <f t="shared" si="148"/>
        <v>0</v>
      </c>
      <c r="W371" s="32">
        <f t="shared" si="149"/>
        <v>0</v>
      </c>
      <c r="X371" s="32" t="str">
        <f t="shared" si="150"/>
        <v>3)</v>
      </c>
      <c r="Y371" s="32">
        <f t="shared" si="151"/>
        <v>0</v>
      </c>
      <c r="Z371" s="32">
        <f t="shared" si="152"/>
        <v>0</v>
      </c>
    </row>
    <row r="372" spans="1:26" x14ac:dyDescent="0.25">
      <c r="A372" s="30" t="str">
        <f t="shared" si="135"/>
        <v>4</v>
      </c>
      <c r="B372" s="30" t="str">
        <f t="shared" si="136"/>
        <v>5</v>
      </c>
      <c r="C372" s="30">
        <f t="shared" si="137"/>
        <v>0</v>
      </c>
      <c r="D372" s="31">
        <f t="shared" si="138"/>
        <v>0</v>
      </c>
      <c r="E372" s="31">
        <f t="shared" si="139"/>
        <v>0</v>
      </c>
      <c r="F372" s="32">
        <f t="shared" si="140"/>
        <v>0</v>
      </c>
      <c r="G372" s="31">
        <f t="shared" si="141"/>
        <v>1</v>
      </c>
      <c r="H372" s="31">
        <f t="shared" si="142"/>
        <v>0</v>
      </c>
      <c r="I372" s="32">
        <f t="shared" si="143"/>
        <v>1</v>
      </c>
      <c r="N372" t="s">
        <v>151</v>
      </c>
      <c r="R372" s="32" t="str">
        <f t="shared" si="144"/>
        <v>4)Hex(5)Sulfo(1)</v>
      </c>
      <c r="S372" s="32" t="str">
        <f t="shared" si="145"/>
        <v>5)Sulfo(1)</v>
      </c>
      <c r="T372" s="32">
        <f t="shared" si="146"/>
        <v>0</v>
      </c>
      <c r="U372" s="32">
        <f t="shared" si="147"/>
        <v>0</v>
      </c>
      <c r="V372" s="32">
        <f t="shared" si="148"/>
        <v>0</v>
      </c>
      <c r="W372" s="32">
        <f t="shared" si="149"/>
        <v>0</v>
      </c>
      <c r="X372" s="32" t="str">
        <f t="shared" si="150"/>
        <v>1)</v>
      </c>
      <c r="Y372" s="32">
        <f t="shared" si="151"/>
        <v>0</v>
      </c>
      <c r="Z372" s="32">
        <f t="shared" si="152"/>
        <v>0</v>
      </c>
    </row>
    <row r="373" spans="1:26" x14ac:dyDescent="0.25">
      <c r="A373" s="30" t="str">
        <f t="shared" si="135"/>
        <v>4</v>
      </c>
      <c r="B373" s="30" t="str">
        <f t="shared" si="136"/>
        <v>5</v>
      </c>
      <c r="C373" s="30">
        <f t="shared" si="137"/>
        <v>0</v>
      </c>
      <c r="D373" s="31">
        <f t="shared" si="138"/>
        <v>0</v>
      </c>
      <c r="E373" s="31">
        <f t="shared" si="139"/>
        <v>0</v>
      </c>
      <c r="F373" s="32">
        <f t="shared" si="140"/>
        <v>0</v>
      </c>
      <c r="G373" s="31">
        <f t="shared" si="141"/>
        <v>2</v>
      </c>
      <c r="H373" s="31">
        <f t="shared" si="142"/>
        <v>0</v>
      </c>
      <c r="I373" s="32">
        <f t="shared" si="143"/>
        <v>2</v>
      </c>
      <c r="N373" t="s">
        <v>152</v>
      </c>
      <c r="R373" s="32" t="str">
        <f t="shared" si="144"/>
        <v>4)Hex(5)Sulfo(2)</v>
      </c>
      <c r="S373" s="32" t="str">
        <f t="shared" si="145"/>
        <v>5)Sulfo(2)</v>
      </c>
      <c r="T373" s="32">
        <f t="shared" si="146"/>
        <v>0</v>
      </c>
      <c r="U373" s="32">
        <f t="shared" si="147"/>
        <v>0</v>
      </c>
      <c r="V373" s="32">
        <f t="shared" si="148"/>
        <v>0</v>
      </c>
      <c r="W373" s="32">
        <f t="shared" si="149"/>
        <v>0</v>
      </c>
      <c r="X373" s="32" t="str">
        <f t="shared" si="150"/>
        <v>2)</v>
      </c>
      <c r="Y373" s="32">
        <f t="shared" si="151"/>
        <v>0</v>
      </c>
      <c r="Z373" s="32">
        <f t="shared" si="152"/>
        <v>0</v>
      </c>
    </row>
    <row r="374" spans="1:26" x14ac:dyDescent="0.25">
      <c r="A374" s="30" t="str">
        <f t="shared" si="135"/>
        <v>4</v>
      </c>
      <c r="B374" s="30" t="str">
        <f t="shared" si="136"/>
        <v>5</v>
      </c>
      <c r="C374" s="30">
        <f t="shared" si="137"/>
        <v>0</v>
      </c>
      <c r="D374" s="31">
        <f t="shared" si="138"/>
        <v>0</v>
      </c>
      <c r="E374" s="31">
        <f t="shared" si="139"/>
        <v>0</v>
      </c>
      <c r="F374" s="32">
        <f t="shared" si="140"/>
        <v>0</v>
      </c>
      <c r="G374" s="31">
        <f t="shared" si="141"/>
        <v>3</v>
      </c>
      <c r="H374" s="31">
        <f t="shared" si="142"/>
        <v>0</v>
      </c>
      <c r="I374" s="32">
        <f t="shared" si="143"/>
        <v>3</v>
      </c>
      <c r="N374" t="s">
        <v>153</v>
      </c>
      <c r="R374" s="32" t="str">
        <f t="shared" si="144"/>
        <v>4)Hex(5)Sulfo(3)</v>
      </c>
      <c r="S374" s="32" t="str">
        <f t="shared" si="145"/>
        <v>5)Sulfo(3)</v>
      </c>
      <c r="T374" s="32">
        <f t="shared" si="146"/>
        <v>0</v>
      </c>
      <c r="U374" s="32">
        <f t="shared" si="147"/>
        <v>0</v>
      </c>
      <c r="V374" s="32">
        <f t="shared" si="148"/>
        <v>0</v>
      </c>
      <c r="W374" s="32">
        <f t="shared" si="149"/>
        <v>0</v>
      </c>
      <c r="X374" s="32" t="str">
        <f t="shared" si="150"/>
        <v>3)</v>
      </c>
      <c r="Y374" s="32">
        <f t="shared" si="151"/>
        <v>0</v>
      </c>
      <c r="Z374" s="32">
        <f t="shared" si="152"/>
        <v>0</v>
      </c>
    </row>
    <row r="375" spans="1:26" x14ac:dyDescent="0.25">
      <c r="A375" s="30" t="str">
        <f t="shared" si="135"/>
        <v>5</v>
      </c>
      <c r="B375" s="30" t="str">
        <f t="shared" si="136"/>
        <v>6</v>
      </c>
      <c r="C375" s="30">
        <f t="shared" si="137"/>
        <v>0</v>
      </c>
      <c r="D375" s="31">
        <f t="shared" si="138"/>
        <v>3</v>
      </c>
      <c r="E375" s="31">
        <f t="shared" si="139"/>
        <v>0</v>
      </c>
      <c r="F375" s="32">
        <f t="shared" si="140"/>
        <v>3</v>
      </c>
      <c r="G375" s="31">
        <f t="shared" si="141"/>
        <v>1</v>
      </c>
      <c r="H375" s="31">
        <f t="shared" si="142"/>
        <v>0</v>
      </c>
      <c r="I375" s="32">
        <f t="shared" si="143"/>
        <v>1</v>
      </c>
      <c r="N375" t="s">
        <v>154</v>
      </c>
      <c r="R375" s="32" t="str">
        <f t="shared" si="144"/>
        <v>5)Hex(6)NeuAc(3)Sulfo(1)</v>
      </c>
      <c r="S375" s="32" t="str">
        <f t="shared" si="145"/>
        <v>6)NeuAc(3)Sulfo(1)</v>
      </c>
      <c r="T375" s="32">
        <f t="shared" si="146"/>
        <v>0</v>
      </c>
      <c r="U375" s="32" t="str">
        <f t="shared" si="147"/>
        <v>3)Sulfo(1)</v>
      </c>
      <c r="V375" s="32">
        <f t="shared" si="148"/>
        <v>0</v>
      </c>
      <c r="W375" s="32">
        <f t="shared" si="149"/>
        <v>0</v>
      </c>
      <c r="X375" s="32" t="str">
        <f t="shared" si="150"/>
        <v>1)</v>
      </c>
      <c r="Y375" s="32">
        <f t="shared" si="151"/>
        <v>0</v>
      </c>
      <c r="Z375" s="32">
        <f t="shared" si="152"/>
        <v>0</v>
      </c>
    </row>
    <row r="376" spans="1:26" x14ac:dyDescent="0.25">
      <c r="A376" s="30" t="str">
        <f t="shared" si="135"/>
        <v>5</v>
      </c>
      <c r="B376" s="30" t="str">
        <f t="shared" si="136"/>
        <v>6</v>
      </c>
      <c r="C376" s="30">
        <f t="shared" si="137"/>
        <v>0</v>
      </c>
      <c r="D376" s="31">
        <f t="shared" si="138"/>
        <v>3</v>
      </c>
      <c r="E376" s="31">
        <f t="shared" si="139"/>
        <v>0</v>
      </c>
      <c r="F376" s="32">
        <f t="shared" si="140"/>
        <v>3</v>
      </c>
      <c r="G376" s="31">
        <f t="shared" si="141"/>
        <v>2</v>
      </c>
      <c r="H376" s="31">
        <f t="shared" si="142"/>
        <v>0</v>
      </c>
      <c r="I376" s="32">
        <f t="shared" si="143"/>
        <v>2</v>
      </c>
      <c r="N376" t="s">
        <v>155</v>
      </c>
      <c r="R376" s="32" t="str">
        <f t="shared" si="144"/>
        <v>5)Hex(6)NeuAc(3)Sulfo(2)</v>
      </c>
      <c r="S376" s="32" t="str">
        <f t="shared" si="145"/>
        <v>6)NeuAc(3)Sulfo(2)</v>
      </c>
      <c r="T376" s="32">
        <f t="shared" si="146"/>
        <v>0</v>
      </c>
      <c r="U376" s="32" t="str">
        <f t="shared" si="147"/>
        <v>3)Sulfo(2)</v>
      </c>
      <c r="V376" s="32">
        <f t="shared" si="148"/>
        <v>0</v>
      </c>
      <c r="W376" s="32">
        <f t="shared" si="149"/>
        <v>0</v>
      </c>
      <c r="X376" s="32" t="str">
        <f t="shared" si="150"/>
        <v>2)</v>
      </c>
      <c r="Y376" s="32">
        <f t="shared" si="151"/>
        <v>0</v>
      </c>
      <c r="Z376" s="32">
        <f t="shared" si="152"/>
        <v>0</v>
      </c>
    </row>
    <row r="377" spans="1:26" x14ac:dyDescent="0.25">
      <c r="A377" s="30" t="str">
        <f t="shared" si="135"/>
        <v>5</v>
      </c>
      <c r="B377" s="30" t="str">
        <f t="shared" si="136"/>
        <v>6</v>
      </c>
      <c r="C377" s="30">
        <f t="shared" si="137"/>
        <v>0</v>
      </c>
      <c r="D377" s="31">
        <f t="shared" si="138"/>
        <v>3</v>
      </c>
      <c r="E377" s="31">
        <f t="shared" si="139"/>
        <v>0</v>
      </c>
      <c r="F377" s="32">
        <f t="shared" si="140"/>
        <v>3</v>
      </c>
      <c r="G377" s="31">
        <f t="shared" si="141"/>
        <v>3</v>
      </c>
      <c r="H377" s="31">
        <f t="shared" si="142"/>
        <v>0</v>
      </c>
      <c r="I377" s="32">
        <f t="shared" si="143"/>
        <v>3</v>
      </c>
      <c r="N377" t="s">
        <v>156</v>
      </c>
      <c r="R377" s="32" t="str">
        <f t="shared" si="144"/>
        <v>5)Hex(6)NeuAc(3)Sulfo(3)</v>
      </c>
      <c r="S377" s="32" t="str">
        <f t="shared" si="145"/>
        <v>6)NeuAc(3)Sulfo(3)</v>
      </c>
      <c r="T377" s="32">
        <f t="shared" si="146"/>
        <v>0</v>
      </c>
      <c r="U377" s="32" t="str">
        <f t="shared" si="147"/>
        <v>3)Sulfo(3)</v>
      </c>
      <c r="V377" s="32">
        <f t="shared" si="148"/>
        <v>0</v>
      </c>
      <c r="W377" s="32">
        <f t="shared" si="149"/>
        <v>0</v>
      </c>
      <c r="X377" s="32" t="str">
        <f t="shared" si="150"/>
        <v>3)</v>
      </c>
      <c r="Y377" s="32">
        <f t="shared" si="151"/>
        <v>0</v>
      </c>
      <c r="Z377" s="32">
        <f t="shared" si="152"/>
        <v>0</v>
      </c>
    </row>
    <row r="378" spans="1:26" x14ac:dyDescent="0.25">
      <c r="A378" s="30" t="str">
        <f t="shared" si="135"/>
        <v>6</v>
      </c>
      <c r="B378" s="30" t="str">
        <f t="shared" si="136"/>
        <v>3</v>
      </c>
      <c r="C378" s="30" t="str">
        <f t="shared" si="137"/>
        <v>3</v>
      </c>
      <c r="D378" s="31">
        <f t="shared" si="138"/>
        <v>0</v>
      </c>
      <c r="E378" s="31">
        <f t="shared" si="139"/>
        <v>0</v>
      </c>
      <c r="F378" s="32">
        <f t="shared" si="140"/>
        <v>0</v>
      </c>
      <c r="G378" s="31">
        <f t="shared" si="141"/>
        <v>1</v>
      </c>
      <c r="H378" s="31">
        <f t="shared" si="142"/>
        <v>0</v>
      </c>
      <c r="I378" s="32">
        <f t="shared" si="143"/>
        <v>1</v>
      </c>
      <c r="N378" t="s">
        <v>157</v>
      </c>
      <c r="R378" s="32" t="str">
        <f t="shared" si="144"/>
        <v>6)Hex(3)Fuc(3)Sulfo(1)</v>
      </c>
      <c r="S378" s="32" t="str">
        <f t="shared" si="145"/>
        <v>3)Fuc(3)Sulfo(1)</v>
      </c>
      <c r="T378" s="32" t="str">
        <f t="shared" si="146"/>
        <v>3)Sulfo(1)</v>
      </c>
      <c r="U378" s="32">
        <f t="shared" si="147"/>
        <v>0</v>
      </c>
      <c r="V378" s="32">
        <f t="shared" si="148"/>
        <v>0</v>
      </c>
      <c r="W378" s="32">
        <f t="shared" si="149"/>
        <v>0</v>
      </c>
      <c r="X378" s="32" t="str">
        <f t="shared" si="150"/>
        <v>1)</v>
      </c>
      <c r="Y378" s="32">
        <f t="shared" si="151"/>
        <v>0</v>
      </c>
      <c r="Z378" s="32">
        <f t="shared" si="152"/>
        <v>0</v>
      </c>
    </row>
    <row r="379" spans="1:26" x14ac:dyDescent="0.25">
      <c r="A379" s="30" t="str">
        <f t="shared" si="135"/>
        <v>6</v>
      </c>
      <c r="B379" s="30" t="str">
        <f t="shared" si="136"/>
        <v>3</v>
      </c>
      <c r="C379" s="30" t="str">
        <f t="shared" si="137"/>
        <v>3</v>
      </c>
      <c r="D379" s="31">
        <f t="shared" si="138"/>
        <v>0</v>
      </c>
      <c r="E379" s="31">
        <f t="shared" si="139"/>
        <v>0</v>
      </c>
      <c r="F379" s="32">
        <f t="shared" si="140"/>
        <v>0</v>
      </c>
      <c r="G379" s="31">
        <f t="shared" si="141"/>
        <v>2</v>
      </c>
      <c r="H379" s="31">
        <f t="shared" si="142"/>
        <v>0</v>
      </c>
      <c r="I379" s="32">
        <f t="shared" si="143"/>
        <v>2</v>
      </c>
      <c r="N379" t="s">
        <v>158</v>
      </c>
      <c r="R379" s="32" t="str">
        <f t="shared" si="144"/>
        <v>6)Hex(3)Fuc(3)Sulfo(2)</v>
      </c>
      <c r="S379" s="32" t="str">
        <f t="shared" si="145"/>
        <v>3)Fuc(3)Sulfo(2)</v>
      </c>
      <c r="T379" s="32" t="str">
        <f t="shared" si="146"/>
        <v>3)Sulfo(2)</v>
      </c>
      <c r="U379" s="32">
        <f t="shared" si="147"/>
        <v>0</v>
      </c>
      <c r="V379" s="32">
        <f t="shared" si="148"/>
        <v>0</v>
      </c>
      <c r="W379" s="32">
        <f t="shared" si="149"/>
        <v>0</v>
      </c>
      <c r="X379" s="32" t="str">
        <f t="shared" si="150"/>
        <v>2)</v>
      </c>
      <c r="Y379" s="32">
        <f t="shared" si="151"/>
        <v>0</v>
      </c>
      <c r="Z379" s="32">
        <f t="shared" si="152"/>
        <v>0</v>
      </c>
    </row>
    <row r="380" spans="1:26" x14ac:dyDescent="0.25">
      <c r="A380" s="30" t="str">
        <f t="shared" si="135"/>
        <v>6</v>
      </c>
      <c r="B380" s="30" t="str">
        <f t="shared" si="136"/>
        <v>3</v>
      </c>
      <c r="C380" s="30" t="str">
        <f t="shared" si="137"/>
        <v>3</v>
      </c>
      <c r="D380" s="31">
        <f t="shared" si="138"/>
        <v>0</v>
      </c>
      <c r="E380" s="31">
        <f t="shared" si="139"/>
        <v>0</v>
      </c>
      <c r="F380" s="32">
        <f t="shared" si="140"/>
        <v>0</v>
      </c>
      <c r="G380" s="31">
        <f t="shared" si="141"/>
        <v>3</v>
      </c>
      <c r="H380" s="31">
        <f t="shared" si="142"/>
        <v>0</v>
      </c>
      <c r="I380" s="32">
        <f t="shared" si="143"/>
        <v>3</v>
      </c>
      <c r="N380" t="s">
        <v>159</v>
      </c>
      <c r="R380" s="32" t="str">
        <f t="shared" si="144"/>
        <v>6)Hex(3)Fuc(3)Sulfo(3)</v>
      </c>
      <c r="S380" s="32" t="str">
        <f t="shared" si="145"/>
        <v>3)Fuc(3)Sulfo(3)</v>
      </c>
      <c r="T380" s="32" t="str">
        <f t="shared" si="146"/>
        <v>3)Sulfo(3)</v>
      </c>
      <c r="U380" s="32">
        <f t="shared" si="147"/>
        <v>0</v>
      </c>
      <c r="V380" s="32">
        <f t="shared" si="148"/>
        <v>0</v>
      </c>
      <c r="W380" s="32">
        <f t="shared" si="149"/>
        <v>0</v>
      </c>
      <c r="X380" s="32" t="str">
        <f t="shared" si="150"/>
        <v>3)</v>
      </c>
      <c r="Y380" s="32">
        <f t="shared" si="151"/>
        <v>0</v>
      </c>
      <c r="Z380" s="32">
        <f t="shared" si="152"/>
        <v>0</v>
      </c>
    </row>
    <row r="381" spans="1:26" x14ac:dyDescent="0.25">
      <c r="A381" s="30" t="str">
        <f t="shared" si="135"/>
        <v>3</v>
      </c>
      <c r="B381" s="30" t="str">
        <f t="shared" si="136"/>
        <v>4</v>
      </c>
      <c r="C381" s="30">
        <f t="shared" si="137"/>
        <v>0</v>
      </c>
      <c r="D381" s="31">
        <f t="shared" si="138"/>
        <v>0</v>
      </c>
      <c r="E381" s="31">
        <f t="shared" si="139"/>
        <v>0</v>
      </c>
      <c r="F381" s="32">
        <f t="shared" si="140"/>
        <v>0</v>
      </c>
      <c r="G381" s="31">
        <f t="shared" si="141"/>
        <v>1</v>
      </c>
      <c r="H381" s="31">
        <f t="shared" si="142"/>
        <v>0</v>
      </c>
      <c r="I381" s="32">
        <f t="shared" si="143"/>
        <v>1</v>
      </c>
      <c r="N381" t="s">
        <v>160</v>
      </c>
      <c r="R381" s="32" t="str">
        <f t="shared" si="144"/>
        <v>3)Hex(4)Sulfo(1)</v>
      </c>
      <c r="S381" s="32" t="str">
        <f t="shared" si="145"/>
        <v>4)Sulfo(1)</v>
      </c>
      <c r="T381" s="32">
        <f t="shared" si="146"/>
        <v>0</v>
      </c>
      <c r="U381" s="32">
        <f t="shared" si="147"/>
        <v>0</v>
      </c>
      <c r="V381" s="32">
        <f t="shared" si="148"/>
        <v>0</v>
      </c>
      <c r="W381" s="32">
        <f t="shared" si="149"/>
        <v>0</v>
      </c>
      <c r="X381" s="32" t="str">
        <f t="shared" si="150"/>
        <v>1)</v>
      </c>
      <c r="Y381" s="32">
        <f t="shared" si="151"/>
        <v>0</v>
      </c>
      <c r="Z381" s="32">
        <f t="shared" si="152"/>
        <v>0</v>
      </c>
    </row>
    <row r="382" spans="1:26" x14ac:dyDescent="0.25">
      <c r="A382" s="30" t="str">
        <f t="shared" si="135"/>
        <v>3</v>
      </c>
      <c r="B382" s="30" t="str">
        <f t="shared" si="136"/>
        <v>4</v>
      </c>
      <c r="C382" s="30">
        <f t="shared" si="137"/>
        <v>0</v>
      </c>
      <c r="D382" s="31">
        <f t="shared" si="138"/>
        <v>0</v>
      </c>
      <c r="E382" s="31">
        <f t="shared" si="139"/>
        <v>0</v>
      </c>
      <c r="F382" s="32">
        <f t="shared" si="140"/>
        <v>0</v>
      </c>
      <c r="G382" s="31">
        <f t="shared" si="141"/>
        <v>2</v>
      </c>
      <c r="H382" s="31">
        <f t="shared" si="142"/>
        <v>0</v>
      </c>
      <c r="I382" s="32">
        <f t="shared" si="143"/>
        <v>2</v>
      </c>
      <c r="N382" t="s">
        <v>161</v>
      </c>
      <c r="R382" s="32" t="str">
        <f t="shared" si="144"/>
        <v>3)Hex(4)Sulfo(2)</v>
      </c>
      <c r="S382" s="32" t="str">
        <f t="shared" si="145"/>
        <v>4)Sulfo(2)</v>
      </c>
      <c r="T382" s="32">
        <f t="shared" si="146"/>
        <v>0</v>
      </c>
      <c r="U382" s="32">
        <f t="shared" si="147"/>
        <v>0</v>
      </c>
      <c r="V382" s="32">
        <f t="shared" si="148"/>
        <v>0</v>
      </c>
      <c r="W382" s="32">
        <f t="shared" si="149"/>
        <v>0</v>
      </c>
      <c r="X382" s="32" t="str">
        <f t="shared" si="150"/>
        <v>2)</v>
      </c>
      <c r="Y382" s="32">
        <f t="shared" si="151"/>
        <v>0</v>
      </c>
      <c r="Z382" s="32">
        <f t="shared" si="152"/>
        <v>0</v>
      </c>
    </row>
    <row r="383" spans="1:26" x14ac:dyDescent="0.25">
      <c r="A383" s="30" t="str">
        <f t="shared" si="135"/>
        <v>3</v>
      </c>
      <c r="B383" s="30" t="str">
        <f t="shared" si="136"/>
        <v>4</v>
      </c>
      <c r="C383" s="30">
        <f t="shared" si="137"/>
        <v>0</v>
      </c>
      <c r="D383" s="31">
        <f t="shared" si="138"/>
        <v>0</v>
      </c>
      <c r="E383" s="31">
        <f t="shared" si="139"/>
        <v>0</v>
      </c>
      <c r="F383" s="32">
        <f t="shared" si="140"/>
        <v>0</v>
      </c>
      <c r="G383" s="31">
        <f t="shared" si="141"/>
        <v>3</v>
      </c>
      <c r="H383" s="31">
        <f t="shared" si="142"/>
        <v>0</v>
      </c>
      <c r="I383" s="32">
        <f t="shared" si="143"/>
        <v>3</v>
      </c>
      <c r="N383" t="s">
        <v>162</v>
      </c>
      <c r="R383" s="32" t="str">
        <f t="shared" si="144"/>
        <v>3)Hex(4)Sulfo(3)</v>
      </c>
      <c r="S383" s="32" t="str">
        <f t="shared" si="145"/>
        <v>4)Sulfo(3)</v>
      </c>
      <c r="T383" s="32">
        <f t="shared" si="146"/>
        <v>0</v>
      </c>
      <c r="U383" s="32">
        <f t="shared" si="147"/>
        <v>0</v>
      </c>
      <c r="V383" s="32">
        <f t="shared" si="148"/>
        <v>0</v>
      </c>
      <c r="W383" s="32">
        <f t="shared" si="149"/>
        <v>0</v>
      </c>
      <c r="X383" s="32" t="str">
        <f t="shared" si="150"/>
        <v>3)</v>
      </c>
      <c r="Y383" s="32">
        <f t="shared" si="151"/>
        <v>0</v>
      </c>
      <c r="Z383" s="32">
        <f t="shared" si="152"/>
        <v>0</v>
      </c>
    </row>
    <row r="384" spans="1:26" x14ac:dyDescent="0.25">
      <c r="A384" s="30" t="str">
        <f t="shared" si="135"/>
        <v>5</v>
      </c>
      <c r="B384" s="30" t="str">
        <f t="shared" si="136"/>
        <v>4</v>
      </c>
      <c r="C384" s="30">
        <f t="shared" si="137"/>
        <v>0</v>
      </c>
      <c r="D384" s="31">
        <f t="shared" si="138"/>
        <v>0</v>
      </c>
      <c r="E384" s="31">
        <f t="shared" si="139"/>
        <v>0</v>
      </c>
      <c r="F384" s="32">
        <f t="shared" si="140"/>
        <v>0</v>
      </c>
      <c r="G384" s="31">
        <f t="shared" si="141"/>
        <v>1</v>
      </c>
      <c r="H384" s="31">
        <f t="shared" si="142"/>
        <v>0</v>
      </c>
      <c r="I384" s="32">
        <f t="shared" si="143"/>
        <v>1</v>
      </c>
      <c r="N384" t="s">
        <v>163</v>
      </c>
      <c r="R384" s="32" t="str">
        <f t="shared" si="144"/>
        <v>5)Hex(4)Sulfo(1)</v>
      </c>
      <c r="S384" s="32" t="str">
        <f t="shared" si="145"/>
        <v>4)Sulfo(1)</v>
      </c>
      <c r="T384" s="32">
        <f t="shared" si="146"/>
        <v>0</v>
      </c>
      <c r="U384" s="32">
        <f t="shared" si="147"/>
        <v>0</v>
      </c>
      <c r="V384" s="32">
        <f t="shared" si="148"/>
        <v>0</v>
      </c>
      <c r="W384" s="32">
        <f t="shared" si="149"/>
        <v>0</v>
      </c>
      <c r="X384" s="32" t="str">
        <f t="shared" si="150"/>
        <v>1)</v>
      </c>
      <c r="Y384" s="32">
        <f t="shared" si="151"/>
        <v>0</v>
      </c>
      <c r="Z384" s="32">
        <f t="shared" si="152"/>
        <v>0</v>
      </c>
    </row>
    <row r="385" spans="1:26" x14ac:dyDescent="0.25">
      <c r="A385" s="30" t="str">
        <f t="shared" si="135"/>
        <v>5</v>
      </c>
      <c r="B385" s="30" t="str">
        <f t="shared" si="136"/>
        <v>4</v>
      </c>
      <c r="C385" s="30">
        <f t="shared" si="137"/>
        <v>0</v>
      </c>
      <c r="D385" s="31">
        <f t="shared" si="138"/>
        <v>0</v>
      </c>
      <c r="E385" s="31">
        <f t="shared" si="139"/>
        <v>0</v>
      </c>
      <c r="F385" s="32">
        <f t="shared" si="140"/>
        <v>0</v>
      </c>
      <c r="G385" s="31">
        <f t="shared" si="141"/>
        <v>2</v>
      </c>
      <c r="H385" s="31">
        <f t="shared" si="142"/>
        <v>0</v>
      </c>
      <c r="I385" s="32">
        <f t="shared" si="143"/>
        <v>2</v>
      </c>
      <c r="N385" t="s">
        <v>164</v>
      </c>
      <c r="R385" s="32" t="str">
        <f t="shared" si="144"/>
        <v>5)Hex(4)Sulfo(2)</v>
      </c>
      <c r="S385" s="32" t="str">
        <f t="shared" si="145"/>
        <v>4)Sulfo(2)</v>
      </c>
      <c r="T385" s="32">
        <f t="shared" si="146"/>
        <v>0</v>
      </c>
      <c r="U385" s="32">
        <f t="shared" si="147"/>
        <v>0</v>
      </c>
      <c r="V385" s="32">
        <f t="shared" si="148"/>
        <v>0</v>
      </c>
      <c r="W385" s="32">
        <f t="shared" si="149"/>
        <v>0</v>
      </c>
      <c r="X385" s="32" t="str">
        <f t="shared" si="150"/>
        <v>2)</v>
      </c>
      <c r="Y385" s="32">
        <f t="shared" si="151"/>
        <v>0</v>
      </c>
      <c r="Z385" s="32">
        <f t="shared" si="152"/>
        <v>0</v>
      </c>
    </row>
    <row r="386" spans="1:26" x14ac:dyDescent="0.25">
      <c r="A386" s="30" t="str">
        <f t="shared" si="135"/>
        <v>5</v>
      </c>
      <c r="B386" s="30" t="str">
        <f t="shared" si="136"/>
        <v>4</v>
      </c>
      <c r="C386" s="30">
        <f t="shared" si="137"/>
        <v>0</v>
      </c>
      <c r="D386" s="31">
        <f t="shared" si="138"/>
        <v>0</v>
      </c>
      <c r="E386" s="31">
        <f t="shared" si="139"/>
        <v>0</v>
      </c>
      <c r="F386" s="32">
        <f t="shared" si="140"/>
        <v>0</v>
      </c>
      <c r="G386" s="31">
        <f t="shared" si="141"/>
        <v>3</v>
      </c>
      <c r="H386" s="31">
        <f t="shared" si="142"/>
        <v>0</v>
      </c>
      <c r="I386" s="32">
        <f t="shared" si="143"/>
        <v>3</v>
      </c>
      <c r="N386" t="s">
        <v>165</v>
      </c>
      <c r="R386" s="32" t="str">
        <f t="shared" si="144"/>
        <v>5)Hex(4)Sulfo(3)</v>
      </c>
      <c r="S386" s="32" t="str">
        <f t="shared" si="145"/>
        <v>4)Sulfo(3)</v>
      </c>
      <c r="T386" s="32">
        <f t="shared" si="146"/>
        <v>0</v>
      </c>
      <c r="U386" s="32">
        <f t="shared" si="147"/>
        <v>0</v>
      </c>
      <c r="V386" s="32">
        <f t="shared" si="148"/>
        <v>0</v>
      </c>
      <c r="W386" s="32">
        <f t="shared" si="149"/>
        <v>0</v>
      </c>
      <c r="X386" s="32" t="str">
        <f t="shared" si="150"/>
        <v>3)</v>
      </c>
      <c r="Y386" s="32">
        <f t="shared" si="151"/>
        <v>0</v>
      </c>
      <c r="Z386" s="32">
        <f t="shared" si="152"/>
        <v>0</v>
      </c>
    </row>
    <row r="387" spans="1:26" x14ac:dyDescent="0.25">
      <c r="A387" s="30" t="str">
        <f t="shared" si="135"/>
        <v>3</v>
      </c>
      <c r="B387" s="30" t="str">
        <f t="shared" si="136"/>
        <v>3</v>
      </c>
      <c r="C387" s="30" t="str">
        <f t="shared" si="137"/>
        <v>2</v>
      </c>
      <c r="D387" s="31">
        <f t="shared" si="138"/>
        <v>0</v>
      </c>
      <c r="E387" s="31">
        <f t="shared" si="139"/>
        <v>0</v>
      </c>
      <c r="F387" s="32">
        <f t="shared" si="140"/>
        <v>0</v>
      </c>
      <c r="G387" s="31">
        <f t="shared" si="141"/>
        <v>1</v>
      </c>
      <c r="H387" s="31">
        <f t="shared" si="142"/>
        <v>0</v>
      </c>
      <c r="I387" s="32">
        <f t="shared" si="143"/>
        <v>1</v>
      </c>
      <c r="N387" t="s">
        <v>166</v>
      </c>
      <c r="R387" s="32" t="str">
        <f t="shared" si="144"/>
        <v>3)Hex(3)Fuc(2)Sulfo(1)</v>
      </c>
      <c r="S387" s="32" t="str">
        <f t="shared" si="145"/>
        <v>3)Fuc(2)Sulfo(1)</v>
      </c>
      <c r="T387" s="32" t="str">
        <f t="shared" si="146"/>
        <v>2)Sulfo(1)</v>
      </c>
      <c r="U387" s="32">
        <f t="shared" si="147"/>
        <v>0</v>
      </c>
      <c r="V387" s="32">
        <f t="shared" si="148"/>
        <v>0</v>
      </c>
      <c r="W387" s="32">
        <f t="shared" si="149"/>
        <v>0</v>
      </c>
      <c r="X387" s="32" t="str">
        <f t="shared" si="150"/>
        <v>1)</v>
      </c>
      <c r="Y387" s="32">
        <f t="shared" si="151"/>
        <v>0</v>
      </c>
      <c r="Z387" s="32">
        <f t="shared" si="152"/>
        <v>0</v>
      </c>
    </row>
    <row r="388" spans="1:26" x14ac:dyDescent="0.25">
      <c r="A388" s="30" t="str">
        <f t="shared" si="135"/>
        <v>3</v>
      </c>
      <c r="B388" s="30" t="str">
        <f t="shared" si="136"/>
        <v>3</v>
      </c>
      <c r="C388" s="30" t="str">
        <f t="shared" si="137"/>
        <v>2</v>
      </c>
      <c r="D388" s="31">
        <f t="shared" si="138"/>
        <v>0</v>
      </c>
      <c r="E388" s="31">
        <f t="shared" si="139"/>
        <v>0</v>
      </c>
      <c r="F388" s="32">
        <f t="shared" si="140"/>
        <v>0</v>
      </c>
      <c r="G388" s="31">
        <f t="shared" si="141"/>
        <v>2</v>
      </c>
      <c r="H388" s="31">
        <f t="shared" si="142"/>
        <v>0</v>
      </c>
      <c r="I388" s="32">
        <f t="shared" si="143"/>
        <v>2</v>
      </c>
      <c r="N388" t="s">
        <v>167</v>
      </c>
      <c r="R388" s="32" t="str">
        <f t="shared" si="144"/>
        <v>3)Hex(3)Fuc(2)Sulfo(2)</v>
      </c>
      <c r="S388" s="32" t="str">
        <f t="shared" si="145"/>
        <v>3)Fuc(2)Sulfo(2)</v>
      </c>
      <c r="T388" s="32" t="str">
        <f t="shared" si="146"/>
        <v>2)Sulfo(2)</v>
      </c>
      <c r="U388" s="32">
        <f t="shared" si="147"/>
        <v>0</v>
      </c>
      <c r="V388" s="32">
        <f t="shared" si="148"/>
        <v>0</v>
      </c>
      <c r="W388" s="32">
        <f t="shared" si="149"/>
        <v>0</v>
      </c>
      <c r="X388" s="32" t="str">
        <f t="shared" si="150"/>
        <v>2)</v>
      </c>
      <c r="Y388" s="32">
        <f t="shared" si="151"/>
        <v>0</v>
      </c>
      <c r="Z388" s="32">
        <f t="shared" si="152"/>
        <v>0</v>
      </c>
    </row>
    <row r="389" spans="1:26" x14ac:dyDescent="0.25">
      <c r="A389" s="30" t="str">
        <f t="shared" si="135"/>
        <v>3</v>
      </c>
      <c r="B389" s="30" t="str">
        <f t="shared" si="136"/>
        <v>3</v>
      </c>
      <c r="C389" s="30" t="str">
        <f t="shared" si="137"/>
        <v>2</v>
      </c>
      <c r="D389" s="31">
        <f t="shared" si="138"/>
        <v>0</v>
      </c>
      <c r="E389" s="31">
        <f t="shared" si="139"/>
        <v>0</v>
      </c>
      <c r="F389" s="32">
        <f t="shared" si="140"/>
        <v>0</v>
      </c>
      <c r="G389" s="31">
        <f t="shared" si="141"/>
        <v>3</v>
      </c>
      <c r="H389" s="31">
        <f t="shared" si="142"/>
        <v>0</v>
      </c>
      <c r="I389" s="32">
        <f t="shared" si="143"/>
        <v>3</v>
      </c>
      <c r="N389" t="s">
        <v>168</v>
      </c>
      <c r="R389" s="32" t="str">
        <f t="shared" si="144"/>
        <v>3)Hex(3)Fuc(2)Sulfo(3)</v>
      </c>
      <c r="S389" s="32" t="str">
        <f t="shared" si="145"/>
        <v>3)Fuc(2)Sulfo(3)</v>
      </c>
      <c r="T389" s="32" t="str">
        <f t="shared" si="146"/>
        <v>2)Sulfo(3)</v>
      </c>
      <c r="U389" s="32">
        <f t="shared" si="147"/>
        <v>0</v>
      </c>
      <c r="V389" s="32">
        <f t="shared" si="148"/>
        <v>0</v>
      </c>
      <c r="W389" s="32">
        <f t="shared" si="149"/>
        <v>0</v>
      </c>
      <c r="X389" s="32" t="str">
        <f t="shared" si="150"/>
        <v>3)</v>
      </c>
      <c r="Y389" s="32">
        <f t="shared" si="151"/>
        <v>0</v>
      </c>
      <c r="Z389" s="32">
        <f t="shared" si="152"/>
        <v>0</v>
      </c>
    </row>
    <row r="390" spans="1:26" x14ac:dyDescent="0.25">
      <c r="A390" s="30" t="str">
        <f t="shared" si="135"/>
        <v>3</v>
      </c>
      <c r="B390" s="30" t="str">
        <f t="shared" si="136"/>
        <v>4</v>
      </c>
      <c r="C390" s="30" t="str">
        <f t="shared" si="137"/>
        <v>1</v>
      </c>
      <c r="D390" s="31">
        <f t="shared" si="138"/>
        <v>1</v>
      </c>
      <c r="E390" s="31">
        <f t="shared" si="139"/>
        <v>0</v>
      </c>
      <c r="F390" s="32">
        <f t="shared" si="140"/>
        <v>1</v>
      </c>
      <c r="G390" s="31">
        <f t="shared" si="141"/>
        <v>1</v>
      </c>
      <c r="H390" s="31">
        <f t="shared" si="142"/>
        <v>0</v>
      </c>
      <c r="I390" s="32">
        <f t="shared" si="143"/>
        <v>1</v>
      </c>
      <c r="N390" t="s">
        <v>169</v>
      </c>
      <c r="R390" s="32" t="str">
        <f t="shared" si="144"/>
        <v>3)Hex(4)Fuc(1)NeuAc(1)Sulfo(1)</v>
      </c>
      <c r="S390" s="32" t="str">
        <f t="shared" si="145"/>
        <v>4)Fuc(1)NeuAc(1)Sulfo(1)</v>
      </c>
      <c r="T390" s="32" t="str">
        <f t="shared" si="146"/>
        <v>1)NeuAc(1)Sulfo(1)</v>
      </c>
      <c r="U390" s="32" t="str">
        <f t="shared" si="147"/>
        <v>1)Sulfo(1)</v>
      </c>
      <c r="V390" s="32">
        <f t="shared" si="148"/>
        <v>0</v>
      </c>
      <c r="W390" s="32">
        <f t="shared" si="149"/>
        <v>0</v>
      </c>
      <c r="X390" s="32" t="str">
        <f t="shared" si="150"/>
        <v>1)</v>
      </c>
      <c r="Y390" s="32">
        <f t="shared" si="151"/>
        <v>0</v>
      </c>
      <c r="Z390" s="32">
        <f t="shared" si="152"/>
        <v>0</v>
      </c>
    </row>
    <row r="391" spans="1:26" x14ac:dyDescent="0.25">
      <c r="A391" s="30" t="str">
        <f t="shared" si="135"/>
        <v>3</v>
      </c>
      <c r="B391" s="30" t="str">
        <f t="shared" si="136"/>
        <v>4</v>
      </c>
      <c r="C391" s="30" t="str">
        <f t="shared" si="137"/>
        <v>1</v>
      </c>
      <c r="D391" s="31">
        <f t="shared" si="138"/>
        <v>1</v>
      </c>
      <c r="E391" s="31">
        <f t="shared" si="139"/>
        <v>0</v>
      </c>
      <c r="F391" s="32">
        <f t="shared" si="140"/>
        <v>1</v>
      </c>
      <c r="G391" s="31">
        <f t="shared" si="141"/>
        <v>2</v>
      </c>
      <c r="H391" s="31">
        <f t="shared" si="142"/>
        <v>0</v>
      </c>
      <c r="I391" s="32">
        <f t="shared" si="143"/>
        <v>2</v>
      </c>
      <c r="N391" t="s">
        <v>170</v>
      </c>
      <c r="R391" s="32" t="str">
        <f t="shared" si="144"/>
        <v>3)Hex(4)Fuc(1)NeuAc(1)Sulfo(2)</v>
      </c>
      <c r="S391" s="32" t="str">
        <f t="shared" si="145"/>
        <v>4)Fuc(1)NeuAc(1)Sulfo(2)</v>
      </c>
      <c r="T391" s="32" t="str">
        <f t="shared" si="146"/>
        <v>1)NeuAc(1)Sulfo(2)</v>
      </c>
      <c r="U391" s="32" t="str">
        <f t="shared" si="147"/>
        <v>1)Sulfo(2)</v>
      </c>
      <c r="V391" s="32">
        <f t="shared" si="148"/>
        <v>0</v>
      </c>
      <c r="W391" s="32">
        <f t="shared" si="149"/>
        <v>0</v>
      </c>
      <c r="X391" s="32" t="str">
        <f t="shared" si="150"/>
        <v>2)</v>
      </c>
      <c r="Y391" s="32">
        <f t="shared" si="151"/>
        <v>0</v>
      </c>
      <c r="Z391" s="32">
        <f t="shared" si="152"/>
        <v>0</v>
      </c>
    </row>
    <row r="392" spans="1:26" x14ac:dyDescent="0.25">
      <c r="A392" s="30" t="str">
        <f t="shared" si="135"/>
        <v>3</v>
      </c>
      <c r="B392" s="30" t="str">
        <f t="shared" si="136"/>
        <v>4</v>
      </c>
      <c r="C392" s="30" t="str">
        <f t="shared" si="137"/>
        <v>1</v>
      </c>
      <c r="D392" s="31">
        <f t="shared" si="138"/>
        <v>1</v>
      </c>
      <c r="E392" s="31">
        <f t="shared" si="139"/>
        <v>0</v>
      </c>
      <c r="F392" s="32">
        <f t="shared" si="140"/>
        <v>1</v>
      </c>
      <c r="G392" s="31">
        <f t="shared" si="141"/>
        <v>3</v>
      </c>
      <c r="H392" s="31">
        <f t="shared" si="142"/>
        <v>0</v>
      </c>
      <c r="I392" s="32">
        <f t="shared" si="143"/>
        <v>3</v>
      </c>
      <c r="N392" t="s">
        <v>171</v>
      </c>
      <c r="R392" s="32" t="str">
        <f t="shared" si="144"/>
        <v>3)Hex(4)Fuc(1)NeuAc(1)Sulfo(3)</v>
      </c>
      <c r="S392" s="32" t="str">
        <f t="shared" si="145"/>
        <v>4)Fuc(1)NeuAc(1)Sulfo(3)</v>
      </c>
      <c r="T392" s="32" t="str">
        <f t="shared" si="146"/>
        <v>1)NeuAc(1)Sulfo(3)</v>
      </c>
      <c r="U392" s="32" t="str">
        <f t="shared" si="147"/>
        <v>1)Sulfo(3)</v>
      </c>
      <c r="V392" s="32">
        <f t="shared" si="148"/>
        <v>0</v>
      </c>
      <c r="W392" s="32">
        <f t="shared" si="149"/>
        <v>0</v>
      </c>
      <c r="X392" s="32" t="str">
        <f t="shared" si="150"/>
        <v>3)</v>
      </c>
      <c r="Y392" s="32">
        <f t="shared" si="151"/>
        <v>0</v>
      </c>
      <c r="Z392" s="32">
        <f t="shared" si="152"/>
        <v>0</v>
      </c>
    </row>
    <row r="393" spans="1:26" x14ac:dyDescent="0.25">
      <c r="A393" s="30" t="str">
        <f t="shared" si="135"/>
        <v>4</v>
      </c>
      <c r="B393" s="30" t="str">
        <f t="shared" si="136"/>
        <v>4</v>
      </c>
      <c r="C393" s="30" t="str">
        <f t="shared" si="137"/>
        <v>2</v>
      </c>
      <c r="D393" s="31">
        <f t="shared" si="138"/>
        <v>0</v>
      </c>
      <c r="E393" s="31">
        <f t="shared" si="139"/>
        <v>0</v>
      </c>
      <c r="F393" s="32">
        <f t="shared" si="140"/>
        <v>0</v>
      </c>
      <c r="G393" s="31">
        <f t="shared" si="141"/>
        <v>1</v>
      </c>
      <c r="H393" s="31">
        <f t="shared" si="142"/>
        <v>0</v>
      </c>
      <c r="I393" s="32">
        <f t="shared" si="143"/>
        <v>1</v>
      </c>
      <c r="N393" t="s">
        <v>172</v>
      </c>
      <c r="R393" s="32" t="str">
        <f t="shared" si="144"/>
        <v>4)Hex(4)Fuc(2)Sulfo(1)</v>
      </c>
      <c r="S393" s="32" t="str">
        <f t="shared" si="145"/>
        <v>4)Fuc(2)Sulfo(1)</v>
      </c>
      <c r="T393" s="32" t="str">
        <f t="shared" si="146"/>
        <v>2)Sulfo(1)</v>
      </c>
      <c r="U393" s="32">
        <f t="shared" si="147"/>
        <v>0</v>
      </c>
      <c r="V393" s="32">
        <f t="shared" si="148"/>
        <v>0</v>
      </c>
      <c r="W393" s="32">
        <f t="shared" si="149"/>
        <v>0</v>
      </c>
      <c r="X393" s="32" t="str">
        <f t="shared" si="150"/>
        <v>1)</v>
      </c>
      <c r="Y393" s="32">
        <f t="shared" si="151"/>
        <v>0</v>
      </c>
      <c r="Z393" s="32">
        <f t="shared" si="152"/>
        <v>0</v>
      </c>
    </row>
    <row r="394" spans="1:26" x14ac:dyDescent="0.25">
      <c r="A394" s="30" t="str">
        <f t="shared" si="135"/>
        <v>4</v>
      </c>
      <c r="B394" s="30" t="str">
        <f t="shared" si="136"/>
        <v>4</v>
      </c>
      <c r="C394" s="30" t="str">
        <f t="shared" si="137"/>
        <v>2</v>
      </c>
      <c r="D394" s="31">
        <f t="shared" si="138"/>
        <v>0</v>
      </c>
      <c r="E394" s="31">
        <f t="shared" si="139"/>
        <v>0</v>
      </c>
      <c r="F394" s="32">
        <f t="shared" si="140"/>
        <v>0</v>
      </c>
      <c r="G394" s="31">
        <f t="shared" si="141"/>
        <v>2</v>
      </c>
      <c r="H394" s="31">
        <f t="shared" si="142"/>
        <v>0</v>
      </c>
      <c r="I394" s="32">
        <f t="shared" si="143"/>
        <v>2</v>
      </c>
      <c r="N394" t="s">
        <v>173</v>
      </c>
      <c r="R394" s="32" t="str">
        <f t="shared" si="144"/>
        <v>4)Hex(4)Fuc(2)Sulfo(2)</v>
      </c>
      <c r="S394" s="32" t="str">
        <f t="shared" si="145"/>
        <v>4)Fuc(2)Sulfo(2)</v>
      </c>
      <c r="T394" s="32" t="str">
        <f t="shared" si="146"/>
        <v>2)Sulfo(2)</v>
      </c>
      <c r="U394" s="32">
        <f t="shared" si="147"/>
        <v>0</v>
      </c>
      <c r="V394" s="32">
        <f t="shared" si="148"/>
        <v>0</v>
      </c>
      <c r="W394" s="32">
        <f t="shared" si="149"/>
        <v>0</v>
      </c>
      <c r="X394" s="32" t="str">
        <f t="shared" si="150"/>
        <v>2)</v>
      </c>
      <c r="Y394" s="32">
        <f t="shared" si="151"/>
        <v>0</v>
      </c>
      <c r="Z394" s="32">
        <f t="shared" si="152"/>
        <v>0</v>
      </c>
    </row>
    <row r="395" spans="1:26" x14ac:dyDescent="0.25">
      <c r="A395" s="30" t="str">
        <f t="shared" ref="A395:A442" si="153">IFERROR(LEFT(R395,FIND(")",R395)-1),0)</f>
        <v>4</v>
      </c>
      <c r="B395" s="30" t="str">
        <f t="shared" ref="B395:B442" si="154">IFERROR(LEFT(S395,FIND(")",S395)-1),0)</f>
        <v>4</v>
      </c>
      <c r="C395" s="30" t="str">
        <f t="shared" ref="C395:C442" si="155">IFERROR(LEFT(T395,FIND(")",T395)-1),0)</f>
        <v>2</v>
      </c>
      <c r="D395" s="31">
        <f t="shared" ref="D395:D442" si="156">VALUE(IFERROR(LEFT(U395,FIND(")",U395)-1),0))</f>
        <v>0</v>
      </c>
      <c r="E395" s="31">
        <f t="shared" ref="E395:E442" si="157">VALUE(IFERROR(LEFT(V395,FIND(")",V395)-1),0))</f>
        <v>0</v>
      </c>
      <c r="F395" s="32">
        <f t="shared" ref="F395:F442" si="158">SUM(D395:E395)</f>
        <v>0</v>
      </c>
      <c r="G395" s="31">
        <f t="shared" ref="G395:G442" si="159">VALUE(IFERROR(LEFT(X395,FIND(")",X395)-1),0))</f>
        <v>3</v>
      </c>
      <c r="H395" s="31">
        <f t="shared" ref="H395:H442" si="160">VALUE(IFERROR(LEFT(Y395,FIND(")",Y395)-1),0))</f>
        <v>0</v>
      </c>
      <c r="I395" s="32">
        <f t="shared" ref="I395:I442" si="161">SUM(G395:H395)</f>
        <v>3</v>
      </c>
      <c r="N395" t="s">
        <v>174</v>
      </c>
      <c r="R395" s="32" t="str">
        <f t="shared" si="144"/>
        <v>4)Hex(4)Fuc(2)Sulfo(3)</v>
      </c>
      <c r="S395" s="32" t="str">
        <f t="shared" si="145"/>
        <v>4)Fuc(2)Sulfo(3)</v>
      </c>
      <c r="T395" s="32" t="str">
        <f t="shared" si="146"/>
        <v>2)Sulfo(3)</v>
      </c>
      <c r="U395" s="32">
        <f t="shared" si="147"/>
        <v>0</v>
      </c>
      <c r="V395" s="32">
        <f t="shared" si="148"/>
        <v>0</v>
      </c>
      <c r="W395" s="32">
        <f t="shared" si="149"/>
        <v>0</v>
      </c>
      <c r="X395" s="32" t="str">
        <f t="shared" si="150"/>
        <v>3)</v>
      </c>
      <c r="Y395" s="32">
        <f t="shared" si="151"/>
        <v>0</v>
      </c>
      <c r="Z395" s="32">
        <f t="shared" si="152"/>
        <v>0</v>
      </c>
    </row>
    <row r="396" spans="1:26" x14ac:dyDescent="0.25">
      <c r="A396" s="30" t="str">
        <f t="shared" si="153"/>
        <v>6</v>
      </c>
      <c r="B396" s="30" t="str">
        <f t="shared" si="154"/>
        <v>5</v>
      </c>
      <c r="C396" s="30" t="str">
        <f t="shared" si="155"/>
        <v>2</v>
      </c>
      <c r="D396" s="31">
        <f t="shared" si="156"/>
        <v>0</v>
      </c>
      <c r="E396" s="31">
        <f t="shared" si="157"/>
        <v>0</v>
      </c>
      <c r="F396" s="32">
        <f t="shared" si="158"/>
        <v>0</v>
      </c>
      <c r="G396" s="31">
        <f t="shared" si="159"/>
        <v>1</v>
      </c>
      <c r="H396" s="31">
        <f t="shared" si="160"/>
        <v>0</v>
      </c>
      <c r="I396" s="32">
        <f t="shared" si="161"/>
        <v>1</v>
      </c>
      <c r="N396" t="s">
        <v>175</v>
      </c>
      <c r="R396" s="32" t="str">
        <f t="shared" si="144"/>
        <v>6)Hex(5)Fuc(2)Sulfo(1)</v>
      </c>
      <c r="S396" s="32" t="str">
        <f t="shared" si="145"/>
        <v>5)Fuc(2)Sulfo(1)</v>
      </c>
      <c r="T396" s="32" t="str">
        <f t="shared" si="146"/>
        <v>2)Sulfo(1)</v>
      </c>
      <c r="U396" s="32">
        <f t="shared" si="147"/>
        <v>0</v>
      </c>
      <c r="V396" s="32">
        <f t="shared" si="148"/>
        <v>0</v>
      </c>
      <c r="W396" s="32">
        <f t="shared" si="149"/>
        <v>0</v>
      </c>
      <c r="X396" s="32" t="str">
        <f t="shared" si="150"/>
        <v>1)</v>
      </c>
      <c r="Y396" s="32">
        <f t="shared" si="151"/>
        <v>0</v>
      </c>
      <c r="Z396" s="32">
        <f t="shared" si="152"/>
        <v>0</v>
      </c>
    </row>
    <row r="397" spans="1:26" x14ac:dyDescent="0.25">
      <c r="A397" s="30" t="str">
        <f t="shared" si="153"/>
        <v>6</v>
      </c>
      <c r="B397" s="30" t="str">
        <f t="shared" si="154"/>
        <v>5</v>
      </c>
      <c r="C397" s="30" t="str">
        <f t="shared" si="155"/>
        <v>2</v>
      </c>
      <c r="D397" s="31">
        <f t="shared" si="156"/>
        <v>0</v>
      </c>
      <c r="E397" s="31">
        <f t="shared" si="157"/>
        <v>0</v>
      </c>
      <c r="F397" s="32">
        <f t="shared" si="158"/>
        <v>0</v>
      </c>
      <c r="G397" s="31">
        <f t="shared" si="159"/>
        <v>2</v>
      </c>
      <c r="H397" s="31">
        <f t="shared" si="160"/>
        <v>0</v>
      </c>
      <c r="I397" s="32">
        <f t="shared" si="161"/>
        <v>2</v>
      </c>
      <c r="N397" t="s">
        <v>176</v>
      </c>
      <c r="R397" s="32" t="str">
        <f t="shared" si="144"/>
        <v>6)Hex(5)Fuc(2)Sulfo(2)</v>
      </c>
      <c r="S397" s="32" t="str">
        <f t="shared" si="145"/>
        <v>5)Fuc(2)Sulfo(2)</v>
      </c>
      <c r="T397" s="32" t="str">
        <f t="shared" si="146"/>
        <v>2)Sulfo(2)</v>
      </c>
      <c r="U397" s="32">
        <f t="shared" si="147"/>
        <v>0</v>
      </c>
      <c r="V397" s="32">
        <f t="shared" si="148"/>
        <v>0</v>
      </c>
      <c r="W397" s="32">
        <f t="shared" si="149"/>
        <v>0</v>
      </c>
      <c r="X397" s="32" t="str">
        <f t="shared" si="150"/>
        <v>2)</v>
      </c>
      <c r="Y397" s="32">
        <f t="shared" si="151"/>
        <v>0</v>
      </c>
      <c r="Z397" s="32">
        <f t="shared" si="152"/>
        <v>0</v>
      </c>
    </row>
    <row r="398" spans="1:26" x14ac:dyDescent="0.25">
      <c r="A398" s="30" t="str">
        <f t="shared" si="153"/>
        <v>6</v>
      </c>
      <c r="B398" s="30" t="str">
        <f t="shared" si="154"/>
        <v>5</v>
      </c>
      <c r="C398" s="30" t="str">
        <f t="shared" si="155"/>
        <v>2</v>
      </c>
      <c r="D398" s="31">
        <f t="shared" si="156"/>
        <v>0</v>
      </c>
      <c r="E398" s="31">
        <f t="shared" si="157"/>
        <v>0</v>
      </c>
      <c r="F398" s="32">
        <f t="shared" si="158"/>
        <v>0</v>
      </c>
      <c r="G398" s="31">
        <f t="shared" si="159"/>
        <v>3</v>
      </c>
      <c r="H398" s="31">
        <f t="shared" si="160"/>
        <v>0</v>
      </c>
      <c r="I398" s="32">
        <f t="shared" si="161"/>
        <v>3</v>
      </c>
      <c r="N398" t="s">
        <v>177</v>
      </c>
      <c r="R398" s="32" t="str">
        <f t="shared" ref="R398:R442" si="162">IFERROR(MID($N398,SEARCH(A$1&amp;"(",$N398)+LEN(A$1)+1,LEN($N398)),0)</f>
        <v>6)Hex(5)Fuc(2)Sulfo(3)</v>
      </c>
      <c r="S398" s="32" t="str">
        <f t="shared" ref="S398:S442" si="163">IFERROR(MID($N398,SEARCH(B$1&amp;"(",$N398)+LEN(B$1)+1,LEN($N398)),0)</f>
        <v>5)Fuc(2)Sulfo(3)</v>
      </c>
      <c r="T398" s="32" t="str">
        <f t="shared" ref="T398:T442" si="164">IFERROR(MID($N398,SEARCH(C$1&amp;"(",$N398)+LEN(C$1)+1,LEN($N398)),0)</f>
        <v>2)Sulfo(3)</v>
      </c>
      <c r="U398" s="32">
        <f t="shared" ref="U398:U442" si="165">IFERROR(MID($N398,SEARCH(D$1&amp;"(",$N398)+LEN(D$1)+1,LEN($N398)),0)</f>
        <v>0</v>
      </c>
      <c r="V398" s="32">
        <f t="shared" ref="V398:V442" si="166">IFERROR(MID($N398,SEARCH(E$1&amp;"(",$N398)+LEN(E$1)+1,LEN($N398)),0)</f>
        <v>0</v>
      </c>
      <c r="W398" s="32">
        <f t="shared" ref="W398:W442" si="167">IFERROR(MID($N398,SEARCH(F$1&amp;"(",$N398)+LEN(F$1)+1,LEN($N398)),0)</f>
        <v>0</v>
      </c>
      <c r="X398" s="32" t="str">
        <f t="shared" ref="X398:X442" si="168">IFERROR(MID($N398,SEARCH(G$1&amp;"(",$N398)+LEN(G$1)+1,LEN($N398)),0)</f>
        <v>3)</v>
      </c>
      <c r="Y398" s="32">
        <f t="shared" ref="Y398:Y442" si="169">IFERROR(MID($N398,SEARCH(H$1&amp;"(",$N398)+LEN(H$1)+1,LEN($N398)),0)</f>
        <v>0</v>
      </c>
      <c r="Z398" s="32">
        <f t="shared" ref="Z398:Z442" si="170">IFERROR(MID($N398,SEARCH(I$1&amp;"(",$N398)+LEN(I$1)+1,LEN($N398)),0)</f>
        <v>0</v>
      </c>
    </row>
    <row r="399" spans="1:26" x14ac:dyDescent="0.25">
      <c r="A399" s="30" t="str">
        <f t="shared" si="153"/>
        <v>6</v>
      </c>
      <c r="B399" s="30" t="str">
        <f t="shared" si="154"/>
        <v>4</v>
      </c>
      <c r="C399" s="30" t="str">
        <f t="shared" si="155"/>
        <v>2</v>
      </c>
      <c r="D399" s="31">
        <f t="shared" si="156"/>
        <v>0</v>
      </c>
      <c r="E399" s="31">
        <f t="shared" si="157"/>
        <v>0</v>
      </c>
      <c r="F399" s="32">
        <f t="shared" si="158"/>
        <v>0</v>
      </c>
      <c r="G399" s="31">
        <f t="shared" si="159"/>
        <v>1</v>
      </c>
      <c r="H399" s="31">
        <f t="shared" si="160"/>
        <v>0</v>
      </c>
      <c r="I399" s="32">
        <f t="shared" si="161"/>
        <v>1</v>
      </c>
      <c r="N399" t="s">
        <v>178</v>
      </c>
      <c r="R399" s="32" t="str">
        <f t="shared" si="162"/>
        <v>6)Hex(4)Fuc(2)Sulfo(1)</v>
      </c>
      <c r="S399" s="32" t="str">
        <f t="shared" si="163"/>
        <v>4)Fuc(2)Sulfo(1)</v>
      </c>
      <c r="T399" s="32" t="str">
        <f t="shared" si="164"/>
        <v>2)Sulfo(1)</v>
      </c>
      <c r="U399" s="32">
        <f t="shared" si="165"/>
        <v>0</v>
      </c>
      <c r="V399" s="32">
        <f t="shared" si="166"/>
        <v>0</v>
      </c>
      <c r="W399" s="32">
        <f t="shared" si="167"/>
        <v>0</v>
      </c>
      <c r="X399" s="32" t="str">
        <f t="shared" si="168"/>
        <v>1)</v>
      </c>
      <c r="Y399" s="32">
        <f t="shared" si="169"/>
        <v>0</v>
      </c>
      <c r="Z399" s="32">
        <f t="shared" si="170"/>
        <v>0</v>
      </c>
    </row>
    <row r="400" spans="1:26" x14ac:dyDescent="0.25">
      <c r="A400" s="30" t="str">
        <f t="shared" si="153"/>
        <v>6</v>
      </c>
      <c r="B400" s="30" t="str">
        <f t="shared" si="154"/>
        <v>4</v>
      </c>
      <c r="C400" s="30" t="str">
        <f t="shared" si="155"/>
        <v>2</v>
      </c>
      <c r="D400" s="31">
        <f t="shared" si="156"/>
        <v>0</v>
      </c>
      <c r="E400" s="31">
        <f t="shared" si="157"/>
        <v>0</v>
      </c>
      <c r="F400" s="32">
        <f t="shared" si="158"/>
        <v>0</v>
      </c>
      <c r="G400" s="31">
        <f t="shared" si="159"/>
        <v>2</v>
      </c>
      <c r="H400" s="31">
        <f t="shared" si="160"/>
        <v>0</v>
      </c>
      <c r="I400" s="32">
        <f t="shared" si="161"/>
        <v>2</v>
      </c>
      <c r="N400" t="s">
        <v>179</v>
      </c>
      <c r="R400" s="32" t="str">
        <f t="shared" si="162"/>
        <v>6)Hex(4)Fuc(2)Sulfo(2)</v>
      </c>
      <c r="S400" s="32" t="str">
        <f t="shared" si="163"/>
        <v>4)Fuc(2)Sulfo(2)</v>
      </c>
      <c r="T400" s="32" t="str">
        <f t="shared" si="164"/>
        <v>2)Sulfo(2)</v>
      </c>
      <c r="U400" s="32">
        <f t="shared" si="165"/>
        <v>0</v>
      </c>
      <c r="V400" s="32">
        <f t="shared" si="166"/>
        <v>0</v>
      </c>
      <c r="W400" s="32">
        <f t="shared" si="167"/>
        <v>0</v>
      </c>
      <c r="X400" s="32" t="str">
        <f t="shared" si="168"/>
        <v>2)</v>
      </c>
      <c r="Y400" s="32">
        <f t="shared" si="169"/>
        <v>0</v>
      </c>
      <c r="Z400" s="32">
        <f t="shared" si="170"/>
        <v>0</v>
      </c>
    </row>
    <row r="401" spans="1:26" x14ac:dyDescent="0.25">
      <c r="A401" s="30" t="str">
        <f t="shared" si="153"/>
        <v>6</v>
      </c>
      <c r="B401" s="30" t="str">
        <f t="shared" si="154"/>
        <v>4</v>
      </c>
      <c r="C401" s="30" t="str">
        <f t="shared" si="155"/>
        <v>2</v>
      </c>
      <c r="D401" s="31">
        <f t="shared" si="156"/>
        <v>0</v>
      </c>
      <c r="E401" s="31">
        <f t="shared" si="157"/>
        <v>0</v>
      </c>
      <c r="F401" s="32">
        <f t="shared" si="158"/>
        <v>0</v>
      </c>
      <c r="G401" s="31">
        <f t="shared" si="159"/>
        <v>3</v>
      </c>
      <c r="H401" s="31">
        <f t="shared" si="160"/>
        <v>0</v>
      </c>
      <c r="I401" s="32">
        <f t="shared" si="161"/>
        <v>3</v>
      </c>
      <c r="N401" t="s">
        <v>180</v>
      </c>
      <c r="R401" s="32" t="str">
        <f t="shared" si="162"/>
        <v>6)Hex(4)Fuc(2)Sulfo(3)</v>
      </c>
      <c r="S401" s="32" t="str">
        <f t="shared" si="163"/>
        <v>4)Fuc(2)Sulfo(3)</v>
      </c>
      <c r="T401" s="32" t="str">
        <f t="shared" si="164"/>
        <v>2)Sulfo(3)</v>
      </c>
      <c r="U401" s="32">
        <f t="shared" si="165"/>
        <v>0</v>
      </c>
      <c r="V401" s="32">
        <f t="shared" si="166"/>
        <v>0</v>
      </c>
      <c r="W401" s="32">
        <f t="shared" si="167"/>
        <v>0</v>
      </c>
      <c r="X401" s="32" t="str">
        <f t="shared" si="168"/>
        <v>3)</v>
      </c>
      <c r="Y401" s="32">
        <f t="shared" si="169"/>
        <v>0</v>
      </c>
      <c r="Z401" s="32">
        <f t="shared" si="170"/>
        <v>0</v>
      </c>
    </row>
    <row r="402" spans="1:26" x14ac:dyDescent="0.25">
      <c r="A402" s="30" t="str">
        <f t="shared" si="153"/>
        <v>5</v>
      </c>
      <c r="B402" s="30" t="str">
        <f t="shared" si="154"/>
        <v>5</v>
      </c>
      <c r="C402" s="30">
        <f t="shared" si="155"/>
        <v>0</v>
      </c>
      <c r="D402" s="31">
        <f t="shared" si="156"/>
        <v>1</v>
      </c>
      <c r="E402" s="31">
        <f t="shared" si="157"/>
        <v>0</v>
      </c>
      <c r="F402" s="32">
        <f t="shared" si="158"/>
        <v>1</v>
      </c>
      <c r="G402" s="31">
        <f t="shared" si="159"/>
        <v>1</v>
      </c>
      <c r="H402" s="31">
        <f t="shared" si="160"/>
        <v>0</v>
      </c>
      <c r="I402" s="32">
        <f t="shared" si="161"/>
        <v>1</v>
      </c>
      <c r="N402" t="s">
        <v>181</v>
      </c>
      <c r="R402" s="32" t="str">
        <f t="shared" si="162"/>
        <v>5)Hex(5)NeuAc(1)Sulfo(1)</v>
      </c>
      <c r="S402" s="32" t="str">
        <f t="shared" si="163"/>
        <v>5)NeuAc(1)Sulfo(1)</v>
      </c>
      <c r="T402" s="32">
        <f t="shared" si="164"/>
        <v>0</v>
      </c>
      <c r="U402" s="32" t="str">
        <f t="shared" si="165"/>
        <v>1)Sulfo(1)</v>
      </c>
      <c r="V402" s="32">
        <f t="shared" si="166"/>
        <v>0</v>
      </c>
      <c r="W402" s="32">
        <f t="shared" si="167"/>
        <v>0</v>
      </c>
      <c r="X402" s="32" t="str">
        <f t="shared" si="168"/>
        <v>1)</v>
      </c>
      <c r="Y402" s="32">
        <f t="shared" si="169"/>
        <v>0</v>
      </c>
      <c r="Z402" s="32">
        <f t="shared" si="170"/>
        <v>0</v>
      </c>
    </row>
    <row r="403" spans="1:26" x14ac:dyDescent="0.25">
      <c r="A403" s="30" t="str">
        <f t="shared" si="153"/>
        <v>5</v>
      </c>
      <c r="B403" s="30" t="str">
        <f t="shared" si="154"/>
        <v>5</v>
      </c>
      <c r="C403" s="30">
        <f t="shared" si="155"/>
        <v>0</v>
      </c>
      <c r="D403" s="31">
        <f t="shared" si="156"/>
        <v>1</v>
      </c>
      <c r="E403" s="31">
        <f t="shared" si="157"/>
        <v>0</v>
      </c>
      <c r="F403" s="32">
        <f t="shared" si="158"/>
        <v>1</v>
      </c>
      <c r="G403" s="31">
        <f t="shared" si="159"/>
        <v>2</v>
      </c>
      <c r="H403" s="31">
        <f t="shared" si="160"/>
        <v>0</v>
      </c>
      <c r="I403" s="32">
        <f t="shared" si="161"/>
        <v>2</v>
      </c>
      <c r="N403" t="s">
        <v>182</v>
      </c>
      <c r="R403" s="32" t="str">
        <f t="shared" si="162"/>
        <v>5)Hex(5)NeuAc(1)Sulfo(2)</v>
      </c>
      <c r="S403" s="32" t="str">
        <f t="shared" si="163"/>
        <v>5)NeuAc(1)Sulfo(2)</v>
      </c>
      <c r="T403" s="32">
        <f t="shared" si="164"/>
        <v>0</v>
      </c>
      <c r="U403" s="32" t="str">
        <f t="shared" si="165"/>
        <v>1)Sulfo(2)</v>
      </c>
      <c r="V403" s="32">
        <f t="shared" si="166"/>
        <v>0</v>
      </c>
      <c r="W403" s="32">
        <f t="shared" si="167"/>
        <v>0</v>
      </c>
      <c r="X403" s="32" t="str">
        <f t="shared" si="168"/>
        <v>2)</v>
      </c>
      <c r="Y403" s="32">
        <f t="shared" si="169"/>
        <v>0</v>
      </c>
      <c r="Z403" s="32">
        <f t="shared" si="170"/>
        <v>0</v>
      </c>
    </row>
    <row r="404" spans="1:26" x14ac:dyDescent="0.25">
      <c r="A404" s="30" t="str">
        <f t="shared" si="153"/>
        <v>5</v>
      </c>
      <c r="B404" s="30" t="str">
        <f t="shared" si="154"/>
        <v>5</v>
      </c>
      <c r="C404" s="30">
        <f t="shared" si="155"/>
        <v>0</v>
      </c>
      <c r="D404" s="31">
        <f t="shared" si="156"/>
        <v>1</v>
      </c>
      <c r="E404" s="31">
        <f t="shared" si="157"/>
        <v>0</v>
      </c>
      <c r="F404" s="32">
        <f t="shared" si="158"/>
        <v>1</v>
      </c>
      <c r="G404" s="31">
        <f t="shared" si="159"/>
        <v>3</v>
      </c>
      <c r="H404" s="31">
        <f t="shared" si="160"/>
        <v>0</v>
      </c>
      <c r="I404" s="32">
        <f t="shared" si="161"/>
        <v>3</v>
      </c>
      <c r="N404" t="s">
        <v>183</v>
      </c>
      <c r="R404" s="32" t="str">
        <f t="shared" si="162"/>
        <v>5)Hex(5)NeuAc(1)Sulfo(3)</v>
      </c>
      <c r="S404" s="32" t="str">
        <f t="shared" si="163"/>
        <v>5)NeuAc(1)Sulfo(3)</v>
      </c>
      <c r="T404" s="32">
        <f t="shared" si="164"/>
        <v>0</v>
      </c>
      <c r="U404" s="32" t="str">
        <f t="shared" si="165"/>
        <v>1)Sulfo(3)</v>
      </c>
      <c r="V404" s="32">
        <f t="shared" si="166"/>
        <v>0</v>
      </c>
      <c r="W404" s="32">
        <f t="shared" si="167"/>
        <v>0</v>
      </c>
      <c r="X404" s="32" t="str">
        <f t="shared" si="168"/>
        <v>3)</v>
      </c>
      <c r="Y404" s="32">
        <f t="shared" si="169"/>
        <v>0</v>
      </c>
      <c r="Z404" s="32">
        <f t="shared" si="170"/>
        <v>0</v>
      </c>
    </row>
    <row r="405" spans="1:26" x14ac:dyDescent="0.25">
      <c r="A405" s="30" t="str">
        <f t="shared" si="153"/>
        <v>4</v>
      </c>
      <c r="B405" s="30" t="str">
        <f t="shared" si="154"/>
        <v>5</v>
      </c>
      <c r="C405" s="30" t="str">
        <f t="shared" si="155"/>
        <v>2</v>
      </c>
      <c r="D405" s="31">
        <f t="shared" si="156"/>
        <v>1</v>
      </c>
      <c r="E405" s="31">
        <f t="shared" si="157"/>
        <v>0</v>
      </c>
      <c r="F405" s="32">
        <f t="shared" si="158"/>
        <v>1</v>
      </c>
      <c r="G405" s="31">
        <f t="shared" si="159"/>
        <v>1</v>
      </c>
      <c r="H405" s="31">
        <f t="shared" si="160"/>
        <v>0</v>
      </c>
      <c r="I405" s="32">
        <f t="shared" si="161"/>
        <v>1</v>
      </c>
      <c r="N405" t="s">
        <v>184</v>
      </c>
      <c r="R405" s="32" t="str">
        <f t="shared" si="162"/>
        <v>4)Hex(5)Fuc(2)NeuAc(1)Sulfo(1)</v>
      </c>
      <c r="S405" s="32" t="str">
        <f t="shared" si="163"/>
        <v>5)Fuc(2)NeuAc(1)Sulfo(1)</v>
      </c>
      <c r="T405" s="32" t="str">
        <f t="shared" si="164"/>
        <v>2)NeuAc(1)Sulfo(1)</v>
      </c>
      <c r="U405" s="32" t="str">
        <f t="shared" si="165"/>
        <v>1)Sulfo(1)</v>
      </c>
      <c r="V405" s="32">
        <f t="shared" si="166"/>
        <v>0</v>
      </c>
      <c r="W405" s="32">
        <f t="shared" si="167"/>
        <v>0</v>
      </c>
      <c r="X405" s="32" t="str">
        <f t="shared" si="168"/>
        <v>1)</v>
      </c>
      <c r="Y405" s="32">
        <f t="shared" si="169"/>
        <v>0</v>
      </c>
      <c r="Z405" s="32">
        <f t="shared" si="170"/>
        <v>0</v>
      </c>
    </row>
    <row r="406" spans="1:26" x14ac:dyDescent="0.25">
      <c r="A406" s="30" t="str">
        <f t="shared" si="153"/>
        <v>4</v>
      </c>
      <c r="B406" s="30" t="str">
        <f t="shared" si="154"/>
        <v>5</v>
      </c>
      <c r="C406" s="30" t="str">
        <f t="shared" si="155"/>
        <v>2</v>
      </c>
      <c r="D406" s="31">
        <f t="shared" si="156"/>
        <v>1</v>
      </c>
      <c r="E406" s="31">
        <f t="shared" si="157"/>
        <v>0</v>
      </c>
      <c r="F406" s="32">
        <f t="shared" si="158"/>
        <v>1</v>
      </c>
      <c r="G406" s="31">
        <f t="shared" si="159"/>
        <v>2</v>
      </c>
      <c r="H406" s="31">
        <f t="shared" si="160"/>
        <v>0</v>
      </c>
      <c r="I406" s="32">
        <f t="shared" si="161"/>
        <v>2</v>
      </c>
      <c r="N406" t="s">
        <v>185</v>
      </c>
      <c r="R406" s="32" t="str">
        <f t="shared" si="162"/>
        <v>4)Hex(5)Fuc(2)NeuAc(1)Sulfo(2)</v>
      </c>
      <c r="S406" s="32" t="str">
        <f t="shared" si="163"/>
        <v>5)Fuc(2)NeuAc(1)Sulfo(2)</v>
      </c>
      <c r="T406" s="32" t="str">
        <f t="shared" si="164"/>
        <v>2)NeuAc(1)Sulfo(2)</v>
      </c>
      <c r="U406" s="32" t="str">
        <f t="shared" si="165"/>
        <v>1)Sulfo(2)</v>
      </c>
      <c r="V406" s="32">
        <f t="shared" si="166"/>
        <v>0</v>
      </c>
      <c r="W406" s="32">
        <f t="shared" si="167"/>
        <v>0</v>
      </c>
      <c r="X406" s="32" t="str">
        <f t="shared" si="168"/>
        <v>2)</v>
      </c>
      <c r="Y406" s="32">
        <f t="shared" si="169"/>
        <v>0</v>
      </c>
      <c r="Z406" s="32">
        <f t="shared" si="170"/>
        <v>0</v>
      </c>
    </row>
    <row r="407" spans="1:26" x14ac:dyDescent="0.25">
      <c r="A407" s="30" t="str">
        <f t="shared" si="153"/>
        <v>4</v>
      </c>
      <c r="B407" s="30" t="str">
        <f t="shared" si="154"/>
        <v>5</v>
      </c>
      <c r="C407" s="30" t="str">
        <f t="shared" si="155"/>
        <v>2</v>
      </c>
      <c r="D407" s="31">
        <f t="shared" si="156"/>
        <v>1</v>
      </c>
      <c r="E407" s="31">
        <f t="shared" si="157"/>
        <v>0</v>
      </c>
      <c r="F407" s="32">
        <f t="shared" si="158"/>
        <v>1</v>
      </c>
      <c r="G407" s="31">
        <f t="shared" si="159"/>
        <v>3</v>
      </c>
      <c r="H407" s="31">
        <f t="shared" si="160"/>
        <v>0</v>
      </c>
      <c r="I407" s="32">
        <f t="shared" si="161"/>
        <v>3</v>
      </c>
      <c r="N407" t="s">
        <v>186</v>
      </c>
      <c r="R407" s="32" t="str">
        <f t="shared" si="162"/>
        <v>4)Hex(5)Fuc(2)NeuAc(1)Sulfo(3)</v>
      </c>
      <c r="S407" s="32" t="str">
        <f t="shared" si="163"/>
        <v>5)Fuc(2)NeuAc(1)Sulfo(3)</v>
      </c>
      <c r="T407" s="32" t="str">
        <f t="shared" si="164"/>
        <v>2)NeuAc(1)Sulfo(3)</v>
      </c>
      <c r="U407" s="32" t="str">
        <f t="shared" si="165"/>
        <v>1)Sulfo(3)</v>
      </c>
      <c r="V407" s="32">
        <f t="shared" si="166"/>
        <v>0</v>
      </c>
      <c r="W407" s="32">
        <f t="shared" si="167"/>
        <v>0</v>
      </c>
      <c r="X407" s="32" t="str">
        <f t="shared" si="168"/>
        <v>3)</v>
      </c>
      <c r="Y407" s="32">
        <f t="shared" si="169"/>
        <v>0</v>
      </c>
      <c r="Z407" s="32">
        <f t="shared" si="170"/>
        <v>0</v>
      </c>
    </row>
    <row r="408" spans="1:26" x14ac:dyDescent="0.25">
      <c r="A408" s="30" t="str">
        <f t="shared" si="153"/>
        <v>4</v>
      </c>
      <c r="B408" s="30" t="str">
        <f t="shared" si="154"/>
        <v>5</v>
      </c>
      <c r="C408" s="30" t="str">
        <f t="shared" si="155"/>
        <v>3</v>
      </c>
      <c r="D408" s="31">
        <f t="shared" si="156"/>
        <v>0</v>
      </c>
      <c r="E408" s="31">
        <f t="shared" si="157"/>
        <v>0</v>
      </c>
      <c r="F408" s="32">
        <f t="shared" si="158"/>
        <v>0</v>
      </c>
      <c r="G408" s="31">
        <f t="shared" si="159"/>
        <v>1</v>
      </c>
      <c r="H408" s="31">
        <f t="shared" si="160"/>
        <v>0</v>
      </c>
      <c r="I408" s="32">
        <f t="shared" si="161"/>
        <v>1</v>
      </c>
      <c r="N408" t="s">
        <v>187</v>
      </c>
      <c r="R408" s="32" t="str">
        <f t="shared" si="162"/>
        <v>4)Hex(5)Fuc(3)Sulfo(1)</v>
      </c>
      <c r="S408" s="32" t="str">
        <f t="shared" si="163"/>
        <v>5)Fuc(3)Sulfo(1)</v>
      </c>
      <c r="T408" s="32" t="str">
        <f t="shared" si="164"/>
        <v>3)Sulfo(1)</v>
      </c>
      <c r="U408" s="32">
        <f t="shared" si="165"/>
        <v>0</v>
      </c>
      <c r="V408" s="32">
        <f t="shared" si="166"/>
        <v>0</v>
      </c>
      <c r="W408" s="32">
        <f t="shared" si="167"/>
        <v>0</v>
      </c>
      <c r="X408" s="32" t="str">
        <f t="shared" si="168"/>
        <v>1)</v>
      </c>
      <c r="Y408" s="32">
        <f t="shared" si="169"/>
        <v>0</v>
      </c>
      <c r="Z408" s="32">
        <f t="shared" si="170"/>
        <v>0</v>
      </c>
    </row>
    <row r="409" spans="1:26" x14ac:dyDescent="0.25">
      <c r="A409" s="30" t="str">
        <f t="shared" si="153"/>
        <v>4</v>
      </c>
      <c r="B409" s="30" t="str">
        <f t="shared" si="154"/>
        <v>5</v>
      </c>
      <c r="C409" s="30" t="str">
        <f t="shared" si="155"/>
        <v>3</v>
      </c>
      <c r="D409" s="31">
        <f t="shared" si="156"/>
        <v>0</v>
      </c>
      <c r="E409" s="31">
        <f t="shared" si="157"/>
        <v>0</v>
      </c>
      <c r="F409" s="32">
        <f t="shared" si="158"/>
        <v>0</v>
      </c>
      <c r="G409" s="31">
        <f t="shared" si="159"/>
        <v>2</v>
      </c>
      <c r="H409" s="31">
        <f t="shared" si="160"/>
        <v>0</v>
      </c>
      <c r="I409" s="32">
        <f t="shared" si="161"/>
        <v>2</v>
      </c>
      <c r="N409" t="s">
        <v>188</v>
      </c>
      <c r="R409" s="32" t="str">
        <f t="shared" si="162"/>
        <v>4)Hex(5)Fuc(3)Sulfo(2)</v>
      </c>
      <c r="S409" s="32" t="str">
        <f t="shared" si="163"/>
        <v>5)Fuc(3)Sulfo(2)</v>
      </c>
      <c r="T409" s="32" t="str">
        <f t="shared" si="164"/>
        <v>3)Sulfo(2)</v>
      </c>
      <c r="U409" s="32">
        <f t="shared" si="165"/>
        <v>0</v>
      </c>
      <c r="V409" s="32">
        <f t="shared" si="166"/>
        <v>0</v>
      </c>
      <c r="W409" s="32">
        <f t="shared" si="167"/>
        <v>0</v>
      </c>
      <c r="X409" s="32" t="str">
        <f t="shared" si="168"/>
        <v>2)</v>
      </c>
      <c r="Y409" s="32">
        <f t="shared" si="169"/>
        <v>0</v>
      </c>
      <c r="Z409" s="32">
        <f t="shared" si="170"/>
        <v>0</v>
      </c>
    </row>
    <row r="410" spans="1:26" x14ac:dyDescent="0.25">
      <c r="A410" s="30" t="str">
        <f t="shared" si="153"/>
        <v>4</v>
      </c>
      <c r="B410" s="30" t="str">
        <f t="shared" si="154"/>
        <v>5</v>
      </c>
      <c r="C410" s="30" t="str">
        <f t="shared" si="155"/>
        <v>3</v>
      </c>
      <c r="D410" s="31">
        <f t="shared" si="156"/>
        <v>0</v>
      </c>
      <c r="E410" s="31">
        <f t="shared" si="157"/>
        <v>0</v>
      </c>
      <c r="F410" s="32">
        <f t="shared" si="158"/>
        <v>0</v>
      </c>
      <c r="G410" s="31">
        <f t="shared" si="159"/>
        <v>3</v>
      </c>
      <c r="H410" s="31">
        <f t="shared" si="160"/>
        <v>0</v>
      </c>
      <c r="I410" s="32">
        <f t="shared" si="161"/>
        <v>3</v>
      </c>
      <c r="N410" t="s">
        <v>189</v>
      </c>
      <c r="R410" s="32" t="str">
        <f t="shared" si="162"/>
        <v>4)Hex(5)Fuc(3)Sulfo(3)</v>
      </c>
      <c r="S410" s="32" t="str">
        <f t="shared" si="163"/>
        <v>5)Fuc(3)Sulfo(3)</v>
      </c>
      <c r="T410" s="32" t="str">
        <f t="shared" si="164"/>
        <v>3)Sulfo(3)</v>
      </c>
      <c r="U410" s="32">
        <f t="shared" si="165"/>
        <v>0</v>
      </c>
      <c r="V410" s="32">
        <f t="shared" si="166"/>
        <v>0</v>
      </c>
      <c r="W410" s="32">
        <f t="shared" si="167"/>
        <v>0</v>
      </c>
      <c r="X410" s="32" t="str">
        <f t="shared" si="168"/>
        <v>3)</v>
      </c>
      <c r="Y410" s="32">
        <f t="shared" si="169"/>
        <v>0</v>
      </c>
      <c r="Z410" s="32">
        <f t="shared" si="170"/>
        <v>0</v>
      </c>
    </row>
    <row r="411" spans="1:26" x14ac:dyDescent="0.25">
      <c r="A411" s="30" t="str">
        <f t="shared" si="153"/>
        <v>3</v>
      </c>
      <c r="B411" s="30" t="str">
        <f t="shared" si="154"/>
        <v>5</v>
      </c>
      <c r="C411" s="30" t="str">
        <f t="shared" si="155"/>
        <v>1</v>
      </c>
      <c r="D411" s="31">
        <f t="shared" si="156"/>
        <v>0</v>
      </c>
      <c r="E411" s="31">
        <f t="shared" si="157"/>
        <v>0</v>
      </c>
      <c r="F411" s="32">
        <f t="shared" si="158"/>
        <v>0</v>
      </c>
      <c r="G411" s="31">
        <f t="shared" si="159"/>
        <v>1</v>
      </c>
      <c r="H411" s="31">
        <f t="shared" si="160"/>
        <v>0</v>
      </c>
      <c r="I411" s="32">
        <f t="shared" si="161"/>
        <v>1</v>
      </c>
      <c r="N411" t="s">
        <v>190</v>
      </c>
      <c r="R411" s="32" t="str">
        <f t="shared" si="162"/>
        <v>3)Hex(5)Fuc(1)Sulfo(1)</v>
      </c>
      <c r="S411" s="32" t="str">
        <f t="shared" si="163"/>
        <v>5)Fuc(1)Sulfo(1)</v>
      </c>
      <c r="T411" s="32" t="str">
        <f t="shared" si="164"/>
        <v>1)Sulfo(1)</v>
      </c>
      <c r="U411" s="32">
        <f t="shared" si="165"/>
        <v>0</v>
      </c>
      <c r="V411" s="32">
        <f t="shared" si="166"/>
        <v>0</v>
      </c>
      <c r="W411" s="32">
        <f t="shared" si="167"/>
        <v>0</v>
      </c>
      <c r="X411" s="32" t="str">
        <f t="shared" si="168"/>
        <v>1)</v>
      </c>
      <c r="Y411" s="32">
        <f t="shared" si="169"/>
        <v>0</v>
      </c>
      <c r="Z411" s="32">
        <f t="shared" si="170"/>
        <v>0</v>
      </c>
    </row>
    <row r="412" spans="1:26" x14ac:dyDescent="0.25">
      <c r="A412" s="30" t="str">
        <f t="shared" si="153"/>
        <v>3</v>
      </c>
      <c r="B412" s="30" t="str">
        <f t="shared" si="154"/>
        <v>5</v>
      </c>
      <c r="C412" s="30" t="str">
        <f t="shared" si="155"/>
        <v>1</v>
      </c>
      <c r="D412" s="31">
        <f t="shared" si="156"/>
        <v>0</v>
      </c>
      <c r="E412" s="31">
        <f t="shared" si="157"/>
        <v>0</v>
      </c>
      <c r="F412" s="32">
        <f t="shared" si="158"/>
        <v>0</v>
      </c>
      <c r="G412" s="31">
        <f t="shared" si="159"/>
        <v>2</v>
      </c>
      <c r="H412" s="31">
        <f t="shared" si="160"/>
        <v>0</v>
      </c>
      <c r="I412" s="32">
        <f t="shared" si="161"/>
        <v>2</v>
      </c>
      <c r="N412" t="s">
        <v>191</v>
      </c>
      <c r="R412" s="32" t="str">
        <f t="shared" si="162"/>
        <v>3)Hex(5)Fuc(1)Sulfo(2)</v>
      </c>
      <c r="S412" s="32" t="str">
        <f t="shared" si="163"/>
        <v>5)Fuc(1)Sulfo(2)</v>
      </c>
      <c r="T412" s="32" t="str">
        <f t="shared" si="164"/>
        <v>1)Sulfo(2)</v>
      </c>
      <c r="U412" s="32">
        <f t="shared" si="165"/>
        <v>0</v>
      </c>
      <c r="V412" s="32">
        <f t="shared" si="166"/>
        <v>0</v>
      </c>
      <c r="W412" s="32">
        <f t="shared" si="167"/>
        <v>0</v>
      </c>
      <c r="X412" s="32" t="str">
        <f t="shared" si="168"/>
        <v>2)</v>
      </c>
      <c r="Y412" s="32">
        <f t="shared" si="169"/>
        <v>0</v>
      </c>
      <c r="Z412" s="32">
        <f t="shared" si="170"/>
        <v>0</v>
      </c>
    </row>
    <row r="413" spans="1:26" x14ac:dyDescent="0.25">
      <c r="A413" s="30" t="str">
        <f t="shared" si="153"/>
        <v>3</v>
      </c>
      <c r="B413" s="30" t="str">
        <f t="shared" si="154"/>
        <v>5</v>
      </c>
      <c r="C413" s="30" t="str">
        <f t="shared" si="155"/>
        <v>1</v>
      </c>
      <c r="D413" s="31">
        <f t="shared" si="156"/>
        <v>0</v>
      </c>
      <c r="E413" s="31">
        <f t="shared" si="157"/>
        <v>0</v>
      </c>
      <c r="F413" s="32">
        <f t="shared" si="158"/>
        <v>0</v>
      </c>
      <c r="G413" s="31">
        <f t="shared" si="159"/>
        <v>3</v>
      </c>
      <c r="H413" s="31">
        <f t="shared" si="160"/>
        <v>0</v>
      </c>
      <c r="I413" s="32">
        <f t="shared" si="161"/>
        <v>3</v>
      </c>
      <c r="N413" t="s">
        <v>192</v>
      </c>
      <c r="R413" s="32" t="str">
        <f t="shared" si="162"/>
        <v>3)Hex(5)Fuc(1)Sulfo(3)</v>
      </c>
      <c r="S413" s="32" t="str">
        <f t="shared" si="163"/>
        <v>5)Fuc(1)Sulfo(3)</v>
      </c>
      <c r="T413" s="32" t="str">
        <f t="shared" si="164"/>
        <v>1)Sulfo(3)</v>
      </c>
      <c r="U413" s="32">
        <f t="shared" si="165"/>
        <v>0</v>
      </c>
      <c r="V413" s="32">
        <f t="shared" si="166"/>
        <v>0</v>
      </c>
      <c r="W413" s="32">
        <f t="shared" si="167"/>
        <v>0</v>
      </c>
      <c r="X413" s="32" t="str">
        <f t="shared" si="168"/>
        <v>3)</v>
      </c>
      <c r="Y413" s="32">
        <f t="shared" si="169"/>
        <v>0</v>
      </c>
      <c r="Z413" s="32">
        <f t="shared" si="170"/>
        <v>0</v>
      </c>
    </row>
    <row r="414" spans="1:26" x14ac:dyDescent="0.25">
      <c r="A414" s="30" t="str">
        <f t="shared" si="153"/>
        <v>3</v>
      </c>
      <c r="B414" s="30" t="str">
        <f t="shared" si="154"/>
        <v>6</v>
      </c>
      <c r="C414" s="30" t="str">
        <f t="shared" si="155"/>
        <v>1</v>
      </c>
      <c r="D414" s="31">
        <f t="shared" si="156"/>
        <v>0</v>
      </c>
      <c r="E414" s="31">
        <f t="shared" si="157"/>
        <v>0</v>
      </c>
      <c r="F414" s="32">
        <f t="shared" si="158"/>
        <v>0</v>
      </c>
      <c r="G414" s="31">
        <f t="shared" si="159"/>
        <v>1</v>
      </c>
      <c r="H414" s="31">
        <f t="shared" si="160"/>
        <v>0</v>
      </c>
      <c r="I414" s="32">
        <f t="shared" si="161"/>
        <v>1</v>
      </c>
      <c r="N414" t="s">
        <v>193</v>
      </c>
      <c r="R414" s="32" t="str">
        <f t="shared" si="162"/>
        <v>3)Hex(6)Fuc(1)Sulfo(1)</v>
      </c>
      <c r="S414" s="32" t="str">
        <f t="shared" si="163"/>
        <v>6)Fuc(1)Sulfo(1)</v>
      </c>
      <c r="T414" s="32" t="str">
        <f t="shared" si="164"/>
        <v>1)Sulfo(1)</v>
      </c>
      <c r="U414" s="32">
        <f t="shared" si="165"/>
        <v>0</v>
      </c>
      <c r="V414" s="32">
        <f t="shared" si="166"/>
        <v>0</v>
      </c>
      <c r="W414" s="32">
        <f t="shared" si="167"/>
        <v>0</v>
      </c>
      <c r="X414" s="32" t="str">
        <f t="shared" si="168"/>
        <v>1)</v>
      </c>
      <c r="Y414" s="32">
        <f t="shared" si="169"/>
        <v>0</v>
      </c>
      <c r="Z414" s="32">
        <f t="shared" si="170"/>
        <v>0</v>
      </c>
    </row>
    <row r="415" spans="1:26" x14ac:dyDescent="0.25">
      <c r="A415" s="30" t="str">
        <f t="shared" si="153"/>
        <v>3</v>
      </c>
      <c r="B415" s="30" t="str">
        <f t="shared" si="154"/>
        <v>6</v>
      </c>
      <c r="C415" s="30" t="str">
        <f t="shared" si="155"/>
        <v>1</v>
      </c>
      <c r="D415" s="31">
        <f t="shared" si="156"/>
        <v>0</v>
      </c>
      <c r="E415" s="31">
        <f t="shared" si="157"/>
        <v>0</v>
      </c>
      <c r="F415" s="32">
        <f t="shared" si="158"/>
        <v>0</v>
      </c>
      <c r="G415" s="31">
        <f t="shared" si="159"/>
        <v>2</v>
      </c>
      <c r="H415" s="31">
        <f t="shared" si="160"/>
        <v>0</v>
      </c>
      <c r="I415" s="32">
        <f t="shared" si="161"/>
        <v>2</v>
      </c>
      <c r="N415" t="s">
        <v>194</v>
      </c>
      <c r="R415" s="32" t="str">
        <f t="shared" si="162"/>
        <v>3)Hex(6)Fuc(1)Sulfo(2)</v>
      </c>
      <c r="S415" s="32" t="str">
        <f t="shared" si="163"/>
        <v>6)Fuc(1)Sulfo(2)</v>
      </c>
      <c r="T415" s="32" t="str">
        <f t="shared" si="164"/>
        <v>1)Sulfo(2)</v>
      </c>
      <c r="U415" s="32">
        <f t="shared" si="165"/>
        <v>0</v>
      </c>
      <c r="V415" s="32">
        <f t="shared" si="166"/>
        <v>0</v>
      </c>
      <c r="W415" s="32">
        <f t="shared" si="167"/>
        <v>0</v>
      </c>
      <c r="X415" s="32" t="str">
        <f t="shared" si="168"/>
        <v>2)</v>
      </c>
      <c r="Y415" s="32">
        <f t="shared" si="169"/>
        <v>0</v>
      </c>
      <c r="Z415" s="32">
        <f t="shared" si="170"/>
        <v>0</v>
      </c>
    </row>
    <row r="416" spans="1:26" x14ac:dyDescent="0.25">
      <c r="A416" s="30" t="str">
        <f t="shared" si="153"/>
        <v>3</v>
      </c>
      <c r="B416" s="30" t="str">
        <f t="shared" si="154"/>
        <v>6</v>
      </c>
      <c r="C416" s="30" t="str">
        <f t="shared" si="155"/>
        <v>1</v>
      </c>
      <c r="D416" s="31">
        <f t="shared" si="156"/>
        <v>0</v>
      </c>
      <c r="E416" s="31">
        <f t="shared" si="157"/>
        <v>0</v>
      </c>
      <c r="F416" s="32">
        <f t="shared" si="158"/>
        <v>0</v>
      </c>
      <c r="G416" s="31">
        <f t="shared" si="159"/>
        <v>3</v>
      </c>
      <c r="H416" s="31">
        <f t="shared" si="160"/>
        <v>0</v>
      </c>
      <c r="I416" s="32">
        <f t="shared" si="161"/>
        <v>3</v>
      </c>
      <c r="N416" t="s">
        <v>195</v>
      </c>
      <c r="R416" s="32" t="str">
        <f t="shared" si="162"/>
        <v>3)Hex(6)Fuc(1)Sulfo(3)</v>
      </c>
      <c r="S416" s="32" t="str">
        <f t="shared" si="163"/>
        <v>6)Fuc(1)Sulfo(3)</v>
      </c>
      <c r="T416" s="32" t="str">
        <f t="shared" si="164"/>
        <v>1)Sulfo(3)</v>
      </c>
      <c r="U416" s="32">
        <f t="shared" si="165"/>
        <v>0</v>
      </c>
      <c r="V416" s="32">
        <f t="shared" si="166"/>
        <v>0</v>
      </c>
      <c r="W416" s="32">
        <f t="shared" si="167"/>
        <v>0</v>
      </c>
      <c r="X416" s="32" t="str">
        <f t="shared" si="168"/>
        <v>3)</v>
      </c>
      <c r="Y416" s="32">
        <f t="shared" si="169"/>
        <v>0</v>
      </c>
      <c r="Z416" s="32">
        <f t="shared" si="170"/>
        <v>0</v>
      </c>
    </row>
    <row r="417" spans="1:26" x14ac:dyDescent="0.25">
      <c r="A417" s="30" t="str">
        <f t="shared" si="153"/>
        <v>5</v>
      </c>
      <c r="B417" s="30" t="str">
        <f t="shared" si="154"/>
        <v>3</v>
      </c>
      <c r="C417" s="30">
        <f t="shared" si="155"/>
        <v>0</v>
      </c>
      <c r="D417" s="31">
        <f t="shared" si="156"/>
        <v>0</v>
      </c>
      <c r="E417" s="31">
        <f t="shared" si="157"/>
        <v>0</v>
      </c>
      <c r="F417" s="32">
        <f t="shared" si="158"/>
        <v>0</v>
      </c>
      <c r="G417" s="31">
        <f t="shared" si="159"/>
        <v>1</v>
      </c>
      <c r="H417" s="31">
        <f t="shared" si="160"/>
        <v>0</v>
      </c>
      <c r="I417" s="32">
        <f t="shared" si="161"/>
        <v>1</v>
      </c>
      <c r="N417" t="s">
        <v>196</v>
      </c>
      <c r="R417" s="32" t="str">
        <f t="shared" si="162"/>
        <v>5)Hex(3)Sulfo(1)</v>
      </c>
      <c r="S417" s="32" t="str">
        <f t="shared" si="163"/>
        <v>3)Sulfo(1)</v>
      </c>
      <c r="T417" s="32">
        <f t="shared" si="164"/>
        <v>0</v>
      </c>
      <c r="U417" s="32">
        <f t="shared" si="165"/>
        <v>0</v>
      </c>
      <c r="V417" s="32">
        <f t="shared" si="166"/>
        <v>0</v>
      </c>
      <c r="W417" s="32">
        <f t="shared" si="167"/>
        <v>0</v>
      </c>
      <c r="X417" s="32" t="str">
        <f t="shared" si="168"/>
        <v>1)</v>
      </c>
      <c r="Y417" s="32">
        <f t="shared" si="169"/>
        <v>0</v>
      </c>
      <c r="Z417" s="32">
        <f t="shared" si="170"/>
        <v>0</v>
      </c>
    </row>
    <row r="418" spans="1:26" x14ac:dyDescent="0.25">
      <c r="A418" s="30" t="str">
        <f t="shared" si="153"/>
        <v>5</v>
      </c>
      <c r="B418" s="30" t="str">
        <f t="shared" si="154"/>
        <v>3</v>
      </c>
      <c r="C418" s="30">
        <f t="shared" si="155"/>
        <v>0</v>
      </c>
      <c r="D418" s="31">
        <f t="shared" si="156"/>
        <v>0</v>
      </c>
      <c r="E418" s="31">
        <f t="shared" si="157"/>
        <v>0</v>
      </c>
      <c r="F418" s="32">
        <f t="shared" si="158"/>
        <v>0</v>
      </c>
      <c r="G418" s="31">
        <f t="shared" si="159"/>
        <v>2</v>
      </c>
      <c r="H418" s="31">
        <f t="shared" si="160"/>
        <v>0</v>
      </c>
      <c r="I418" s="32">
        <f t="shared" si="161"/>
        <v>2</v>
      </c>
      <c r="N418" t="s">
        <v>197</v>
      </c>
      <c r="R418" s="32" t="str">
        <f t="shared" si="162"/>
        <v>5)Hex(3)Sulfo(2)</v>
      </c>
      <c r="S418" s="32" t="str">
        <f t="shared" si="163"/>
        <v>3)Sulfo(2)</v>
      </c>
      <c r="T418" s="32">
        <f t="shared" si="164"/>
        <v>0</v>
      </c>
      <c r="U418" s="32">
        <f t="shared" si="165"/>
        <v>0</v>
      </c>
      <c r="V418" s="32">
        <f t="shared" si="166"/>
        <v>0</v>
      </c>
      <c r="W418" s="32">
        <f t="shared" si="167"/>
        <v>0</v>
      </c>
      <c r="X418" s="32" t="str">
        <f t="shared" si="168"/>
        <v>2)</v>
      </c>
      <c r="Y418" s="32">
        <f t="shared" si="169"/>
        <v>0</v>
      </c>
      <c r="Z418" s="32">
        <f t="shared" si="170"/>
        <v>0</v>
      </c>
    </row>
    <row r="419" spans="1:26" x14ac:dyDescent="0.25">
      <c r="A419" s="30" t="str">
        <f t="shared" si="153"/>
        <v>5</v>
      </c>
      <c r="B419" s="30" t="str">
        <f t="shared" si="154"/>
        <v>3</v>
      </c>
      <c r="C419" s="30">
        <f t="shared" si="155"/>
        <v>0</v>
      </c>
      <c r="D419" s="31">
        <f t="shared" si="156"/>
        <v>0</v>
      </c>
      <c r="E419" s="31">
        <f t="shared" si="157"/>
        <v>0</v>
      </c>
      <c r="F419" s="32">
        <f t="shared" si="158"/>
        <v>0</v>
      </c>
      <c r="G419" s="31">
        <f t="shared" si="159"/>
        <v>3</v>
      </c>
      <c r="H419" s="31">
        <f t="shared" si="160"/>
        <v>0</v>
      </c>
      <c r="I419" s="32">
        <f t="shared" si="161"/>
        <v>3</v>
      </c>
      <c r="N419" t="s">
        <v>198</v>
      </c>
      <c r="R419" s="32" t="str">
        <f t="shared" si="162"/>
        <v>5)Hex(3)Sulfo(3)</v>
      </c>
      <c r="S419" s="32" t="str">
        <f t="shared" si="163"/>
        <v>3)Sulfo(3)</v>
      </c>
      <c r="T419" s="32">
        <f t="shared" si="164"/>
        <v>0</v>
      </c>
      <c r="U419" s="32">
        <f t="shared" si="165"/>
        <v>0</v>
      </c>
      <c r="V419" s="32">
        <f t="shared" si="166"/>
        <v>0</v>
      </c>
      <c r="W419" s="32">
        <f t="shared" si="167"/>
        <v>0</v>
      </c>
      <c r="X419" s="32" t="str">
        <f t="shared" si="168"/>
        <v>3)</v>
      </c>
      <c r="Y419" s="32">
        <f t="shared" si="169"/>
        <v>0</v>
      </c>
      <c r="Z419" s="32">
        <f t="shared" si="170"/>
        <v>0</v>
      </c>
    </row>
    <row r="420" spans="1:26" x14ac:dyDescent="0.25">
      <c r="A420" s="30" t="str">
        <f t="shared" si="153"/>
        <v>6</v>
      </c>
      <c r="B420" s="30" t="str">
        <f t="shared" si="154"/>
        <v>4</v>
      </c>
      <c r="C420" s="30">
        <f t="shared" si="155"/>
        <v>0</v>
      </c>
      <c r="D420" s="31">
        <f t="shared" si="156"/>
        <v>0</v>
      </c>
      <c r="E420" s="31">
        <f t="shared" si="157"/>
        <v>0</v>
      </c>
      <c r="F420" s="32">
        <f t="shared" si="158"/>
        <v>0</v>
      </c>
      <c r="G420" s="31">
        <f t="shared" si="159"/>
        <v>1</v>
      </c>
      <c r="H420" s="31">
        <f t="shared" si="160"/>
        <v>0</v>
      </c>
      <c r="I420" s="32">
        <f t="shared" si="161"/>
        <v>1</v>
      </c>
      <c r="N420" t="s">
        <v>199</v>
      </c>
      <c r="R420" s="32" t="str">
        <f t="shared" si="162"/>
        <v>6)Hex(4)Sulfo(1)</v>
      </c>
      <c r="S420" s="32" t="str">
        <f t="shared" si="163"/>
        <v>4)Sulfo(1)</v>
      </c>
      <c r="T420" s="32">
        <f t="shared" si="164"/>
        <v>0</v>
      </c>
      <c r="U420" s="32">
        <f t="shared" si="165"/>
        <v>0</v>
      </c>
      <c r="V420" s="32">
        <f t="shared" si="166"/>
        <v>0</v>
      </c>
      <c r="W420" s="32">
        <f t="shared" si="167"/>
        <v>0</v>
      </c>
      <c r="X420" s="32" t="str">
        <f t="shared" si="168"/>
        <v>1)</v>
      </c>
      <c r="Y420" s="32">
        <f t="shared" si="169"/>
        <v>0</v>
      </c>
      <c r="Z420" s="32">
        <f t="shared" si="170"/>
        <v>0</v>
      </c>
    </row>
    <row r="421" spans="1:26" x14ac:dyDescent="0.25">
      <c r="A421" s="30" t="str">
        <f t="shared" si="153"/>
        <v>6</v>
      </c>
      <c r="B421" s="30" t="str">
        <f t="shared" si="154"/>
        <v>4</v>
      </c>
      <c r="C421" s="30">
        <f t="shared" si="155"/>
        <v>0</v>
      </c>
      <c r="D421" s="31">
        <f t="shared" si="156"/>
        <v>0</v>
      </c>
      <c r="E421" s="31">
        <f t="shared" si="157"/>
        <v>0</v>
      </c>
      <c r="F421" s="32">
        <f t="shared" si="158"/>
        <v>0</v>
      </c>
      <c r="G421" s="31">
        <f t="shared" si="159"/>
        <v>2</v>
      </c>
      <c r="H421" s="31">
        <f t="shared" si="160"/>
        <v>0</v>
      </c>
      <c r="I421" s="32">
        <f t="shared" si="161"/>
        <v>2</v>
      </c>
      <c r="N421" t="s">
        <v>200</v>
      </c>
      <c r="R421" s="32" t="str">
        <f t="shared" si="162"/>
        <v>6)Hex(4)Sulfo(2)</v>
      </c>
      <c r="S421" s="32" t="str">
        <f t="shared" si="163"/>
        <v>4)Sulfo(2)</v>
      </c>
      <c r="T421" s="32">
        <f t="shared" si="164"/>
        <v>0</v>
      </c>
      <c r="U421" s="32">
        <f t="shared" si="165"/>
        <v>0</v>
      </c>
      <c r="V421" s="32">
        <f t="shared" si="166"/>
        <v>0</v>
      </c>
      <c r="W421" s="32">
        <f t="shared" si="167"/>
        <v>0</v>
      </c>
      <c r="X421" s="32" t="str">
        <f t="shared" si="168"/>
        <v>2)</v>
      </c>
      <c r="Y421" s="32">
        <f t="shared" si="169"/>
        <v>0</v>
      </c>
      <c r="Z421" s="32">
        <f t="shared" si="170"/>
        <v>0</v>
      </c>
    </row>
    <row r="422" spans="1:26" x14ac:dyDescent="0.25">
      <c r="A422" s="30" t="str">
        <f t="shared" si="153"/>
        <v>6</v>
      </c>
      <c r="B422" s="30" t="str">
        <f t="shared" si="154"/>
        <v>4</v>
      </c>
      <c r="C422" s="30">
        <f t="shared" si="155"/>
        <v>0</v>
      </c>
      <c r="D422" s="31">
        <f t="shared" si="156"/>
        <v>0</v>
      </c>
      <c r="E422" s="31">
        <f t="shared" si="157"/>
        <v>0</v>
      </c>
      <c r="F422" s="32">
        <f t="shared" si="158"/>
        <v>0</v>
      </c>
      <c r="G422" s="31">
        <f t="shared" si="159"/>
        <v>3</v>
      </c>
      <c r="H422" s="31">
        <f t="shared" si="160"/>
        <v>0</v>
      </c>
      <c r="I422" s="32">
        <f t="shared" si="161"/>
        <v>3</v>
      </c>
      <c r="N422" t="s">
        <v>201</v>
      </c>
      <c r="R422" s="32" t="str">
        <f t="shared" si="162"/>
        <v>6)Hex(4)Sulfo(3)</v>
      </c>
      <c r="S422" s="32" t="str">
        <f t="shared" si="163"/>
        <v>4)Sulfo(3)</v>
      </c>
      <c r="T422" s="32">
        <f t="shared" si="164"/>
        <v>0</v>
      </c>
      <c r="U422" s="32">
        <f t="shared" si="165"/>
        <v>0</v>
      </c>
      <c r="V422" s="32">
        <f t="shared" si="166"/>
        <v>0</v>
      </c>
      <c r="W422" s="32">
        <f t="shared" si="167"/>
        <v>0</v>
      </c>
      <c r="X422" s="32" t="str">
        <f t="shared" si="168"/>
        <v>3)</v>
      </c>
      <c r="Y422" s="32">
        <f t="shared" si="169"/>
        <v>0</v>
      </c>
      <c r="Z422" s="32">
        <f t="shared" si="170"/>
        <v>0</v>
      </c>
    </row>
    <row r="423" spans="1:26" x14ac:dyDescent="0.25">
      <c r="A423" s="30" t="str">
        <f t="shared" si="153"/>
        <v>6</v>
      </c>
      <c r="B423" s="30" t="str">
        <f t="shared" si="154"/>
        <v>3</v>
      </c>
      <c r="C423" s="30" t="str">
        <f t="shared" si="155"/>
        <v>1</v>
      </c>
      <c r="D423" s="31">
        <f t="shared" si="156"/>
        <v>1</v>
      </c>
      <c r="E423" s="31">
        <f t="shared" si="157"/>
        <v>0</v>
      </c>
      <c r="F423" s="32">
        <f t="shared" si="158"/>
        <v>1</v>
      </c>
      <c r="G423" s="31">
        <f t="shared" si="159"/>
        <v>1</v>
      </c>
      <c r="H423" s="31">
        <f t="shared" si="160"/>
        <v>0</v>
      </c>
      <c r="I423" s="32">
        <f t="shared" si="161"/>
        <v>1</v>
      </c>
      <c r="N423" t="s">
        <v>202</v>
      </c>
      <c r="R423" s="32" t="str">
        <f t="shared" si="162"/>
        <v>6)Hex(3)Fuc(1)NeuAc(1)Sulfo(1)</v>
      </c>
      <c r="S423" s="32" t="str">
        <f t="shared" si="163"/>
        <v>3)Fuc(1)NeuAc(1)Sulfo(1)</v>
      </c>
      <c r="T423" s="32" t="str">
        <f t="shared" si="164"/>
        <v>1)NeuAc(1)Sulfo(1)</v>
      </c>
      <c r="U423" s="32" t="str">
        <f t="shared" si="165"/>
        <v>1)Sulfo(1)</v>
      </c>
      <c r="V423" s="32">
        <f t="shared" si="166"/>
        <v>0</v>
      </c>
      <c r="W423" s="32">
        <f t="shared" si="167"/>
        <v>0</v>
      </c>
      <c r="X423" s="32" t="str">
        <f t="shared" si="168"/>
        <v>1)</v>
      </c>
      <c r="Y423" s="32">
        <f t="shared" si="169"/>
        <v>0</v>
      </c>
      <c r="Z423" s="32">
        <f t="shared" si="170"/>
        <v>0</v>
      </c>
    </row>
    <row r="424" spans="1:26" x14ac:dyDescent="0.25">
      <c r="A424" s="30" t="str">
        <f t="shared" si="153"/>
        <v>6</v>
      </c>
      <c r="B424" s="30" t="str">
        <f t="shared" si="154"/>
        <v>3</v>
      </c>
      <c r="C424" s="30" t="str">
        <f t="shared" si="155"/>
        <v>1</v>
      </c>
      <c r="D424" s="31">
        <f t="shared" si="156"/>
        <v>1</v>
      </c>
      <c r="E424" s="31">
        <f t="shared" si="157"/>
        <v>0</v>
      </c>
      <c r="F424" s="32">
        <f t="shared" si="158"/>
        <v>1</v>
      </c>
      <c r="G424" s="31">
        <f t="shared" si="159"/>
        <v>2</v>
      </c>
      <c r="H424" s="31">
        <f t="shared" si="160"/>
        <v>0</v>
      </c>
      <c r="I424" s="32">
        <f t="shared" si="161"/>
        <v>2</v>
      </c>
      <c r="N424" t="s">
        <v>203</v>
      </c>
      <c r="R424" s="32" t="str">
        <f t="shared" si="162"/>
        <v>6)Hex(3)Fuc(1)NeuAc(1)Sulfo(2)</v>
      </c>
      <c r="S424" s="32" t="str">
        <f t="shared" si="163"/>
        <v>3)Fuc(1)NeuAc(1)Sulfo(2)</v>
      </c>
      <c r="T424" s="32" t="str">
        <f t="shared" si="164"/>
        <v>1)NeuAc(1)Sulfo(2)</v>
      </c>
      <c r="U424" s="32" t="str">
        <f t="shared" si="165"/>
        <v>1)Sulfo(2)</v>
      </c>
      <c r="V424" s="32">
        <f t="shared" si="166"/>
        <v>0</v>
      </c>
      <c r="W424" s="32">
        <f t="shared" si="167"/>
        <v>0</v>
      </c>
      <c r="X424" s="32" t="str">
        <f t="shared" si="168"/>
        <v>2)</v>
      </c>
      <c r="Y424" s="32">
        <f t="shared" si="169"/>
        <v>0</v>
      </c>
      <c r="Z424" s="32">
        <f t="shared" si="170"/>
        <v>0</v>
      </c>
    </row>
    <row r="425" spans="1:26" x14ac:dyDescent="0.25">
      <c r="A425" s="30" t="str">
        <f t="shared" si="153"/>
        <v>6</v>
      </c>
      <c r="B425" s="30" t="str">
        <f t="shared" si="154"/>
        <v>3</v>
      </c>
      <c r="C425" s="30" t="str">
        <f t="shared" si="155"/>
        <v>1</v>
      </c>
      <c r="D425" s="31">
        <f t="shared" si="156"/>
        <v>1</v>
      </c>
      <c r="E425" s="31">
        <f t="shared" si="157"/>
        <v>0</v>
      </c>
      <c r="F425" s="32">
        <f t="shared" si="158"/>
        <v>1</v>
      </c>
      <c r="G425" s="31">
        <f t="shared" si="159"/>
        <v>3</v>
      </c>
      <c r="H425" s="31">
        <f t="shared" si="160"/>
        <v>0</v>
      </c>
      <c r="I425" s="32">
        <f t="shared" si="161"/>
        <v>3</v>
      </c>
      <c r="N425" t="s">
        <v>204</v>
      </c>
      <c r="R425" s="32" t="str">
        <f t="shared" si="162"/>
        <v>6)Hex(3)Fuc(1)NeuAc(1)Sulfo(3)</v>
      </c>
      <c r="S425" s="32" t="str">
        <f t="shared" si="163"/>
        <v>3)Fuc(1)NeuAc(1)Sulfo(3)</v>
      </c>
      <c r="T425" s="32" t="str">
        <f t="shared" si="164"/>
        <v>1)NeuAc(1)Sulfo(3)</v>
      </c>
      <c r="U425" s="32" t="str">
        <f t="shared" si="165"/>
        <v>1)Sulfo(3)</v>
      </c>
      <c r="V425" s="32">
        <f t="shared" si="166"/>
        <v>0</v>
      </c>
      <c r="W425" s="32">
        <f t="shared" si="167"/>
        <v>0</v>
      </c>
      <c r="X425" s="32" t="str">
        <f t="shared" si="168"/>
        <v>3)</v>
      </c>
      <c r="Y425" s="32">
        <f t="shared" si="169"/>
        <v>0</v>
      </c>
      <c r="Z425" s="32">
        <f t="shared" si="170"/>
        <v>0</v>
      </c>
    </row>
    <row r="426" spans="1:26" x14ac:dyDescent="0.25">
      <c r="A426" s="30" t="str">
        <f t="shared" si="153"/>
        <v>5</v>
      </c>
      <c r="B426" s="30" t="str">
        <f t="shared" si="154"/>
        <v>7</v>
      </c>
      <c r="C426" s="30" t="str">
        <f t="shared" si="155"/>
        <v>1</v>
      </c>
      <c r="D426" s="31">
        <f t="shared" si="156"/>
        <v>1</v>
      </c>
      <c r="E426" s="31">
        <f t="shared" si="157"/>
        <v>0</v>
      </c>
      <c r="F426" s="32">
        <f t="shared" si="158"/>
        <v>1</v>
      </c>
      <c r="G426" s="31">
        <f t="shared" si="159"/>
        <v>1</v>
      </c>
      <c r="H426" s="31">
        <f t="shared" si="160"/>
        <v>0</v>
      </c>
      <c r="I426" s="32">
        <f t="shared" si="161"/>
        <v>1</v>
      </c>
      <c r="N426" t="s">
        <v>205</v>
      </c>
      <c r="R426" s="32" t="str">
        <f t="shared" si="162"/>
        <v>5)Hex(7)Fuc(1)NeuAc(1)Sulfo(1)</v>
      </c>
      <c r="S426" s="32" t="str">
        <f t="shared" si="163"/>
        <v>7)Fuc(1)NeuAc(1)Sulfo(1)</v>
      </c>
      <c r="T426" s="32" t="str">
        <f t="shared" si="164"/>
        <v>1)NeuAc(1)Sulfo(1)</v>
      </c>
      <c r="U426" s="32" t="str">
        <f t="shared" si="165"/>
        <v>1)Sulfo(1)</v>
      </c>
      <c r="V426" s="32">
        <f t="shared" si="166"/>
        <v>0</v>
      </c>
      <c r="W426" s="32">
        <f t="shared" si="167"/>
        <v>0</v>
      </c>
      <c r="X426" s="32" t="str">
        <f t="shared" si="168"/>
        <v>1)</v>
      </c>
      <c r="Y426" s="32">
        <f t="shared" si="169"/>
        <v>0</v>
      </c>
      <c r="Z426" s="32">
        <f t="shared" si="170"/>
        <v>0</v>
      </c>
    </row>
    <row r="427" spans="1:26" x14ac:dyDescent="0.25">
      <c r="A427" s="30" t="str">
        <f t="shared" si="153"/>
        <v>5</v>
      </c>
      <c r="B427" s="30" t="str">
        <f t="shared" si="154"/>
        <v>7</v>
      </c>
      <c r="C427" s="30" t="str">
        <f t="shared" si="155"/>
        <v>1</v>
      </c>
      <c r="D427" s="31">
        <f t="shared" si="156"/>
        <v>1</v>
      </c>
      <c r="E427" s="31">
        <f t="shared" si="157"/>
        <v>0</v>
      </c>
      <c r="F427" s="32">
        <f t="shared" si="158"/>
        <v>1</v>
      </c>
      <c r="G427" s="31">
        <f t="shared" si="159"/>
        <v>3</v>
      </c>
      <c r="H427" s="31">
        <f t="shared" si="160"/>
        <v>0</v>
      </c>
      <c r="I427" s="32">
        <f t="shared" si="161"/>
        <v>3</v>
      </c>
      <c r="N427" t="s">
        <v>206</v>
      </c>
      <c r="R427" s="32" t="str">
        <f t="shared" si="162"/>
        <v>5)Hex(7)Fuc(1)NeuAc(1)Sulfo(3)</v>
      </c>
      <c r="S427" s="32" t="str">
        <f t="shared" si="163"/>
        <v>7)Fuc(1)NeuAc(1)Sulfo(3)</v>
      </c>
      <c r="T427" s="32" t="str">
        <f t="shared" si="164"/>
        <v>1)NeuAc(1)Sulfo(3)</v>
      </c>
      <c r="U427" s="32" t="str">
        <f t="shared" si="165"/>
        <v>1)Sulfo(3)</v>
      </c>
      <c r="V427" s="32">
        <f t="shared" si="166"/>
        <v>0</v>
      </c>
      <c r="W427" s="32">
        <f t="shared" si="167"/>
        <v>0</v>
      </c>
      <c r="X427" s="32" t="str">
        <f t="shared" si="168"/>
        <v>3)</v>
      </c>
      <c r="Y427" s="32">
        <f t="shared" si="169"/>
        <v>0</v>
      </c>
      <c r="Z427" s="32">
        <f t="shared" si="170"/>
        <v>0</v>
      </c>
    </row>
    <row r="428" spans="1:26" x14ac:dyDescent="0.25">
      <c r="A428" s="30" t="str">
        <f t="shared" si="153"/>
        <v>5</v>
      </c>
      <c r="B428" s="30" t="str">
        <f t="shared" si="154"/>
        <v>7</v>
      </c>
      <c r="C428" s="30" t="str">
        <f t="shared" si="155"/>
        <v>1</v>
      </c>
      <c r="D428" s="31">
        <f t="shared" si="156"/>
        <v>1</v>
      </c>
      <c r="E428" s="31">
        <f t="shared" si="157"/>
        <v>0</v>
      </c>
      <c r="F428" s="32">
        <f t="shared" si="158"/>
        <v>1</v>
      </c>
      <c r="G428" s="31">
        <f t="shared" si="159"/>
        <v>2</v>
      </c>
      <c r="H428" s="31">
        <f t="shared" si="160"/>
        <v>0</v>
      </c>
      <c r="I428" s="32">
        <f t="shared" si="161"/>
        <v>2</v>
      </c>
      <c r="N428" t="s">
        <v>207</v>
      </c>
      <c r="R428" s="32" t="str">
        <f t="shared" si="162"/>
        <v>5)Hex(7)Fuc(1)NeuAc(1)Sulfo(2)</v>
      </c>
      <c r="S428" s="32" t="str">
        <f t="shared" si="163"/>
        <v>7)Fuc(1)NeuAc(1)Sulfo(2)</v>
      </c>
      <c r="T428" s="32" t="str">
        <f t="shared" si="164"/>
        <v>1)NeuAc(1)Sulfo(2)</v>
      </c>
      <c r="U428" s="32" t="str">
        <f t="shared" si="165"/>
        <v>1)Sulfo(2)</v>
      </c>
      <c r="V428" s="32">
        <f t="shared" si="166"/>
        <v>0</v>
      </c>
      <c r="W428" s="32">
        <f t="shared" si="167"/>
        <v>0</v>
      </c>
      <c r="X428" s="32" t="str">
        <f t="shared" si="168"/>
        <v>2)</v>
      </c>
      <c r="Y428" s="32">
        <f t="shared" si="169"/>
        <v>0</v>
      </c>
      <c r="Z428" s="32">
        <f t="shared" si="170"/>
        <v>0</v>
      </c>
    </row>
    <row r="429" spans="1:26" x14ac:dyDescent="0.25">
      <c r="A429" s="30" t="str">
        <f t="shared" si="153"/>
        <v>2</v>
      </c>
      <c r="B429" s="30" t="str">
        <f t="shared" si="154"/>
        <v>5</v>
      </c>
      <c r="C429" s="30" t="str">
        <f t="shared" si="155"/>
        <v>1</v>
      </c>
      <c r="D429" s="31">
        <f t="shared" si="156"/>
        <v>0</v>
      </c>
      <c r="E429" s="31">
        <f t="shared" si="157"/>
        <v>0</v>
      </c>
      <c r="F429" s="32">
        <f t="shared" si="158"/>
        <v>0</v>
      </c>
      <c r="G429" s="31">
        <f t="shared" si="159"/>
        <v>1</v>
      </c>
      <c r="H429" s="31">
        <f t="shared" si="160"/>
        <v>0</v>
      </c>
      <c r="I429" s="32">
        <f t="shared" si="161"/>
        <v>1</v>
      </c>
      <c r="N429" t="s">
        <v>208</v>
      </c>
      <c r="R429" s="32" t="str">
        <f t="shared" si="162"/>
        <v>2)Hex(5)Fuc(1)Sulfo(1)</v>
      </c>
      <c r="S429" s="32" t="str">
        <f t="shared" si="163"/>
        <v>5)Fuc(1)Sulfo(1)</v>
      </c>
      <c r="T429" s="32" t="str">
        <f t="shared" si="164"/>
        <v>1)Sulfo(1)</v>
      </c>
      <c r="U429" s="32">
        <f t="shared" si="165"/>
        <v>0</v>
      </c>
      <c r="V429" s="32">
        <f t="shared" si="166"/>
        <v>0</v>
      </c>
      <c r="W429" s="32">
        <f t="shared" si="167"/>
        <v>0</v>
      </c>
      <c r="X429" s="32" t="str">
        <f t="shared" si="168"/>
        <v>1)</v>
      </c>
      <c r="Y429" s="32">
        <f t="shared" si="169"/>
        <v>0</v>
      </c>
      <c r="Z429" s="32">
        <f t="shared" si="170"/>
        <v>0</v>
      </c>
    </row>
    <row r="430" spans="1:26" x14ac:dyDescent="0.25">
      <c r="A430" s="30" t="str">
        <f t="shared" si="153"/>
        <v>2</v>
      </c>
      <c r="B430" s="30" t="str">
        <f t="shared" si="154"/>
        <v>5</v>
      </c>
      <c r="C430" s="30" t="str">
        <f t="shared" si="155"/>
        <v>1</v>
      </c>
      <c r="D430" s="31">
        <f t="shared" si="156"/>
        <v>0</v>
      </c>
      <c r="E430" s="31">
        <f t="shared" si="157"/>
        <v>0</v>
      </c>
      <c r="F430" s="32">
        <f t="shared" si="158"/>
        <v>0</v>
      </c>
      <c r="G430" s="31">
        <f t="shared" si="159"/>
        <v>2</v>
      </c>
      <c r="H430" s="31">
        <f t="shared" si="160"/>
        <v>0</v>
      </c>
      <c r="I430" s="32">
        <f t="shared" si="161"/>
        <v>2</v>
      </c>
      <c r="N430" t="s">
        <v>209</v>
      </c>
      <c r="R430" s="32" t="str">
        <f t="shared" si="162"/>
        <v>2)Hex(5)Fuc(1)Sulfo(2)</v>
      </c>
      <c r="S430" s="32" t="str">
        <f t="shared" si="163"/>
        <v>5)Fuc(1)Sulfo(2)</v>
      </c>
      <c r="T430" s="32" t="str">
        <f t="shared" si="164"/>
        <v>1)Sulfo(2)</v>
      </c>
      <c r="U430" s="32">
        <f t="shared" si="165"/>
        <v>0</v>
      </c>
      <c r="V430" s="32">
        <f t="shared" si="166"/>
        <v>0</v>
      </c>
      <c r="W430" s="32">
        <f t="shared" si="167"/>
        <v>0</v>
      </c>
      <c r="X430" s="32" t="str">
        <f t="shared" si="168"/>
        <v>2)</v>
      </c>
      <c r="Y430" s="32">
        <f t="shared" si="169"/>
        <v>0</v>
      </c>
      <c r="Z430" s="32">
        <f t="shared" si="170"/>
        <v>0</v>
      </c>
    </row>
    <row r="431" spans="1:26" x14ac:dyDescent="0.25">
      <c r="A431" s="30" t="str">
        <f t="shared" si="153"/>
        <v>2</v>
      </c>
      <c r="B431" s="30" t="str">
        <f t="shared" si="154"/>
        <v>5</v>
      </c>
      <c r="C431" s="30" t="str">
        <f t="shared" si="155"/>
        <v>1</v>
      </c>
      <c r="D431" s="31">
        <f t="shared" si="156"/>
        <v>0</v>
      </c>
      <c r="E431" s="31">
        <f t="shared" si="157"/>
        <v>0</v>
      </c>
      <c r="F431" s="32">
        <f t="shared" si="158"/>
        <v>0</v>
      </c>
      <c r="G431" s="31">
        <f t="shared" si="159"/>
        <v>3</v>
      </c>
      <c r="H431" s="31">
        <f t="shared" si="160"/>
        <v>0</v>
      </c>
      <c r="I431" s="32">
        <f t="shared" si="161"/>
        <v>3</v>
      </c>
      <c r="N431" t="s">
        <v>210</v>
      </c>
      <c r="R431" s="32" t="str">
        <f t="shared" si="162"/>
        <v>2)Hex(5)Fuc(1)Sulfo(3)</v>
      </c>
      <c r="S431" s="32" t="str">
        <f t="shared" si="163"/>
        <v>5)Fuc(1)Sulfo(3)</v>
      </c>
      <c r="T431" s="32" t="str">
        <f t="shared" si="164"/>
        <v>1)Sulfo(3)</v>
      </c>
      <c r="U431" s="32">
        <f t="shared" si="165"/>
        <v>0</v>
      </c>
      <c r="V431" s="32">
        <f t="shared" si="166"/>
        <v>0</v>
      </c>
      <c r="W431" s="32">
        <f t="shared" si="167"/>
        <v>0</v>
      </c>
      <c r="X431" s="32" t="str">
        <f t="shared" si="168"/>
        <v>3)</v>
      </c>
      <c r="Y431" s="32">
        <f t="shared" si="169"/>
        <v>0</v>
      </c>
      <c r="Z431" s="32">
        <f t="shared" si="170"/>
        <v>0</v>
      </c>
    </row>
    <row r="432" spans="1:26" x14ac:dyDescent="0.25">
      <c r="A432" s="30" t="str">
        <f t="shared" si="153"/>
        <v>6</v>
      </c>
      <c r="B432" s="30" t="str">
        <f t="shared" si="154"/>
        <v>5</v>
      </c>
      <c r="C432" s="30" t="str">
        <f t="shared" si="155"/>
        <v>1</v>
      </c>
      <c r="D432" s="31">
        <f t="shared" si="156"/>
        <v>0</v>
      </c>
      <c r="E432" s="31">
        <f t="shared" si="157"/>
        <v>0</v>
      </c>
      <c r="F432" s="32">
        <f t="shared" si="158"/>
        <v>0</v>
      </c>
      <c r="G432" s="31">
        <f t="shared" si="159"/>
        <v>1</v>
      </c>
      <c r="H432" s="31">
        <f t="shared" si="160"/>
        <v>0</v>
      </c>
      <c r="I432" s="32">
        <f t="shared" si="161"/>
        <v>1</v>
      </c>
      <c r="N432" t="s">
        <v>211</v>
      </c>
      <c r="R432" s="32" t="str">
        <f t="shared" si="162"/>
        <v>6)Hex(5)Fuc(1)Sulfo(1)</v>
      </c>
      <c r="S432" s="32" t="str">
        <f t="shared" si="163"/>
        <v>5)Fuc(1)Sulfo(1)</v>
      </c>
      <c r="T432" s="32" t="str">
        <f t="shared" si="164"/>
        <v>1)Sulfo(1)</v>
      </c>
      <c r="U432" s="32">
        <f t="shared" si="165"/>
        <v>0</v>
      </c>
      <c r="V432" s="32">
        <f t="shared" si="166"/>
        <v>0</v>
      </c>
      <c r="W432" s="32">
        <f t="shared" si="167"/>
        <v>0</v>
      </c>
      <c r="X432" s="32" t="str">
        <f t="shared" si="168"/>
        <v>1)</v>
      </c>
      <c r="Y432" s="32">
        <f t="shared" si="169"/>
        <v>0</v>
      </c>
      <c r="Z432" s="32">
        <f t="shared" si="170"/>
        <v>0</v>
      </c>
    </row>
    <row r="433" spans="1:26" x14ac:dyDescent="0.25">
      <c r="A433" s="30" t="str">
        <f t="shared" si="153"/>
        <v>6</v>
      </c>
      <c r="B433" s="30" t="str">
        <f t="shared" si="154"/>
        <v>5</v>
      </c>
      <c r="C433" s="30" t="str">
        <f t="shared" si="155"/>
        <v>1</v>
      </c>
      <c r="D433" s="31">
        <f t="shared" si="156"/>
        <v>0</v>
      </c>
      <c r="E433" s="31">
        <f t="shared" si="157"/>
        <v>0</v>
      </c>
      <c r="F433" s="32">
        <f t="shared" si="158"/>
        <v>0</v>
      </c>
      <c r="G433" s="31">
        <f t="shared" si="159"/>
        <v>2</v>
      </c>
      <c r="H433" s="31">
        <f t="shared" si="160"/>
        <v>0</v>
      </c>
      <c r="I433" s="32">
        <f t="shared" si="161"/>
        <v>2</v>
      </c>
      <c r="N433" t="s">
        <v>212</v>
      </c>
      <c r="R433" s="32" t="str">
        <f t="shared" si="162"/>
        <v>6)Hex(5)Fuc(1)Sulfo(2)</v>
      </c>
      <c r="S433" s="32" t="str">
        <f t="shared" si="163"/>
        <v>5)Fuc(1)Sulfo(2)</v>
      </c>
      <c r="T433" s="32" t="str">
        <f t="shared" si="164"/>
        <v>1)Sulfo(2)</v>
      </c>
      <c r="U433" s="32">
        <f t="shared" si="165"/>
        <v>0</v>
      </c>
      <c r="V433" s="32">
        <f t="shared" si="166"/>
        <v>0</v>
      </c>
      <c r="W433" s="32">
        <f t="shared" si="167"/>
        <v>0</v>
      </c>
      <c r="X433" s="32" t="str">
        <f t="shared" si="168"/>
        <v>2)</v>
      </c>
      <c r="Y433" s="32">
        <f t="shared" si="169"/>
        <v>0</v>
      </c>
      <c r="Z433" s="32">
        <f t="shared" si="170"/>
        <v>0</v>
      </c>
    </row>
    <row r="434" spans="1:26" x14ac:dyDescent="0.25">
      <c r="A434" s="30" t="str">
        <f t="shared" si="153"/>
        <v>6</v>
      </c>
      <c r="B434" s="30" t="str">
        <f t="shared" si="154"/>
        <v>5</v>
      </c>
      <c r="C434" s="30" t="str">
        <f t="shared" si="155"/>
        <v>1</v>
      </c>
      <c r="D434" s="31">
        <f t="shared" si="156"/>
        <v>0</v>
      </c>
      <c r="E434" s="31">
        <f t="shared" si="157"/>
        <v>0</v>
      </c>
      <c r="F434" s="32">
        <f t="shared" si="158"/>
        <v>0</v>
      </c>
      <c r="G434" s="31">
        <f t="shared" si="159"/>
        <v>3</v>
      </c>
      <c r="H434" s="31">
        <f t="shared" si="160"/>
        <v>0</v>
      </c>
      <c r="I434" s="32">
        <f t="shared" si="161"/>
        <v>3</v>
      </c>
      <c r="N434" t="s">
        <v>213</v>
      </c>
      <c r="R434" s="32" t="str">
        <f t="shared" si="162"/>
        <v>6)Hex(5)Fuc(1)Sulfo(3)</v>
      </c>
      <c r="S434" s="32" t="str">
        <f t="shared" si="163"/>
        <v>5)Fuc(1)Sulfo(3)</v>
      </c>
      <c r="T434" s="32" t="str">
        <f t="shared" si="164"/>
        <v>1)Sulfo(3)</v>
      </c>
      <c r="U434" s="32">
        <f t="shared" si="165"/>
        <v>0</v>
      </c>
      <c r="V434" s="32">
        <f t="shared" si="166"/>
        <v>0</v>
      </c>
      <c r="W434" s="32">
        <f t="shared" si="167"/>
        <v>0</v>
      </c>
      <c r="X434" s="32" t="str">
        <f t="shared" si="168"/>
        <v>3)</v>
      </c>
      <c r="Y434" s="32">
        <f t="shared" si="169"/>
        <v>0</v>
      </c>
      <c r="Z434" s="32">
        <f t="shared" si="170"/>
        <v>0</v>
      </c>
    </row>
    <row r="435" spans="1:26" x14ac:dyDescent="0.25">
      <c r="A435" s="30" t="str">
        <f t="shared" si="153"/>
        <v>3</v>
      </c>
      <c r="B435" s="30" t="str">
        <f t="shared" si="154"/>
        <v>6</v>
      </c>
      <c r="C435" s="30">
        <f t="shared" si="155"/>
        <v>0</v>
      </c>
      <c r="D435" s="31">
        <f t="shared" si="156"/>
        <v>0</v>
      </c>
      <c r="E435" s="31">
        <f t="shared" si="157"/>
        <v>0</v>
      </c>
      <c r="F435" s="32">
        <f t="shared" si="158"/>
        <v>0</v>
      </c>
      <c r="G435" s="31">
        <f t="shared" si="159"/>
        <v>1</v>
      </c>
      <c r="H435" s="31">
        <f t="shared" si="160"/>
        <v>0</v>
      </c>
      <c r="I435" s="32">
        <f t="shared" si="161"/>
        <v>1</v>
      </c>
      <c r="N435" t="s">
        <v>214</v>
      </c>
      <c r="R435" s="32" t="str">
        <f t="shared" si="162"/>
        <v>3)Hex(6)Sulfo(1)</v>
      </c>
      <c r="S435" s="32" t="str">
        <f t="shared" si="163"/>
        <v>6)Sulfo(1)</v>
      </c>
      <c r="T435" s="32">
        <f t="shared" si="164"/>
        <v>0</v>
      </c>
      <c r="U435" s="32">
        <f t="shared" si="165"/>
        <v>0</v>
      </c>
      <c r="V435" s="32">
        <f t="shared" si="166"/>
        <v>0</v>
      </c>
      <c r="W435" s="32">
        <f t="shared" si="167"/>
        <v>0</v>
      </c>
      <c r="X435" s="32" t="str">
        <f t="shared" si="168"/>
        <v>1)</v>
      </c>
      <c r="Y435" s="32">
        <f t="shared" si="169"/>
        <v>0</v>
      </c>
      <c r="Z435" s="32">
        <f t="shared" si="170"/>
        <v>0</v>
      </c>
    </row>
    <row r="436" spans="1:26" x14ac:dyDescent="0.25">
      <c r="A436" s="30" t="str">
        <f t="shared" si="153"/>
        <v>3</v>
      </c>
      <c r="B436" s="30" t="str">
        <f t="shared" si="154"/>
        <v>6</v>
      </c>
      <c r="C436" s="30">
        <f t="shared" si="155"/>
        <v>0</v>
      </c>
      <c r="D436" s="31">
        <f t="shared" si="156"/>
        <v>0</v>
      </c>
      <c r="E436" s="31">
        <f t="shared" si="157"/>
        <v>0</v>
      </c>
      <c r="F436" s="32">
        <f t="shared" si="158"/>
        <v>0</v>
      </c>
      <c r="G436" s="31">
        <f t="shared" si="159"/>
        <v>2</v>
      </c>
      <c r="H436" s="31">
        <f t="shared" si="160"/>
        <v>0</v>
      </c>
      <c r="I436" s="32">
        <f t="shared" si="161"/>
        <v>2</v>
      </c>
      <c r="N436" t="s">
        <v>215</v>
      </c>
      <c r="R436" s="32" t="str">
        <f t="shared" si="162"/>
        <v>3)Hex(6)Sulfo(2)</v>
      </c>
      <c r="S436" s="32" t="str">
        <f t="shared" si="163"/>
        <v>6)Sulfo(2)</v>
      </c>
      <c r="T436" s="32">
        <f t="shared" si="164"/>
        <v>0</v>
      </c>
      <c r="U436" s="32">
        <f t="shared" si="165"/>
        <v>0</v>
      </c>
      <c r="V436" s="32">
        <f t="shared" si="166"/>
        <v>0</v>
      </c>
      <c r="W436" s="32">
        <f t="shared" si="167"/>
        <v>0</v>
      </c>
      <c r="X436" s="32" t="str">
        <f t="shared" si="168"/>
        <v>2)</v>
      </c>
      <c r="Y436" s="32">
        <f t="shared" si="169"/>
        <v>0</v>
      </c>
      <c r="Z436" s="32">
        <f t="shared" si="170"/>
        <v>0</v>
      </c>
    </row>
    <row r="437" spans="1:26" x14ac:dyDescent="0.25">
      <c r="A437" s="30" t="str">
        <f t="shared" si="153"/>
        <v>3</v>
      </c>
      <c r="B437" s="30" t="str">
        <f t="shared" si="154"/>
        <v>6</v>
      </c>
      <c r="C437" s="30">
        <f t="shared" si="155"/>
        <v>0</v>
      </c>
      <c r="D437" s="31">
        <f t="shared" si="156"/>
        <v>0</v>
      </c>
      <c r="E437" s="31">
        <f t="shared" si="157"/>
        <v>0</v>
      </c>
      <c r="F437" s="32">
        <f t="shared" si="158"/>
        <v>0</v>
      </c>
      <c r="G437" s="31">
        <f t="shared" si="159"/>
        <v>3</v>
      </c>
      <c r="H437" s="31">
        <f t="shared" si="160"/>
        <v>0</v>
      </c>
      <c r="I437" s="32">
        <f t="shared" si="161"/>
        <v>3</v>
      </c>
      <c r="N437" t="s">
        <v>216</v>
      </c>
      <c r="R437" s="32" t="str">
        <f t="shared" si="162"/>
        <v>3)Hex(6)Sulfo(3)</v>
      </c>
      <c r="S437" s="32" t="str">
        <f t="shared" si="163"/>
        <v>6)Sulfo(3)</v>
      </c>
      <c r="T437" s="32">
        <f t="shared" si="164"/>
        <v>0</v>
      </c>
      <c r="U437" s="32">
        <f t="shared" si="165"/>
        <v>0</v>
      </c>
      <c r="V437" s="32">
        <f t="shared" si="166"/>
        <v>0</v>
      </c>
      <c r="W437" s="32">
        <f t="shared" si="167"/>
        <v>0</v>
      </c>
      <c r="X437" s="32" t="str">
        <f t="shared" si="168"/>
        <v>3)</v>
      </c>
      <c r="Y437" s="32">
        <f t="shared" si="169"/>
        <v>0</v>
      </c>
      <c r="Z437" s="32">
        <f t="shared" si="170"/>
        <v>0</v>
      </c>
    </row>
    <row r="438" spans="1:26" x14ac:dyDescent="0.25">
      <c r="A438" s="30" t="str">
        <f t="shared" si="153"/>
        <v>2</v>
      </c>
      <c r="B438" s="30" t="str">
        <f t="shared" si="154"/>
        <v>9</v>
      </c>
      <c r="C438" s="30">
        <f t="shared" si="155"/>
        <v>0</v>
      </c>
      <c r="D438" s="31">
        <f t="shared" si="156"/>
        <v>0</v>
      </c>
      <c r="E438" s="31">
        <f t="shared" si="157"/>
        <v>0</v>
      </c>
      <c r="F438" s="32">
        <f t="shared" si="158"/>
        <v>0</v>
      </c>
      <c r="G438" s="31">
        <f t="shared" si="159"/>
        <v>0</v>
      </c>
      <c r="H438" s="31">
        <f t="shared" si="160"/>
        <v>1</v>
      </c>
      <c r="I438" s="32">
        <f t="shared" si="161"/>
        <v>1</v>
      </c>
      <c r="N438" t="s">
        <v>217</v>
      </c>
      <c r="R438" s="32" t="str">
        <f t="shared" si="162"/>
        <v>2)Hex(9)Phospho(1)</v>
      </c>
      <c r="S438" s="32" t="str">
        <f t="shared" si="163"/>
        <v>9)Phospho(1)</v>
      </c>
      <c r="T438" s="32">
        <f t="shared" si="164"/>
        <v>0</v>
      </c>
      <c r="U438" s="32">
        <f t="shared" si="165"/>
        <v>0</v>
      </c>
      <c r="V438" s="32">
        <f t="shared" si="166"/>
        <v>0</v>
      </c>
      <c r="W438" s="32">
        <f t="shared" si="167"/>
        <v>0</v>
      </c>
      <c r="X438" s="32">
        <f t="shared" si="168"/>
        <v>0</v>
      </c>
      <c r="Y438" s="32" t="str">
        <f t="shared" si="169"/>
        <v>1)</v>
      </c>
      <c r="Z438" s="32">
        <f t="shared" si="170"/>
        <v>0</v>
      </c>
    </row>
    <row r="439" spans="1:26" x14ac:dyDescent="0.25">
      <c r="A439" s="30" t="str">
        <f t="shared" si="153"/>
        <v>2</v>
      </c>
      <c r="B439" s="30" t="str">
        <f t="shared" si="154"/>
        <v>8</v>
      </c>
      <c r="C439" s="30">
        <f t="shared" si="155"/>
        <v>0</v>
      </c>
      <c r="D439" s="31">
        <f t="shared" si="156"/>
        <v>0</v>
      </c>
      <c r="E439" s="31">
        <f t="shared" si="157"/>
        <v>0</v>
      </c>
      <c r="F439" s="32">
        <f t="shared" si="158"/>
        <v>0</v>
      </c>
      <c r="G439" s="31">
        <f t="shared" si="159"/>
        <v>0</v>
      </c>
      <c r="H439" s="31">
        <f t="shared" si="160"/>
        <v>1</v>
      </c>
      <c r="I439" s="32">
        <f t="shared" si="161"/>
        <v>1</v>
      </c>
      <c r="N439" t="s">
        <v>218</v>
      </c>
      <c r="R439" s="32" t="str">
        <f t="shared" si="162"/>
        <v>2)Hex(8)Phospho(1)</v>
      </c>
      <c r="S439" s="32" t="str">
        <f t="shared" si="163"/>
        <v>8)Phospho(1)</v>
      </c>
      <c r="T439" s="32">
        <f t="shared" si="164"/>
        <v>0</v>
      </c>
      <c r="U439" s="32">
        <f t="shared" si="165"/>
        <v>0</v>
      </c>
      <c r="V439" s="32">
        <f t="shared" si="166"/>
        <v>0</v>
      </c>
      <c r="W439" s="32">
        <f t="shared" si="167"/>
        <v>0</v>
      </c>
      <c r="X439" s="32">
        <f t="shared" si="168"/>
        <v>0</v>
      </c>
      <c r="Y439" s="32" t="str">
        <f t="shared" si="169"/>
        <v>1)</v>
      </c>
      <c r="Z439" s="32">
        <f t="shared" si="170"/>
        <v>0</v>
      </c>
    </row>
    <row r="440" spans="1:26" x14ac:dyDescent="0.25">
      <c r="A440" s="30" t="str">
        <f t="shared" si="153"/>
        <v>2</v>
      </c>
      <c r="B440" s="30" t="str">
        <f t="shared" si="154"/>
        <v>7</v>
      </c>
      <c r="C440" s="30">
        <f t="shared" si="155"/>
        <v>0</v>
      </c>
      <c r="D440" s="31">
        <f t="shared" si="156"/>
        <v>0</v>
      </c>
      <c r="E440" s="31">
        <f t="shared" si="157"/>
        <v>0</v>
      </c>
      <c r="F440" s="32">
        <f t="shared" si="158"/>
        <v>0</v>
      </c>
      <c r="G440" s="31">
        <f t="shared" si="159"/>
        <v>0</v>
      </c>
      <c r="H440" s="31">
        <f t="shared" si="160"/>
        <v>1</v>
      </c>
      <c r="I440" s="32">
        <f t="shared" si="161"/>
        <v>1</v>
      </c>
      <c r="N440" t="s">
        <v>219</v>
      </c>
      <c r="R440" s="32" t="str">
        <f t="shared" si="162"/>
        <v>2)Hex(7)Phospho(1)</v>
      </c>
      <c r="S440" s="32" t="str">
        <f t="shared" si="163"/>
        <v>7)Phospho(1)</v>
      </c>
      <c r="T440" s="32">
        <f t="shared" si="164"/>
        <v>0</v>
      </c>
      <c r="U440" s="32">
        <f t="shared" si="165"/>
        <v>0</v>
      </c>
      <c r="V440" s="32">
        <f t="shared" si="166"/>
        <v>0</v>
      </c>
      <c r="W440" s="32">
        <f t="shared" si="167"/>
        <v>0</v>
      </c>
      <c r="X440" s="32">
        <f t="shared" si="168"/>
        <v>0</v>
      </c>
      <c r="Y440" s="32" t="str">
        <f t="shared" si="169"/>
        <v>1)</v>
      </c>
      <c r="Z440" s="32">
        <f t="shared" si="170"/>
        <v>0</v>
      </c>
    </row>
    <row r="441" spans="1:26" x14ac:dyDescent="0.25">
      <c r="A441" s="30" t="str">
        <f t="shared" si="153"/>
        <v>2</v>
      </c>
      <c r="B441" s="30" t="str">
        <f t="shared" si="154"/>
        <v>6</v>
      </c>
      <c r="C441" s="30">
        <f t="shared" si="155"/>
        <v>0</v>
      </c>
      <c r="D441" s="31">
        <f t="shared" si="156"/>
        <v>0</v>
      </c>
      <c r="E441" s="31">
        <f t="shared" si="157"/>
        <v>0</v>
      </c>
      <c r="F441" s="32">
        <f t="shared" si="158"/>
        <v>0</v>
      </c>
      <c r="G441" s="31">
        <f t="shared" si="159"/>
        <v>0</v>
      </c>
      <c r="H441" s="31">
        <f t="shared" si="160"/>
        <v>1</v>
      </c>
      <c r="I441" s="32">
        <f t="shared" si="161"/>
        <v>1</v>
      </c>
      <c r="N441" t="s">
        <v>220</v>
      </c>
      <c r="R441" s="32" t="str">
        <f t="shared" si="162"/>
        <v>2)Hex(6)Phospho(1)</v>
      </c>
      <c r="S441" s="32" t="str">
        <f t="shared" si="163"/>
        <v>6)Phospho(1)</v>
      </c>
      <c r="T441" s="32">
        <f t="shared" si="164"/>
        <v>0</v>
      </c>
      <c r="U441" s="32">
        <f t="shared" si="165"/>
        <v>0</v>
      </c>
      <c r="V441" s="32">
        <f t="shared" si="166"/>
        <v>0</v>
      </c>
      <c r="W441" s="32">
        <f t="shared" si="167"/>
        <v>0</v>
      </c>
      <c r="X441" s="32">
        <f t="shared" si="168"/>
        <v>0</v>
      </c>
      <c r="Y441" s="32" t="str">
        <f t="shared" si="169"/>
        <v>1)</v>
      </c>
      <c r="Z441" s="32">
        <f t="shared" si="170"/>
        <v>0</v>
      </c>
    </row>
    <row r="442" spans="1:26" x14ac:dyDescent="0.25">
      <c r="A442" s="30" t="str">
        <f t="shared" si="153"/>
        <v>2</v>
      </c>
      <c r="B442" s="30" t="str">
        <f t="shared" si="154"/>
        <v>5</v>
      </c>
      <c r="C442" s="30">
        <f t="shared" si="155"/>
        <v>0</v>
      </c>
      <c r="D442" s="31">
        <f t="shared" si="156"/>
        <v>0</v>
      </c>
      <c r="E442" s="31">
        <f t="shared" si="157"/>
        <v>0</v>
      </c>
      <c r="F442" s="32">
        <f t="shared" si="158"/>
        <v>0</v>
      </c>
      <c r="G442" s="31">
        <f t="shared" si="159"/>
        <v>0</v>
      </c>
      <c r="H442" s="31">
        <f t="shared" si="160"/>
        <v>1</v>
      </c>
      <c r="I442" s="32">
        <f t="shared" si="161"/>
        <v>1</v>
      </c>
      <c r="N442" t="s">
        <v>221</v>
      </c>
      <c r="R442" s="32" t="str">
        <f t="shared" si="162"/>
        <v>2)Hex(5)Phospho(1)</v>
      </c>
      <c r="S442" s="32" t="str">
        <f t="shared" si="163"/>
        <v>5)Phospho(1)</v>
      </c>
      <c r="T442" s="32">
        <f t="shared" si="164"/>
        <v>0</v>
      </c>
      <c r="U442" s="32">
        <f t="shared" si="165"/>
        <v>0</v>
      </c>
      <c r="V442" s="32">
        <f t="shared" si="166"/>
        <v>0</v>
      </c>
      <c r="W442" s="32">
        <f t="shared" si="167"/>
        <v>0</v>
      </c>
      <c r="X442" s="32">
        <f t="shared" si="168"/>
        <v>0</v>
      </c>
      <c r="Y442" s="32" t="str">
        <f t="shared" si="169"/>
        <v>1)</v>
      </c>
      <c r="Z442" s="32">
        <f t="shared" si="170"/>
        <v>0</v>
      </c>
    </row>
    <row r="443" spans="1:26" x14ac:dyDescent="0.25">
      <c r="D443" s="31"/>
      <c r="E443" s="31"/>
      <c r="F443" s="32"/>
      <c r="G443" s="31"/>
      <c r="H443" s="31"/>
      <c r="I443" s="32"/>
      <c r="R443" s="32"/>
      <c r="S443" s="32"/>
      <c r="T443" s="32"/>
      <c r="U443" s="32"/>
      <c r="V443" s="32"/>
      <c r="W443" s="32"/>
      <c r="X443" s="32"/>
      <c r="Y443" s="32"/>
      <c r="Z443" s="32"/>
    </row>
    <row r="444" spans="1:26" x14ac:dyDescent="0.25">
      <c r="D444" s="31"/>
      <c r="E444" s="31"/>
      <c r="F444" s="32"/>
      <c r="G444" s="31"/>
      <c r="H444" s="31"/>
      <c r="I444" s="32"/>
      <c r="R444" s="32"/>
      <c r="S444" s="32"/>
      <c r="T444" s="32"/>
      <c r="U444" s="32"/>
      <c r="V444" s="32"/>
      <c r="W444" s="32"/>
      <c r="X444" s="32"/>
      <c r="Y444" s="32"/>
      <c r="Z444" s="32"/>
    </row>
    <row r="445" spans="1:26" x14ac:dyDescent="0.25">
      <c r="D445" s="31"/>
      <c r="E445" s="31"/>
      <c r="F445" s="32"/>
      <c r="G445" s="31"/>
      <c r="H445" s="31"/>
      <c r="I445" s="32"/>
      <c r="R445" s="32"/>
      <c r="S445" s="32"/>
      <c r="T445" s="32"/>
      <c r="U445" s="32"/>
      <c r="V445" s="32"/>
      <c r="W445" s="32"/>
      <c r="X445" s="32"/>
      <c r="Y445" s="32"/>
      <c r="Z445" s="32"/>
    </row>
    <row r="446" spans="1:26" x14ac:dyDescent="0.25">
      <c r="D446" s="31"/>
      <c r="E446" s="31"/>
      <c r="F446" s="32"/>
      <c r="G446" s="31"/>
      <c r="H446" s="31"/>
      <c r="I446" s="32"/>
      <c r="R446" s="32"/>
      <c r="S446" s="32"/>
      <c r="T446" s="32"/>
      <c r="U446" s="32"/>
      <c r="V446" s="32"/>
      <c r="W446" s="32"/>
      <c r="X446" s="32"/>
      <c r="Y446" s="32"/>
      <c r="Z446" s="32"/>
    </row>
    <row r="447" spans="1:26" x14ac:dyDescent="0.25">
      <c r="D447" s="31"/>
      <c r="E447" s="31"/>
      <c r="F447" s="32"/>
      <c r="G447" s="31"/>
      <c r="H447" s="31"/>
      <c r="I447" s="32"/>
      <c r="R447" s="32"/>
      <c r="S447" s="32"/>
      <c r="T447" s="32"/>
      <c r="U447" s="32"/>
      <c r="V447" s="32"/>
      <c r="W447" s="32"/>
      <c r="X447" s="32"/>
      <c r="Y447" s="32"/>
      <c r="Z447" s="32"/>
    </row>
    <row r="448" spans="1:26" x14ac:dyDescent="0.25">
      <c r="D448" s="31"/>
      <c r="E448" s="31"/>
      <c r="F448" s="32"/>
      <c r="G448" s="31"/>
      <c r="H448" s="31"/>
      <c r="I448" s="32"/>
      <c r="R448" s="32"/>
      <c r="S448" s="32"/>
      <c r="T448" s="32"/>
      <c r="U448" s="32"/>
      <c r="V448" s="32"/>
      <c r="W448" s="32"/>
      <c r="X448" s="32"/>
      <c r="Y448" s="32"/>
      <c r="Z448" s="32"/>
    </row>
    <row r="449" spans="4:26" x14ac:dyDescent="0.25">
      <c r="D449" s="31"/>
      <c r="E449" s="31"/>
      <c r="F449" s="32"/>
      <c r="G449" s="31"/>
      <c r="H449" s="31"/>
      <c r="I449" s="32"/>
      <c r="R449" s="32"/>
      <c r="S449" s="32"/>
      <c r="T449" s="32"/>
      <c r="U449" s="32"/>
      <c r="V449" s="32"/>
      <c r="W449" s="32"/>
      <c r="X449" s="32"/>
      <c r="Y449" s="32"/>
      <c r="Z449" s="32"/>
    </row>
    <row r="450" spans="4:26" x14ac:dyDescent="0.25">
      <c r="D450" s="31"/>
      <c r="E450" s="31"/>
      <c r="F450" s="32"/>
      <c r="G450" s="31"/>
      <c r="H450" s="31"/>
      <c r="I450" s="32"/>
      <c r="R450" s="32"/>
      <c r="S450" s="32"/>
      <c r="T450" s="32"/>
      <c r="U450" s="32"/>
      <c r="V450" s="32"/>
      <c r="W450" s="32"/>
      <c r="X450" s="32"/>
      <c r="Y450" s="32"/>
      <c r="Z450" s="32"/>
    </row>
    <row r="451" spans="4:26" x14ac:dyDescent="0.25">
      <c r="D451" s="31"/>
      <c r="E451" s="31"/>
      <c r="F451" s="32"/>
      <c r="G451" s="31"/>
      <c r="H451" s="31"/>
      <c r="I451" s="32"/>
      <c r="R451" s="32"/>
      <c r="S451" s="32"/>
      <c r="T451" s="32"/>
      <c r="U451" s="32"/>
      <c r="V451" s="32"/>
      <c r="W451" s="32"/>
      <c r="X451" s="32"/>
      <c r="Y451" s="32"/>
      <c r="Z451" s="32"/>
    </row>
    <row r="452" spans="4:26" x14ac:dyDescent="0.25">
      <c r="D452" s="31"/>
      <c r="E452" s="31"/>
      <c r="F452" s="32"/>
      <c r="G452" s="31"/>
      <c r="H452" s="31"/>
      <c r="I452" s="32"/>
      <c r="R452" s="32"/>
      <c r="S452" s="32"/>
      <c r="T452" s="32"/>
      <c r="U452" s="32"/>
      <c r="V452" s="32"/>
      <c r="W452" s="32"/>
      <c r="X452" s="32"/>
      <c r="Y452" s="32"/>
      <c r="Z452" s="32"/>
    </row>
    <row r="453" spans="4:26" x14ac:dyDescent="0.25">
      <c r="D453" s="31"/>
      <c r="E453" s="31"/>
      <c r="F453" s="32"/>
      <c r="G453" s="31"/>
      <c r="H453" s="31"/>
      <c r="I453" s="32"/>
      <c r="R453" s="32"/>
      <c r="S453" s="32"/>
      <c r="T453" s="32"/>
      <c r="U453" s="32"/>
      <c r="V453" s="32"/>
      <c r="W453" s="32"/>
      <c r="X453" s="32"/>
      <c r="Y453" s="32"/>
      <c r="Z453" s="32"/>
    </row>
    <row r="454" spans="4:26" x14ac:dyDescent="0.25">
      <c r="D454" s="31"/>
      <c r="E454" s="31"/>
      <c r="F454" s="32"/>
      <c r="G454" s="31"/>
      <c r="H454" s="31"/>
      <c r="I454" s="32"/>
      <c r="R454" s="32"/>
      <c r="S454" s="32"/>
      <c r="T454" s="32"/>
      <c r="U454" s="32"/>
      <c r="V454" s="32"/>
      <c r="W454" s="32"/>
      <c r="X454" s="32"/>
      <c r="Y454" s="32"/>
      <c r="Z454" s="32"/>
    </row>
    <row r="455" spans="4:26" x14ac:dyDescent="0.25">
      <c r="D455" s="31"/>
      <c r="E455" s="31"/>
      <c r="F455" s="32"/>
      <c r="G455" s="31"/>
      <c r="H455" s="31"/>
      <c r="I455" s="32"/>
      <c r="R455" s="32"/>
      <c r="S455" s="32"/>
      <c r="T455" s="32"/>
      <c r="U455" s="32"/>
      <c r="V455" s="32"/>
      <c r="W455" s="32"/>
      <c r="X455" s="32"/>
      <c r="Y455" s="32"/>
      <c r="Z455" s="32"/>
    </row>
    <row r="456" spans="4:26" x14ac:dyDescent="0.25">
      <c r="D456" s="31"/>
      <c r="E456" s="31"/>
      <c r="F456" s="32"/>
      <c r="G456" s="31"/>
      <c r="H456" s="31"/>
      <c r="I456" s="32"/>
      <c r="R456" s="32"/>
      <c r="S456" s="32"/>
      <c r="T456" s="32"/>
      <c r="U456" s="32"/>
      <c r="V456" s="32"/>
      <c r="W456" s="32"/>
      <c r="X456" s="32"/>
      <c r="Y456" s="32"/>
      <c r="Z456" s="32"/>
    </row>
    <row r="457" spans="4:26" x14ac:dyDescent="0.25">
      <c r="D457" s="31"/>
      <c r="E457" s="31"/>
      <c r="F457" s="32"/>
      <c r="G457" s="31"/>
      <c r="H457" s="31"/>
      <c r="I457" s="32"/>
      <c r="R457" s="32"/>
      <c r="S457" s="32"/>
      <c r="T457" s="32"/>
      <c r="U457" s="32"/>
      <c r="V457" s="32"/>
      <c r="W457" s="32"/>
      <c r="X457" s="32"/>
      <c r="Y457" s="32"/>
      <c r="Z457" s="32"/>
    </row>
    <row r="458" spans="4:26" x14ac:dyDescent="0.25">
      <c r="D458" s="31"/>
      <c r="E458" s="31"/>
      <c r="F458" s="32"/>
      <c r="G458" s="31"/>
      <c r="H458" s="31"/>
      <c r="I458" s="32"/>
      <c r="R458" s="32"/>
      <c r="S458" s="32"/>
      <c r="T458" s="32"/>
      <c r="U458" s="32"/>
      <c r="V458" s="32"/>
      <c r="W458" s="32"/>
      <c r="X458" s="32"/>
      <c r="Y458" s="32"/>
      <c r="Z458" s="32"/>
    </row>
    <row r="459" spans="4:26" x14ac:dyDescent="0.25">
      <c r="D459" s="31"/>
      <c r="E459" s="31"/>
      <c r="F459" s="32"/>
      <c r="G459" s="31"/>
      <c r="H459" s="31"/>
      <c r="I459" s="32"/>
      <c r="R459" s="32"/>
      <c r="S459" s="32"/>
      <c r="T459" s="32"/>
      <c r="U459" s="32"/>
      <c r="V459" s="32"/>
      <c r="W459" s="32"/>
      <c r="X459" s="32"/>
      <c r="Y459" s="32"/>
      <c r="Z459" s="32"/>
    </row>
    <row r="460" spans="4:26" x14ac:dyDescent="0.25">
      <c r="D460" s="31"/>
      <c r="E460" s="31"/>
      <c r="F460" s="32"/>
      <c r="G460" s="31"/>
      <c r="H460" s="31"/>
      <c r="I460" s="32"/>
      <c r="R460" s="32"/>
      <c r="S460" s="32"/>
      <c r="T460" s="32"/>
      <c r="U460" s="32"/>
      <c r="V460" s="32"/>
      <c r="W460" s="32"/>
      <c r="X460" s="32"/>
      <c r="Y460" s="32"/>
      <c r="Z460" s="32"/>
    </row>
    <row r="461" spans="4:26" x14ac:dyDescent="0.25">
      <c r="D461" s="31"/>
      <c r="E461" s="31"/>
      <c r="F461" s="32"/>
      <c r="G461" s="31"/>
      <c r="H461" s="31"/>
      <c r="I461" s="32"/>
      <c r="R461" s="32"/>
      <c r="S461" s="32"/>
      <c r="T461" s="32"/>
      <c r="U461" s="32"/>
      <c r="V461" s="32"/>
      <c r="W461" s="32"/>
      <c r="X461" s="32"/>
      <c r="Y461" s="32"/>
      <c r="Z461" s="32"/>
    </row>
    <row r="462" spans="4:26" x14ac:dyDescent="0.25">
      <c r="D462" s="31"/>
      <c r="E462" s="31"/>
      <c r="F462" s="32"/>
      <c r="G462" s="31"/>
      <c r="H462" s="31"/>
      <c r="I462" s="32"/>
      <c r="R462" s="32"/>
      <c r="S462" s="32"/>
      <c r="T462" s="32"/>
      <c r="U462" s="32"/>
      <c r="V462" s="32"/>
      <c r="W462" s="32"/>
      <c r="X462" s="32"/>
      <c r="Y462" s="32"/>
      <c r="Z462" s="32"/>
    </row>
    <row r="463" spans="4:26" x14ac:dyDescent="0.25">
      <c r="D463" s="31"/>
      <c r="E463" s="31"/>
      <c r="F463" s="32"/>
      <c r="G463" s="31"/>
      <c r="H463" s="31"/>
      <c r="I463" s="32"/>
      <c r="R463" s="32"/>
      <c r="S463" s="32"/>
      <c r="T463" s="32"/>
      <c r="U463" s="32"/>
      <c r="V463" s="32"/>
      <c r="W463" s="32"/>
      <c r="X463" s="32"/>
      <c r="Y463" s="32"/>
      <c r="Z463" s="32"/>
    </row>
    <row r="464" spans="4:26" x14ac:dyDescent="0.25">
      <c r="D464" s="31"/>
      <c r="E464" s="31"/>
      <c r="F464" s="32"/>
      <c r="G464" s="31"/>
      <c r="H464" s="31"/>
      <c r="I464" s="32"/>
      <c r="R464" s="32"/>
      <c r="S464" s="32"/>
      <c r="T464" s="32"/>
      <c r="U464" s="32"/>
      <c r="V464" s="32"/>
      <c r="W464" s="32"/>
      <c r="X464" s="32"/>
      <c r="Y464" s="32"/>
      <c r="Z464" s="32"/>
    </row>
    <row r="465" spans="4:26" x14ac:dyDescent="0.25">
      <c r="D465" s="31"/>
      <c r="E465" s="31"/>
      <c r="F465" s="32"/>
      <c r="G465" s="31"/>
      <c r="H465" s="31"/>
      <c r="I465" s="32"/>
      <c r="R465" s="32"/>
      <c r="S465" s="32"/>
      <c r="T465" s="32"/>
      <c r="U465" s="32"/>
      <c r="V465" s="32"/>
      <c r="W465" s="32"/>
      <c r="X465" s="32"/>
      <c r="Y465" s="32"/>
      <c r="Z465" s="32"/>
    </row>
    <row r="466" spans="4:26" x14ac:dyDescent="0.25">
      <c r="D466" s="31"/>
      <c r="E466" s="31"/>
      <c r="F466" s="32"/>
      <c r="G466" s="31"/>
      <c r="H466" s="31"/>
      <c r="I466" s="32"/>
      <c r="R466" s="32"/>
      <c r="S466" s="32"/>
      <c r="T466" s="32"/>
      <c r="U466" s="32"/>
      <c r="V466" s="32"/>
      <c r="W466" s="32"/>
      <c r="X466" s="32"/>
      <c r="Y466" s="32"/>
      <c r="Z466" s="32"/>
    </row>
    <row r="467" spans="4:26" x14ac:dyDescent="0.25">
      <c r="D467" s="31"/>
      <c r="E467" s="31"/>
      <c r="F467" s="32"/>
      <c r="G467" s="31"/>
      <c r="H467" s="31"/>
      <c r="I467" s="32"/>
      <c r="R467" s="32"/>
      <c r="S467" s="32"/>
      <c r="T467" s="32"/>
      <c r="U467" s="32"/>
      <c r="V467" s="32"/>
      <c r="W467" s="32"/>
      <c r="X467" s="32"/>
      <c r="Y467" s="32"/>
      <c r="Z467" s="32"/>
    </row>
    <row r="468" spans="4:26" x14ac:dyDescent="0.25">
      <c r="D468" s="31"/>
      <c r="E468" s="31"/>
      <c r="F468" s="32"/>
      <c r="G468" s="31"/>
      <c r="H468" s="31"/>
      <c r="I468" s="32"/>
      <c r="R468" s="32"/>
      <c r="S468" s="32"/>
      <c r="T468" s="32"/>
      <c r="U468" s="32"/>
      <c r="V468" s="32"/>
      <c r="W468" s="32"/>
      <c r="X468" s="32"/>
      <c r="Y468" s="32"/>
      <c r="Z468" s="32"/>
    </row>
    <row r="469" spans="4:26" x14ac:dyDescent="0.25">
      <c r="D469" s="31"/>
      <c r="E469" s="31"/>
      <c r="F469" s="32"/>
      <c r="G469" s="31"/>
      <c r="H469" s="31"/>
      <c r="I469" s="32"/>
      <c r="R469" s="32"/>
      <c r="S469" s="32"/>
      <c r="T469" s="32"/>
      <c r="U469" s="32"/>
      <c r="V469" s="32"/>
      <c r="W469" s="32"/>
      <c r="X469" s="32"/>
      <c r="Y469" s="32"/>
      <c r="Z469" s="32"/>
    </row>
    <row r="470" spans="4:26" x14ac:dyDescent="0.25">
      <c r="D470" s="31"/>
      <c r="E470" s="31"/>
      <c r="F470" s="32"/>
      <c r="G470" s="31"/>
      <c r="H470" s="31"/>
      <c r="I470" s="32"/>
      <c r="R470" s="32"/>
      <c r="S470" s="32"/>
      <c r="T470" s="32"/>
      <c r="U470" s="32"/>
      <c r="V470" s="32"/>
      <c r="W470" s="32"/>
      <c r="X470" s="32"/>
      <c r="Y470" s="32"/>
      <c r="Z470" s="32"/>
    </row>
    <row r="471" spans="4:26" x14ac:dyDescent="0.25">
      <c r="D471" s="31"/>
      <c r="E471" s="31"/>
      <c r="F471" s="32"/>
      <c r="G471" s="31"/>
      <c r="H471" s="31"/>
      <c r="I471" s="32"/>
      <c r="R471" s="32"/>
      <c r="S471" s="32"/>
      <c r="T471" s="32"/>
      <c r="U471" s="32"/>
      <c r="V471" s="32"/>
      <c r="W471" s="32"/>
      <c r="X471" s="32"/>
      <c r="Y471" s="32"/>
      <c r="Z471" s="32"/>
    </row>
    <row r="472" spans="4:26" x14ac:dyDescent="0.25">
      <c r="D472" s="31"/>
      <c r="E472" s="31"/>
      <c r="F472" s="32"/>
      <c r="G472" s="31"/>
      <c r="H472" s="31"/>
      <c r="I472" s="32"/>
      <c r="R472" s="32"/>
      <c r="S472" s="32"/>
      <c r="T472" s="32"/>
      <c r="U472" s="32"/>
      <c r="V472" s="32"/>
      <c r="W472" s="32"/>
      <c r="X472" s="32"/>
      <c r="Y472" s="32"/>
      <c r="Z472" s="32"/>
    </row>
    <row r="473" spans="4:26" x14ac:dyDescent="0.25">
      <c r="D473" s="31"/>
      <c r="E473" s="31"/>
      <c r="F473" s="32"/>
      <c r="G473" s="31"/>
      <c r="H473" s="31"/>
      <c r="I473" s="32"/>
      <c r="R473" s="32"/>
      <c r="S473" s="32"/>
      <c r="T473" s="32"/>
      <c r="U473" s="32"/>
      <c r="V473" s="32"/>
      <c r="W473" s="32"/>
      <c r="X473" s="32"/>
      <c r="Y473" s="32"/>
      <c r="Z473" s="32"/>
    </row>
    <row r="474" spans="4:26" x14ac:dyDescent="0.25">
      <c r="D474" s="31"/>
      <c r="E474" s="31"/>
      <c r="F474" s="32"/>
      <c r="G474" s="31"/>
      <c r="H474" s="31"/>
      <c r="I474" s="32"/>
      <c r="R474" s="32"/>
      <c r="S474" s="32"/>
      <c r="T474" s="32"/>
      <c r="U474" s="32"/>
      <c r="V474" s="32"/>
      <c r="W474" s="32"/>
      <c r="X474" s="32"/>
      <c r="Y474" s="32"/>
      <c r="Z474" s="32"/>
    </row>
    <row r="475" spans="4:26" x14ac:dyDescent="0.25">
      <c r="D475" s="31"/>
      <c r="E475" s="31"/>
      <c r="F475" s="32"/>
      <c r="G475" s="31"/>
      <c r="H475" s="31"/>
      <c r="I475" s="32"/>
      <c r="R475" s="32"/>
      <c r="S475" s="32"/>
      <c r="T475" s="32"/>
      <c r="U475" s="32"/>
      <c r="V475" s="32"/>
      <c r="W475" s="32"/>
      <c r="X475" s="32"/>
      <c r="Y475" s="32"/>
      <c r="Z475" s="32"/>
    </row>
    <row r="476" spans="4:26" x14ac:dyDescent="0.25">
      <c r="D476" s="31"/>
      <c r="E476" s="31"/>
      <c r="F476" s="32"/>
      <c r="G476" s="31"/>
      <c r="H476" s="31"/>
      <c r="I476" s="32"/>
      <c r="R476" s="32"/>
      <c r="S476" s="32"/>
      <c r="T476" s="32"/>
      <c r="U476" s="32"/>
      <c r="V476" s="32"/>
      <c r="W476" s="32"/>
      <c r="X476" s="32"/>
      <c r="Y476" s="32"/>
      <c r="Z476" s="32"/>
    </row>
    <row r="477" spans="4:26" x14ac:dyDescent="0.25">
      <c r="D477" s="31"/>
      <c r="E477" s="31"/>
      <c r="F477" s="32"/>
      <c r="G477" s="31"/>
      <c r="H477" s="31"/>
      <c r="I477" s="32"/>
      <c r="R477" s="32"/>
      <c r="S477" s="32"/>
      <c r="T477" s="32"/>
      <c r="U477" s="32"/>
      <c r="V477" s="32"/>
      <c r="W477" s="32"/>
      <c r="X477" s="32"/>
      <c r="Y477" s="32"/>
      <c r="Z477" s="32"/>
    </row>
    <row r="478" spans="4:26" x14ac:dyDescent="0.25">
      <c r="D478" s="31"/>
      <c r="E478" s="31"/>
      <c r="F478" s="32"/>
      <c r="G478" s="31"/>
      <c r="H478" s="31"/>
      <c r="I478" s="32"/>
      <c r="R478" s="32"/>
      <c r="S478" s="32"/>
      <c r="T478" s="32"/>
      <c r="U478" s="32"/>
      <c r="V478" s="32"/>
      <c r="W478" s="32"/>
      <c r="X478" s="32"/>
      <c r="Y478" s="32"/>
      <c r="Z478" s="32"/>
    </row>
    <row r="479" spans="4:26" x14ac:dyDescent="0.25">
      <c r="D479" s="31"/>
      <c r="E479" s="31"/>
      <c r="F479" s="32"/>
      <c r="G479" s="31"/>
      <c r="H479" s="31"/>
      <c r="I479" s="32"/>
      <c r="R479" s="32"/>
      <c r="S479" s="32"/>
      <c r="T479" s="32"/>
      <c r="U479" s="32"/>
      <c r="V479" s="32"/>
      <c r="W479" s="32"/>
      <c r="X479" s="32"/>
      <c r="Y479" s="32"/>
      <c r="Z479" s="32"/>
    </row>
    <row r="480" spans="4:26" x14ac:dyDescent="0.25">
      <c r="D480" s="31"/>
      <c r="E480" s="31"/>
      <c r="F480" s="32"/>
      <c r="G480" s="31"/>
      <c r="H480" s="31"/>
      <c r="I480" s="32"/>
      <c r="R480" s="32"/>
      <c r="S480" s="32"/>
      <c r="T480" s="32"/>
      <c r="U480" s="32"/>
      <c r="V480" s="32"/>
      <c r="W480" s="32"/>
      <c r="X480" s="32"/>
      <c r="Y480" s="32"/>
      <c r="Z480" s="32"/>
    </row>
    <row r="481" spans="4:26" x14ac:dyDescent="0.25">
      <c r="D481" s="31"/>
      <c r="E481" s="31"/>
      <c r="F481" s="32"/>
      <c r="G481" s="31"/>
      <c r="H481" s="31"/>
      <c r="I481" s="32"/>
      <c r="R481" s="32"/>
      <c r="S481" s="32"/>
      <c r="T481" s="32"/>
      <c r="U481" s="32"/>
      <c r="V481" s="32"/>
      <c r="W481" s="32"/>
      <c r="X481" s="32"/>
      <c r="Y481" s="32"/>
      <c r="Z481" s="32"/>
    </row>
    <row r="482" spans="4:26" x14ac:dyDescent="0.25">
      <c r="D482" s="31"/>
      <c r="E482" s="31"/>
      <c r="F482" s="32"/>
      <c r="G482" s="31"/>
      <c r="H482" s="31"/>
      <c r="I482" s="32"/>
      <c r="R482" s="32"/>
      <c r="S482" s="32"/>
      <c r="T482" s="32"/>
      <c r="U482" s="32"/>
      <c r="V482" s="32"/>
      <c r="W482" s="32"/>
      <c r="X482" s="32"/>
      <c r="Y482" s="32"/>
      <c r="Z482" s="32"/>
    </row>
    <row r="483" spans="4:26" x14ac:dyDescent="0.25">
      <c r="D483" s="31"/>
      <c r="E483" s="31"/>
      <c r="F483" s="32"/>
      <c r="G483" s="31"/>
      <c r="H483" s="31"/>
      <c r="I483" s="32"/>
      <c r="R483" s="32"/>
      <c r="S483" s="32"/>
      <c r="T483" s="32"/>
      <c r="U483" s="32"/>
      <c r="V483" s="32"/>
      <c r="W483" s="32"/>
      <c r="X483" s="32"/>
      <c r="Y483" s="32"/>
      <c r="Z483" s="32"/>
    </row>
    <row r="484" spans="4:26" x14ac:dyDescent="0.25">
      <c r="D484" s="31"/>
      <c r="E484" s="31"/>
      <c r="F484" s="32"/>
      <c r="G484" s="31"/>
      <c r="H484" s="31"/>
      <c r="I484" s="32"/>
      <c r="R484" s="32"/>
      <c r="S484" s="32"/>
      <c r="T484" s="32"/>
      <c r="U484" s="32"/>
      <c r="V484" s="32"/>
      <c r="W484" s="32"/>
      <c r="X484" s="32"/>
      <c r="Y484" s="32"/>
      <c r="Z484" s="32"/>
    </row>
    <row r="485" spans="4:26" x14ac:dyDescent="0.25">
      <c r="D485" s="31"/>
      <c r="E485" s="31"/>
      <c r="F485" s="32"/>
      <c r="G485" s="31"/>
      <c r="H485" s="31"/>
      <c r="I485" s="32"/>
      <c r="R485" s="32"/>
      <c r="S485" s="32"/>
      <c r="T485" s="32"/>
      <c r="U485" s="32"/>
      <c r="V485" s="32"/>
      <c r="W485" s="32"/>
      <c r="X485" s="32"/>
      <c r="Y485" s="32"/>
      <c r="Z485" s="32"/>
    </row>
    <row r="486" spans="4:26" x14ac:dyDescent="0.25">
      <c r="D486" s="31"/>
      <c r="E486" s="31"/>
      <c r="F486" s="32"/>
      <c r="G486" s="31"/>
      <c r="H486" s="31"/>
      <c r="I486" s="32"/>
      <c r="R486" s="32"/>
      <c r="S486" s="32"/>
      <c r="T486" s="32"/>
      <c r="U486" s="32"/>
      <c r="V486" s="32"/>
      <c r="W486" s="32"/>
      <c r="X486" s="32"/>
      <c r="Y486" s="32"/>
      <c r="Z486" s="32"/>
    </row>
    <row r="487" spans="4:26" x14ac:dyDescent="0.25">
      <c r="D487" s="31"/>
      <c r="E487" s="31"/>
      <c r="F487" s="32"/>
      <c r="G487" s="31"/>
      <c r="H487" s="31"/>
      <c r="I487" s="32"/>
      <c r="R487" s="32"/>
      <c r="S487" s="32"/>
      <c r="T487" s="32"/>
      <c r="U487" s="32"/>
      <c r="V487" s="32"/>
      <c r="W487" s="32"/>
      <c r="X487" s="32"/>
      <c r="Y487" s="32"/>
      <c r="Z487" s="32"/>
    </row>
    <row r="488" spans="4:26" x14ac:dyDescent="0.25">
      <c r="D488" s="31"/>
      <c r="E488" s="31"/>
      <c r="F488" s="32"/>
      <c r="G488" s="31"/>
      <c r="H488" s="31"/>
      <c r="I488" s="32"/>
      <c r="R488" s="32"/>
      <c r="S488" s="32"/>
      <c r="T488" s="32"/>
      <c r="U488" s="32"/>
      <c r="V488" s="32"/>
      <c r="W488" s="32"/>
      <c r="X488" s="32"/>
      <c r="Y488" s="32"/>
      <c r="Z488" s="32"/>
    </row>
    <row r="489" spans="4:26" x14ac:dyDescent="0.25">
      <c r="D489" s="31"/>
      <c r="E489" s="31"/>
      <c r="F489" s="32"/>
      <c r="G489" s="31"/>
      <c r="H489" s="31"/>
      <c r="I489" s="32"/>
      <c r="R489" s="32"/>
      <c r="S489" s="32"/>
      <c r="T489" s="32"/>
      <c r="U489" s="32"/>
      <c r="V489" s="32"/>
      <c r="W489" s="32"/>
      <c r="X489" s="32"/>
      <c r="Y489" s="32"/>
      <c r="Z489" s="32"/>
    </row>
    <row r="490" spans="4:26" x14ac:dyDescent="0.25">
      <c r="D490" s="31"/>
      <c r="E490" s="31"/>
      <c r="F490" s="32"/>
      <c r="G490" s="31"/>
      <c r="H490" s="31"/>
      <c r="I490" s="32"/>
      <c r="R490" s="32"/>
      <c r="S490" s="32"/>
      <c r="T490" s="32"/>
      <c r="U490" s="32"/>
      <c r="V490" s="32"/>
      <c r="W490" s="32"/>
      <c r="X490" s="32"/>
      <c r="Y490" s="32"/>
      <c r="Z490" s="32"/>
    </row>
    <row r="491" spans="4:26" x14ac:dyDescent="0.25">
      <c r="D491" s="31"/>
      <c r="E491" s="31"/>
      <c r="F491" s="32"/>
      <c r="G491" s="31"/>
      <c r="H491" s="31"/>
      <c r="I491" s="32"/>
      <c r="R491" s="32"/>
      <c r="S491" s="32"/>
      <c r="T491" s="32"/>
      <c r="U491" s="32"/>
      <c r="V491" s="32"/>
      <c r="W491" s="32"/>
      <c r="X491" s="32"/>
      <c r="Y491" s="32"/>
      <c r="Z491" s="32"/>
    </row>
    <row r="492" spans="4:26" x14ac:dyDescent="0.25">
      <c r="D492" s="31"/>
      <c r="E492" s="31"/>
      <c r="F492" s="32"/>
      <c r="G492" s="31"/>
      <c r="H492" s="31"/>
      <c r="I492" s="32"/>
      <c r="R492" s="32"/>
      <c r="S492" s="32"/>
      <c r="T492" s="32"/>
      <c r="U492" s="32"/>
      <c r="V492" s="32"/>
      <c r="W492" s="32"/>
      <c r="X492" s="32"/>
      <c r="Y492" s="32"/>
      <c r="Z492" s="32"/>
    </row>
    <row r="493" spans="4:26" x14ac:dyDescent="0.25">
      <c r="D493" s="31"/>
      <c r="E493" s="31"/>
      <c r="F493" s="32"/>
      <c r="G493" s="31"/>
      <c r="H493" s="31"/>
      <c r="I493" s="32"/>
      <c r="R493" s="32"/>
      <c r="S493" s="32"/>
      <c r="T493" s="32"/>
      <c r="U493" s="32"/>
      <c r="V493" s="32"/>
      <c r="W493" s="32"/>
      <c r="X493" s="32"/>
      <c r="Y493" s="32"/>
      <c r="Z493" s="32"/>
    </row>
    <row r="494" spans="4:26" x14ac:dyDescent="0.25">
      <c r="D494" s="31"/>
      <c r="E494" s="31"/>
      <c r="F494" s="32"/>
      <c r="G494" s="31"/>
      <c r="H494" s="31"/>
      <c r="I494" s="32"/>
      <c r="R494" s="32"/>
      <c r="S494" s="32"/>
      <c r="T494" s="32"/>
      <c r="U494" s="32"/>
      <c r="V494" s="32"/>
      <c r="W494" s="32"/>
      <c r="X494" s="32"/>
      <c r="Y494" s="32"/>
      <c r="Z494" s="32"/>
    </row>
    <row r="495" spans="4:26" x14ac:dyDescent="0.25">
      <c r="D495" s="31"/>
      <c r="E495" s="31"/>
      <c r="F495" s="32"/>
      <c r="G495" s="31"/>
      <c r="H495" s="31"/>
      <c r="I495" s="32"/>
      <c r="R495" s="32"/>
      <c r="S495" s="32"/>
      <c r="T495" s="32"/>
      <c r="U495" s="32"/>
      <c r="V495" s="32"/>
      <c r="W495" s="32"/>
      <c r="X495" s="32"/>
      <c r="Y495" s="32"/>
      <c r="Z495" s="32"/>
    </row>
    <row r="496" spans="4:26" x14ac:dyDescent="0.25">
      <c r="D496" s="31"/>
      <c r="E496" s="31"/>
      <c r="F496" s="32"/>
      <c r="G496" s="31"/>
      <c r="H496" s="31"/>
      <c r="I496" s="32"/>
      <c r="R496" s="32"/>
      <c r="S496" s="32"/>
      <c r="T496" s="32"/>
      <c r="U496" s="32"/>
      <c r="V496" s="32"/>
      <c r="W496" s="32"/>
      <c r="X496" s="32"/>
      <c r="Y496" s="32"/>
      <c r="Z496" s="32"/>
    </row>
    <row r="497" spans="4:26" x14ac:dyDescent="0.25">
      <c r="D497" s="31"/>
      <c r="E497" s="31"/>
      <c r="F497" s="32"/>
      <c r="G497" s="31"/>
      <c r="H497" s="31"/>
      <c r="I497" s="32"/>
      <c r="R497" s="32"/>
      <c r="S497" s="32"/>
      <c r="T497" s="32"/>
      <c r="U497" s="32"/>
      <c r="V497" s="32"/>
      <c r="W497" s="32"/>
      <c r="X497" s="32"/>
      <c r="Y497" s="32"/>
      <c r="Z497" s="32"/>
    </row>
    <row r="498" spans="4:26" x14ac:dyDescent="0.25">
      <c r="D498" s="31"/>
      <c r="E498" s="31"/>
      <c r="F498" s="32"/>
      <c r="G498" s="31"/>
      <c r="H498" s="31"/>
      <c r="I498" s="32"/>
      <c r="R498" s="32"/>
      <c r="S498" s="32"/>
      <c r="T498" s="32"/>
      <c r="U498" s="32"/>
      <c r="V498" s="32"/>
      <c r="W498" s="32"/>
      <c r="X498" s="32"/>
      <c r="Y498" s="32"/>
      <c r="Z498" s="32"/>
    </row>
    <row r="499" spans="4:26" x14ac:dyDescent="0.25">
      <c r="D499" s="31"/>
      <c r="E499" s="31"/>
      <c r="F499" s="32"/>
      <c r="G499" s="31"/>
      <c r="H499" s="31"/>
      <c r="I499" s="32"/>
      <c r="R499" s="32"/>
      <c r="S499" s="32"/>
      <c r="T499" s="32"/>
      <c r="U499" s="32"/>
      <c r="V499" s="32"/>
      <c r="W499" s="32"/>
      <c r="X499" s="32"/>
      <c r="Y499" s="32"/>
      <c r="Z499" s="32"/>
    </row>
    <row r="500" spans="4:26" x14ac:dyDescent="0.25">
      <c r="D500" s="31"/>
      <c r="E500" s="31"/>
      <c r="F500" s="32"/>
      <c r="G500" s="31"/>
      <c r="H500" s="31"/>
      <c r="I500" s="32"/>
      <c r="R500" s="32"/>
      <c r="S500" s="32"/>
      <c r="T500" s="32"/>
      <c r="U500" s="32"/>
      <c r="V500" s="32"/>
      <c r="W500" s="32"/>
      <c r="X500" s="32"/>
      <c r="Y500" s="32"/>
      <c r="Z500" s="32"/>
    </row>
    <row r="501" spans="4:26" x14ac:dyDescent="0.25">
      <c r="D501" s="31"/>
      <c r="E501" s="31"/>
      <c r="F501" s="32"/>
      <c r="G501" s="31"/>
      <c r="H501" s="31"/>
      <c r="I501" s="32"/>
      <c r="R501" s="32"/>
      <c r="S501" s="32"/>
      <c r="T501" s="32"/>
      <c r="U501" s="32"/>
      <c r="V501" s="32"/>
      <c r="W501" s="32"/>
      <c r="X501" s="32"/>
      <c r="Y501" s="32"/>
      <c r="Z501" s="32"/>
    </row>
    <row r="502" spans="4:26" x14ac:dyDescent="0.25">
      <c r="D502" s="31"/>
      <c r="E502" s="31"/>
      <c r="F502" s="32"/>
      <c r="G502" s="31"/>
      <c r="H502" s="31"/>
      <c r="I502" s="32"/>
      <c r="R502" s="32"/>
      <c r="S502" s="32"/>
      <c r="T502" s="32"/>
      <c r="U502" s="32"/>
      <c r="V502" s="32"/>
      <c r="W502" s="32"/>
      <c r="X502" s="32"/>
      <c r="Y502" s="32"/>
      <c r="Z502" s="32"/>
    </row>
    <row r="503" spans="4:26" x14ac:dyDescent="0.25">
      <c r="D503" s="31"/>
      <c r="E503" s="31"/>
      <c r="F503" s="32"/>
      <c r="G503" s="31"/>
      <c r="H503" s="31"/>
      <c r="I503" s="32"/>
      <c r="R503" s="32"/>
      <c r="S503" s="32"/>
      <c r="T503" s="32"/>
      <c r="U503" s="32"/>
      <c r="V503" s="32"/>
      <c r="W503" s="32"/>
      <c r="X503" s="32"/>
      <c r="Y503" s="32"/>
      <c r="Z503" s="32"/>
    </row>
    <row r="504" spans="4:26" x14ac:dyDescent="0.25">
      <c r="D504" s="31"/>
      <c r="E504" s="31"/>
      <c r="F504" s="32"/>
      <c r="G504" s="31"/>
      <c r="H504" s="31"/>
      <c r="I504" s="32"/>
      <c r="R504" s="32"/>
      <c r="S504" s="32"/>
      <c r="T504" s="32"/>
      <c r="U504" s="32"/>
      <c r="V504" s="32"/>
      <c r="W504" s="32"/>
      <c r="X504" s="32"/>
      <c r="Y504" s="32"/>
      <c r="Z504" s="32"/>
    </row>
    <row r="505" spans="4:26" x14ac:dyDescent="0.25">
      <c r="D505" s="31"/>
      <c r="E505" s="31"/>
      <c r="F505" s="32"/>
      <c r="G505" s="31"/>
      <c r="H505" s="31"/>
      <c r="I505" s="32"/>
      <c r="R505" s="32"/>
      <c r="S505" s="32"/>
      <c r="T505" s="32"/>
      <c r="U505" s="32"/>
      <c r="V505" s="32"/>
      <c r="W505" s="32"/>
      <c r="X505" s="32"/>
      <c r="Y505" s="32"/>
      <c r="Z505" s="32"/>
    </row>
    <row r="506" spans="4:26" x14ac:dyDescent="0.25">
      <c r="D506" s="31"/>
      <c r="E506" s="31"/>
      <c r="F506" s="32"/>
      <c r="G506" s="31"/>
      <c r="H506" s="31"/>
      <c r="I506" s="32"/>
      <c r="R506" s="32"/>
      <c r="S506" s="32"/>
      <c r="T506" s="32"/>
      <c r="U506" s="32"/>
      <c r="V506" s="32"/>
      <c r="W506" s="32"/>
      <c r="X506" s="32"/>
      <c r="Y506" s="32"/>
      <c r="Z506" s="32"/>
    </row>
    <row r="507" spans="4:26" x14ac:dyDescent="0.25">
      <c r="D507" s="31"/>
      <c r="E507" s="31"/>
      <c r="F507" s="32"/>
      <c r="G507" s="31"/>
      <c r="H507" s="31"/>
      <c r="I507" s="32"/>
      <c r="R507" s="32"/>
      <c r="S507" s="32"/>
      <c r="T507" s="32"/>
      <c r="U507" s="32"/>
      <c r="V507" s="32"/>
      <c r="W507" s="32"/>
      <c r="X507" s="32"/>
      <c r="Y507" s="32"/>
      <c r="Z507" s="32"/>
    </row>
    <row r="508" spans="4:26" x14ac:dyDescent="0.25">
      <c r="D508" s="31"/>
      <c r="E508" s="31"/>
      <c r="F508" s="32"/>
      <c r="G508" s="31"/>
      <c r="H508" s="31"/>
      <c r="I508" s="32"/>
      <c r="R508" s="32"/>
      <c r="S508" s="32"/>
      <c r="T508" s="32"/>
      <c r="U508" s="32"/>
      <c r="V508" s="32"/>
      <c r="W508" s="32"/>
      <c r="X508" s="32"/>
      <c r="Y508" s="32"/>
      <c r="Z508" s="32"/>
    </row>
    <row r="509" spans="4:26" x14ac:dyDescent="0.25">
      <c r="D509" s="31"/>
      <c r="E509" s="31"/>
      <c r="F509" s="32"/>
      <c r="G509" s="31"/>
      <c r="H509" s="31"/>
      <c r="I509" s="32"/>
      <c r="R509" s="32"/>
      <c r="S509" s="32"/>
      <c r="T509" s="32"/>
      <c r="U509" s="32"/>
      <c r="V509" s="32"/>
      <c r="W509" s="32"/>
      <c r="X509" s="32"/>
      <c r="Y509" s="32"/>
      <c r="Z509" s="32"/>
    </row>
    <row r="510" spans="4:26" x14ac:dyDescent="0.25">
      <c r="D510" s="31"/>
      <c r="E510" s="31"/>
      <c r="F510" s="32"/>
      <c r="G510" s="31"/>
      <c r="H510" s="31"/>
      <c r="I510" s="32"/>
      <c r="R510" s="32"/>
      <c r="S510" s="32"/>
      <c r="T510" s="32"/>
      <c r="U510" s="32"/>
      <c r="V510" s="32"/>
      <c r="W510" s="32"/>
      <c r="X510" s="32"/>
      <c r="Y510" s="32"/>
      <c r="Z510" s="32"/>
    </row>
    <row r="511" spans="4:26" x14ac:dyDescent="0.25">
      <c r="D511" s="31"/>
      <c r="E511" s="31"/>
      <c r="F511" s="32"/>
      <c r="G511" s="31"/>
      <c r="H511" s="31"/>
      <c r="I511" s="32"/>
      <c r="R511" s="32"/>
      <c r="S511" s="32"/>
      <c r="T511" s="32"/>
      <c r="U511" s="32"/>
      <c r="V511" s="32"/>
      <c r="W511" s="32"/>
      <c r="X511" s="32"/>
      <c r="Y511" s="32"/>
      <c r="Z511" s="32"/>
    </row>
    <row r="512" spans="4:26" x14ac:dyDescent="0.25">
      <c r="D512" s="31"/>
      <c r="E512" s="31"/>
      <c r="F512" s="32"/>
      <c r="G512" s="31"/>
      <c r="H512" s="31"/>
      <c r="I512" s="32"/>
      <c r="R512" s="32"/>
      <c r="S512" s="32"/>
      <c r="T512" s="32"/>
      <c r="U512" s="32"/>
      <c r="V512" s="32"/>
      <c r="W512" s="32"/>
      <c r="X512" s="32"/>
      <c r="Y512" s="32"/>
      <c r="Z512" s="32"/>
    </row>
    <row r="513" spans="4:26" x14ac:dyDescent="0.25">
      <c r="D513" s="31"/>
      <c r="E513" s="31"/>
      <c r="F513" s="32"/>
      <c r="G513" s="31"/>
      <c r="H513" s="31"/>
      <c r="I513" s="32"/>
      <c r="R513" s="32"/>
      <c r="S513" s="32"/>
      <c r="T513" s="32"/>
      <c r="U513" s="32"/>
      <c r="V513" s="32"/>
      <c r="W513" s="32"/>
      <c r="X513" s="32"/>
      <c r="Y513" s="32"/>
      <c r="Z513" s="32"/>
    </row>
    <row r="514" spans="4:26" x14ac:dyDescent="0.25">
      <c r="D514" s="31"/>
      <c r="E514" s="31"/>
      <c r="F514" s="32"/>
      <c r="G514" s="31"/>
      <c r="H514" s="31"/>
      <c r="I514" s="32"/>
      <c r="R514" s="32"/>
      <c r="S514" s="32"/>
      <c r="T514" s="32"/>
      <c r="U514" s="32"/>
      <c r="V514" s="32"/>
      <c r="W514" s="32"/>
      <c r="X514" s="32"/>
      <c r="Y514" s="32"/>
      <c r="Z514" s="32"/>
    </row>
    <row r="515" spans="4:26" x14ac:dyDescent="0.25">
      <c r="D515" s="31"/>
      <c r="E515" s="31"/>
      <c r="F515" s="32"/>
      <c r="G515" s="31"/>
      <c r="H515" s="31"/>
      <c r="I515" s="32"/>
      <c r="R515" s="32"/>
      <c r="S515" s="32"/>
      <c r="T515" s="32"/>
      <c r="U515" s="32"/>
      <c r="V515" s="32"/>
      <c r="W515" s="32"/>
      <c r="X515" s="32"/>
      <c r="Y515" s="32"/>
      <c r="Z515" s="32"/>
    </row>
    <row r="516" spans="4:26" x14ac:dyDescent="0.25">
      <c r="D516" s="31"/>
      <c r="E516" s="31"/>
      <c r="F516" s="32"/>
      <c r="G516" s="31"/>
      <c r="H516" s="31"/>
      <c r="I516" s="32"/>
      <c r="R516" s="32"/>
      <c r="S516" s="32"/>
      <c r="T516" s="32"/>
      <c r="U516" s="32"/>
      <c r="V516" s="32"/>
      <c r="W516" s="32"/>
      <c r="X516" s="32"/>
      <c r="Y516" s="32"/>
      <c r="Z516" s="32"/>
    </row>
    <row r="517" spans="4:26" x14ac:dyDescent="0.25">
      <c r="D517" s="31"/>
      <c r="E517" s="31"/>
      <c r="F517" s="32"/>
      <c r="G517" s="31"/>
      <c r="H517" s="31"/>
      <c r="I517" s="32"/>
      <c r="R517" s="32"/>
      <c r="S517" s="32"/>
      <c r="T517" s="32"/>
      <c r="U517" s="32"/>
      <c r="V517" s="32"/>
      <c r="W517" s="32"/>
      <c r="X517" s="32"/>
      <c r="Y517" s="32"/>
      <c r="Z517" s="32"/>
    </row>
    <row r="518" spans="4:26" x14ac:dyDescent="0.25">
      <c r="D518" s="31"/>
      <c r="E518" s="31"/>
      <c r="F518" s="32"/>
      <c r="G518" s="31"/>
      <c r="H518" s="31"/>
      <c r="I518" s="32"/>
      <c r="R518" s="32"/>
      <c r="S518" s="32"/>
      <c r="T518" s="32"/>
      <c r="U518" s="32"/>
      <c r="V518" s="32"/>
      <c r="W518" s="32"/>
      <c r="X518" s="32"/>
      <c r="Y518" s="32"/>
      <c r="Z518" s="32"/>
    </row>
    <row r="519" spans="4:26" x14ac:dyDescent="0.25">
      <c r="D519" s="31"/>
      <c r="E519" s="31"/>
      <c r="F519" s="32"/>
      <c r="G519" s="31"/>
      <c r="H519" s="31"/>
      <c r="I519" s="32"/>
      <c r="R519" s="32"/>
      <c r="S519" s="32"/>
      <c r="T519" s="32"/>
      <c r="U519" s="32"/>
      <c r="V519" s="32"/>
      <c r="W519" s="32"/>
      <c r="X519" s="32"/>
      <c r="Y519" s="32"/>
      <c r="Z519" s="32"/>
    </row>
    <row r="520" spans="4:26" x14ac:dyDescent="0.25">
      <c r="D520" s="31"/>
      <c r="E520" s="31"/>
      <c r="F520" s="32"/>
      <c r="G520" s="31"/>
      <c r="H520" s="31"/>
      <c r="I520" s="32"/>
      <c r="R520" s="32"/>
      <c r="S520" s="32"/>
      <c r="T520" s="32"/>
      <c r="U520" s="32"/>
      <c r="V520" s="32"/>
      <c r="W520" s="32"/>
      <c r="X520" s="32"/>
      <c r="Y520" s="32"/>
      <c r="Z520" s="32"/>
    </row>
    <row r="521" spans="4:26" x14ac:dyDescent="0.25">
      <c r="D521" s="31"/>
      <c r="E521" s="31"/>
      <c r="F521" s="32"/>
      <c r="G521" s="31"/>
      <c r="H521" s="31"/>
      <c r="I521" s="32"/>
      <c r="R521" s="32"/>
      <c r="S521" s="32"/>
      <c r="T521" s="32"/>
      <c r="U521" s="32"/>
      <c r="V521" s="32"/>
      <c r="W521" s="32"/>
      <c r="X521" s="32"/>
      <c r="Y521" s="32"/>
      <c r="Z521" s="32"/>
    </row>
    <row r="522" spans="4:26" x14ac:dyDescent="0.25">
      <c r="D522" s="31"/>
      <c r="E522" s="31"/>
      <c r="F522" s="32"/>
      <c r="G522" s="31"/>
      <c r="H522" s="31"/>
      <c r="I522" s="32"/>
      <c r="R522" s="32"/>
      <c r="S522" s="32"/>
      <c r="T522" s="32"/>
      <c r="U522" s="32"/>
      <c r="V522" s="32"/>
      <c r="W522" s="32"/>
      <c r="X522" s="32"/>
      <c r="Y522" s="32"/>
      <c r="Z522" s="32"/>
    </row>
    <row r="523" spans="4:26" x14ac:dyDescent="0.25">
      <c r="D523" s="31"/>
      <c r="E523" s="31"/>
      <c r="F523" s="32"/>
      <c r="G523" s="31"/>
      <c r="H523" s="31"/>
      <c r="I523" s="32"/>
      <c r="R523" s="32"/>
      <c r="S523" s="32"/>
      <c r="T523" s="32"/>
      <c r="U523" s="32"/>
      <c r="V523" s="32"/>
      <c r="W523" s="32"/>
      <c r="X523" s="32"/>
      <c r="Y523" s="32"/>
      <c r="Z523" s="32"/>
    </row>
    <row r="524" spans="4:26" x14ac:dyDescent="0.25">
      <c r="D524" s="31"/>
      <c r="E524" s="31"/>
      <c r="F524" s="32"/>
      <c r="G524" s="31"/>
      <c r="H524" s="31"/>
      <c r="I524" s="32"/>
      <c r="R524" s="32"/>
      <c r="S524" s="32"/>
      <c r="T524" s="32"/>
      <c r="U524" s="32"/>
      <c r="V524" s="32"/>
      <c r="W524" s="32"/>
      <c r="X524" s="32"/>
      <c r="Y524" s="32"/>
      <c r="Z524" s="32"/>
    </row>
    <row r="525" spans="4:26" x14ac:dyDescent="0.25">
      <c r="D525" s="31"/>
      <c r="E525" s="31"/>
      <c r="F525" s="32"/>
      <c r="G525" s="31"/>
      <c r="H525" s="31"/>
      <c r="I525" s="32"/>
      <c r="R525" s="32"/>
      <c r="S525" s="32"/>
      <c r="T525" s="32"/>
      <c r="U525" s="32"/>
      <c r="V525" s="32"/>
      <c r="W525" s="32"/>
      <c r="X525" s="32"/>
      <c r="Y525" s="32"/>
      <c r="Z525" s="32"/>
    </row>
    <row r="526" spans="4:26" x14ac:dyDescent="0.25">
      <c r="D526" s="31"/>
      <c r="E526" s="31"/>
      <c r="F526" s="32"/>
      <c r="G526" s="31"/>
      <c r="H526" s="31"/>
      <c r="I526" s="32"/>
      <c r="R526" s="32"/>
      <c r="S526" s="32"/>
      <c r="T526" s="32"/>
      <c r="U526" s="32"/>
      <c r="V526" s="32"/>
      <c r="W526" s="32"/>
      <c r="X526" s="32"/>
      <c r="Y526" s="32"/>
      <c r="Z526" s="32"/>
    </row>
    <row r="527" spans="4:26" x14ac:dyDescent="0.25">
      <c r="D527" s="31"/>
      <c r="E527" s="31"/>
      <c r="F527" s="32"/>
      <c r="G527" s="31"/>
      <c r="H527" s="31"/>
      <c r="I527" s="32"/>
      <c r="R527" s="32"/>
      <c r="S527" s="32"/>
      <c r="T527" s="32"/>
      <c r="U527" s="32"/>
      <c r="V527" s="32"/>
      <c r="W527" s="32"/>
      <c r="X527" s="32"/>
      <c r="Y527" s="32"/>
      <c r="Z527" s="32"/>
    </row>
    <row r="528" spans="4:26" x14ac:dyDescent="0.25">
      <c r="D528" s="31"/>
      <c r="E528" s="31"/>
      <c r="F528" s="32"/>
      <c r="G528" s="31"/>
      <c r="H528" s="31"/>
      <c r="I528" s="32"/>
      <c r="R528" s="32"/>
      <c r="S528" s="32"/>
      <c r="T528" s="32"/>
      <c r="U528" s="32"/>
      <c r="V528" s="32"/>
      <c r="W528" s="32"/>
      <c r="X528" s="32"/>
      <c r="Y528" s="32"/>
      <c r="Z528" s="32"/>
    </row>
    <row r="529" spans="4:26" x14ac:dyDescent="0.25">
      <c r="D529" s="31"/>
      <c r="E529" s="31"/>
      <c r="F529" s="32"/>
      <c r="G529" s="31"/>
      <c r="H529" s="31"/>
      <c r="I529" s="32"/>
      <c r="R529" s="32"/>
      <c r="S529" s="32"/>
      <c r="T529" s="32"/>
      <c r="U529" s="32"/>
      <c r="V529" s="32"/>
      <c r="W529" s="32"/>
      <c r="X529" s="32"/>
      <c r="Y529" s="32"/>
      <c r="Z529" s="32"/>
    </row>
    <row r="530" spans="4:26" x14ac:dyDescent="0.25">
      <c r="D530" s="31"/>
      <c r="E530" s="31"/>
      <c r="F530" s="32"/>
      <c r="G530" s="31"/>
      <c r="H530" s="31"/>
      <c r="I530" s="32"/>
      <c r="R530" s="32"/>
      <c r="S530" s="32"/>
      <c r="T530" s="32"/>
      <c r="U530" s="32"/>
      <c r="V530" s="32"/>
      <c r="W530" s="32"/>
      <c r="X530" s="32"/>
      <c r="Y530" s="32"/>
      <c r="Z530" s="32"/>
    </row>
    <row r="531" spans="4:26" x14ac:dyDescent="0.25">
      <c r="D531" s="31"/>
      <c r="E531" s="31"/>
      <c r="F531" s="32"/>
      <c r="G531" s="31"/>
      <c r="H531" s="31"/>
      <c r="I531" s="32"/>
      <c r="R531" s="32"/>
      <c r="S531" s="32"/>
      <c r="T531" s="32"/>
      <c r="U531" s="32"/>
      <c r="V531" s="32"/>
      <c r="W531" s="32"/>
      <c r="X531" s="32"/>
      <c r="Y531" s="32"/>
      <c r="Z531" s="32"/>
    </row>
    <row r="532" spans="4:26" x14ac:dyDescent="0.25">
      <c r="D532" s="31"/>
      <c r="E532" s="31"/>
      <c r="F532" s="32"/>
      <c r="G532" s="31"/>
      <c r="H532" s="31"/>
      <c r="I532" s="32"/>
      <c r="R532" s="32"/>
      <c r="S532" s="32"/>
      <c r="T532" s="32"/>
      <c r="U532" s="32"/>
      <c r="V532" s="32"/>
      <c r="W532" s="32"/>
      <c r="X532" s="32"/>
      <c r="Y532" s="32"/>
      <c r="Z532" s="32"/>
    </row>
    <row r="533" spans="4:26" x14ac:dyDescent="0.25">
      <c r="D533" s="31"/>
      <c r="E533" s="31"/>
      <c r="F533" s="32"/>
      <c r="G533" s="31"/>
      <c r="H533" s="31"/>
      <c r="I533" s="32"/>
      <c r="R533" s="32"/>
      <c r="S533" s="32"/>
      <c r="T533" s="32"/>
      <c r="U533" s="32"/>
      <c r="V533" s="32"/>
      <c r="W533" s="32"/>
      <c r="X533" s="32"/>
      <c r="Y533" s="32"/>
      <c r="Z533" s="32"/>
    </row>
    <row r="534" spans="4:26" x14ac:dyDescent="0.25">
      <c r="D534" s="31"/>
      <c r="E534" s="31"/>
      <c r="F534" s="32"/>
      <c r="G534" s="31"/>
      <c r="H534" s="31"/>
      <c r="I534" s="32"/>
      <c r="R534" s="32"/>
      <c r="S534" s="32"/>
      <c r="T534" s="32"/>
      <c r="U534" s="32"/>
      <c r="V534" s="32"/>
      <c r="W534" s="32"/>
      <c r="X534" s="32"/>
      <c r="Y534" s="32"/>
      <c r="Z534" s="32"/>
    </row>
    <row r="535" spans="4:26" x14ac:dyDescent="0.25">
      <c r="D535" s="31"/>
      <c r="E535" s="31"/>
      <c r="F535" s="32"/>
      <c r="G535" s="31"/>
      <c r="H535" s="31"/>
      <c r="I535" s="32"/>
      <c r="R535" s="32"/>
      <c r="S535" s="32"/>
      <c r="T535" s="32"/>
      <c r="U535" s="32"/>
      <c r="V535" s="32"/>
      <c r="W535" s="32"/>
      <c r="X535" s="32"/>
      <c r="Y535" s="32"/>
      <c r="Z535" s="32"/>
    </row>
    <row r="536" spans="4:26" x14ac:dyDescent="0.25">
      <c r="D536" s="31"/>
      <c r="E536" s="31"/>
      <c r="F536" s="32"/>
      <c r="G536" s="31"/>
      <c r="H536" s="31"/>
      <c r="I536" s="32"/>
      <c r="R536" s="32"/>
      <c r="S536" s="32"/>
      <c r="T536" s="32"/>
      <c r="U536" s="32"/>
      <c r="V536" s="32"/>
      <c r="W536" s="32"/>
      <c r="X536" s="32"/>
      <c r="Y536" s="32"/>
      <c r="Z536" s="32"/>
    </row>
    <row r="537" spans="4:26" x14ac:dyDescent="0.25">
      <c r="D537" s="31"/>
      <c r="E537" s="31"/>
      <c r="F537" s="32"/>
      <c r="G537" s="31"/>
      <c r="H537" s="31"/>
      <c r="I537" s="32"/>
      <c r="R537" s="32"/>
      <c r="S537" s="32"/>
      <c r="T537" s="32"/>
      <c r="U537" s="32"/>
      <c r="V537" s="32"/>
      <c r="W537" s="32"/>
      <c r="X537" s="32"/>
      <c r="Y537" s="32"/>
      <c r="Z537" s="32"/>
    </row>
    <row r="538" spans="4:26" x14ac:dyDescent="0.25">
      <c r="D538" s="31"/>
      <c r="E538" s="31"/>
      <c r="F538" s="32"/>
      <c r="G538" s="31"/>
      <c r="H538" s="31"/>
      <c r="I538" s="32"/>
      <c r="R538" s="32"/>
      <c r="S538" s="32"/>
      <c r="T538" s="32"/>
      <c r="U538" s="32"/>
      <c r="V538" s="32"/>
      <c r="W538" s="32"/>
      <c r="X538" s="32"/>
      <c r="Y538" s="32"/>
      <c r="Z538" s="32"/>
    </row>
    <row r="539" spans="4:26" x14ac:dyDescent="0.25">
      <c r="D539" s="31"/>
      <c r="E539" s="31"/>
      <c r="F539" s="32"/>
      <c r="G539" s="31"/>
      <c r="H539" s="31"/>
      <c r="I539" s="32"/>
      <c r="R539" s="32"/>
      <c r="S539" s="32"/>
      <c r="T539" s="32"/>
      <c r="U539" s="32"/>
      <c r="V539" s="32"/>
      <c r="W539" s="32"/>
      <c r="X539" s="32"/>
      <c r="Y539" s="32"/>
      <c r="Z539" s="32"/>
    </row>
    <row r="540" spans="4:26" x14ac:dyDescent="0.25">
      <c r="D540" s="31"/>
      <c r="E540" s="31"/>
      <c r="F540" s="32"/>
      <c r="G540" s="31"/>
      <c r="H540" s="31"/>
      <c r="I540" s="32"/>
      <c r="R540" s="32"/>
      <c r="S540" s="32"/>
      <c r="T540" s="32"/>
      <c r="U540" s="32"/>
      <c r="V540" s="32"/>
      <c r="W540" s="32"/>
      <c r="X540" s="32"/>
      <c r="Y540" s="32"/>
      <c r="Z540" s="32"/>
    </row>
    <row r="541" spans="4:26" x14ac:dyDescent="0.25">
      <c r="D541" s="31"/>
      <c r="E541" s="31"/>
      <c r="F541" s="32"/>
      <c r="G541" s="31"/>
      <c r="H541" s="31"/>
      <c r="I541" s="32"/>
      <c r="R541" s="32"/>
      <c r="S541" s="32"/>
      <c r="T541" s="32"/>
      <c r="U541" s="32"/>
      <c r="V541" s="32"/>
      <c r="W541" s="32"/>
      <c r="X541" s="32"/>
      <c r="Y541" s="32"/>
      <c r="Z541" s="32"/>
    </row>
    <row r="542" spans="4:26" x14ac:dyDescent="0.25">
      <c r="D542" s="31"/>
      <c r="E542" s="31"/>
      <c r="F542" s="32"/>
      <c r="G542" s="31"/>
      <c r="H542" s="31"/>
      <c r="I542" s="32"/>
      <c r="R542" s="32"/>
      <c r="S542" s="32"/>
      <c r="T542" s="32"/>
      <c r="U542" s="32"/>
      <c r="V542" s="32"/>
      <c r="W542" s="32"/>
      <c r="X542" s="32"/>
      <c r="Y542" s="32"/>
      <c r="Z542" s="32"/>
    </row>
    <row r="543" spans="4:26" x14ac:dyDescent="0.25">
      <c r="D543" s="31"/>
      <c r="E543" s="31"/>
      <c r="F543" s="32"/>
      <c r="G543" s="31"/>
      <c r="H543" s="31"/>
      <c r="I543" s="32"/>
      <c r="R543" s="32"/>
      <c r="S543" s="32"/>
      <c r="T543" s="32"/>
      <c r="U543" s="32"/>
      <c r="V543" s="32"/>
      <c r="W543" s="32"/>
      <c r="X543" s="32"/>
      <c r="Y543" s="32"/>
      <c r="Z543" s="32"/>
    </row>
    <row r="544" spans="4:26" x14ac:dyDescent="0.25">
      <c r="D544" s="31"/>
      <c r="E544" s="31"/>
      <c r="F544" s="32"/>
      <c r="G544" s="31"/>
      <c r="H544" s="31"/>
      <c r="I544" s="32"/>
      <c r="R544" s="32"/>
      <c r="S544" s="32"/>
      <c r="T544" s="32"/>
      <c r="U544" s="32"/>
      <c r="V544" s="32"/>
      <c r="W544" s="32"/>
      <c r="X544" s="32"/>
      <c r="Y544" s="32"/>
      <c r="Z544" s="32"/>
    </row>
    <row r="545" spans="4:26" x14ac:dyDescent="0.25">
      <c r="D545" s="31"/>
      <c r="E545" s="31"/>
      <c r="F545" s="32"/>
      <c r="G545" s="31"/>
      <c r="H545" s="31"/>
      <c r="I545" s="32"/>
      <c r="R545" s="32"/>
      <c r="S545" s="32"/>
      <c r="T545" s="32"/>
      <c r="U545" s="32"/>
      <c r="V545" s="32"/>
      <c r="W545" s="32"/>
      <c r="X545" s="32"/>
      <c r="Y545" s="32"/>
      <c r="Z545" s="32"/>
    </row>
    <row r="546" spans="4:26" x14ac:dyDescent="0.25">
      <c r="D546" s="31"/>
      <c r="E546" s="31"/>
      <c r="F546" s="32"/>
      <c r="G546" s="31"/>
      <c r="H546" s="31"/>
      <c r="I546" s="32"/>
      <c r="R546" s="32"/>
      <c r="S546" s="32"/>
      <c r="T546" s="32"/>
      <c r="U546" s="32"/>
      <c r="V546" s="32"/>
      <c r="W546" s="32"/>
      <c r="X546" s="32"/>
      <c r="Y546" s="32"/>
      <c r="Z546" s="32"/>
    </row>
    <row r="547" spans="4:26" x14ac:dyDescent="0.25">
      <c r="D547" s="31"/>
      <c r="E547" s="31"/>
      <c r="F547" s="32"/>
      <c r="G547" s="31"/>
      <c r="H547" s="31"/>
      <c r="I547" s="32"/>
      <c r="R547" s="32"/>
      <c r="S547" s="32"/>
      <c r="T547" s="32"/>
      <c r="U547" s="32"/>
      <c r="V547" s="32"/>
      <c r="W547" s="32"/>
      <c r="X547" s="32"/>
      <c r="Y547" s="32"/>
      <c r="Z547" s="32"/>
    </row>
    <row r="548" spans="4:26" x14ac:dyDescent="0.25">
      <c r="D548" s="31"/>
      <c r="E548" s="31"/>
      <c r="F548" s="32"/>
      <c r="G548" s="31"/>
      <c r="H548" s="31"/>
      <c r="I548" s="32"/>
      <c r="R548" s="32"/>
      <c r="S548" s="32"/>
      <c r="T548" s="32"/>
      <c r="U548" s="32"/>
      <c r="V548" s="32"/>
      <c r="W548" s="32"/>
      <c r="X548" s="32"/>
      <c r="Y548" s="32"/>
      <c r="Z548" s="32"/>
    </row>
    <row r="549" spans="4:26" x14ac:dyDescent="0.25">
      <c r="D549" s="31"/>
      <c r="E549" s="31"/>
      <c r="F549" s="32"/>
      <c r="G549" s="31"/>
      <c r="H549" s="31"/>
      <c r="I549" s="32"/>
      <c r="R549" s="32"/>
      <c r="S549" s="32"/>
      <c r="T549" s="32"/>
      <c r="U549" s="32"/>
      <c r="V549" s="32"/>
      <c r="W549" s="32"/>
      <c r="X549" s="32"/>
      <c r="Y549" s="32"/>
      <c r="Z549" s="32"/>
    </row>
    <row r="550" spans="4:26" x14ac:dyDescent="0.25">
      <c r="D550" s="31"/>
      <c r="E550" s="31"/>
      <c r="F550" s="32"/>
      <c r="G550" s="31"/>
      <c r="H550" s="31"/>
      <c r="I550" s="32"/>
      <c r="R550" s="32"/>
      <c r="S550" s="32"/>
      <c r="T550" s="32"/>
      <c r="U550" s="32"/>
      <c r="V550" s="32"/>
      <c r="W550" s="32"/>
      <c r="X550" s="32"/>
      <c r="Y550" s="32"/>
      <c r="Z550" s="32"/>
    </row>
    <row r="551" spans="4:26" x14ac:dyDescent="0.25">
      <c r="D551" s="31"/>
      <c r="E551" s="31"/>
      <c r="F551" s="32"/>
      <c r="G551" s="31"/>
      <c r="H551" s="31"/>
      <c r="I551" s="32"/>
      <c r="R551" s="32"/>
      <c r="S551" s="32"/>
      <c r="T551" s="32"/>
      <c r="U551" s="32"/>
      <c r="V551" s="32"/>
      <c r="W551" s="32"/>
      <c r="X551" s="32"/>
      <c r="Y551" s="32"/>
      <c r="Z551" s="32"/>
    </row>
    <row r="552" spans="4:26" x14ac:dyDescent="0.25">
      <c r="D552" s="31"/>
      <c r="E552" s="31"/>
      <c r="F552" s="32"/>
      <c r="G552" s="31"/>
      <c r="H552" s="31"/>
      <c r="I552" s="32"/>
      <c r="R552" s="32"/>
      <c r="S552" s="32"/>
      <c r="T552" s="32"/>
      <c r="U552" s="32"/>
      <c r="V552" s="32"/>
      <c r="W552" s="32"/>
      <c r="X552" s="32"/>
      <c r="Y552" s="32"/>
      <c r="Z552" s="32"/>
    </row>
    <row r="553" spans="4:26" x14ac:dyDescent="0.25">
      <c r="D553" s="31"/>
      <c r="E553" s="31"/>
      <c r="F553" s="32"/>
      <c r="G553" s="31"/>
      <c r="H553" s="31"/>
      <c r="I553" s="32"/>
      <c r="R553" s="32"/>
      <c r="S553" s="32"/>
      <c r="T553" s="32"/>
      <c r="U553" s="32"/>
      <c r="V553" s="32"/>
      <c r="W553" s="32"/>
      <c r="X553" s="32"/>
      <c r="Y553" s="32"/>
      <c r="Z553" s="32"/>
    </row>
    <row r="554" spans="4:26" x14ac:dyDescent="0.25">
      <c r="D554" s="31"/>
      <c r="E554" s="31"/>
      <c r="F554" s="32"/>
      <c r="G554" s="31"/>
      <c r="H554" s="31"/>
      <c r="I554" s="32"/>
      <c r="R554" s="32"/>
      <c r="S554" s="32"/>
      <c r="T554" s="32"/>
      <c r="U554" s="32"/>
      <c r="V554" s="32"/>
      <c r="W554" s="32"/>
      <c r="X554" s="32"/>
      <c r="Y554" s="32"/>
      <c r="Z554" s="32"/>
    </row>
    <row r="555" spans="4:26" x14ac:dyDescent="0.25">
      <c r="D555" s="31"/>
      <c r="E555" s="31"/>
      <c r="F555" s="32"/>
      <c r="G555" s="31"/>
      <c r="H555" s="31"/>
      <c r="I555" s="32"/>
      <c r="R555" s="32"/>
      <c r="S555" s="32"/>
      <c r="T555" s="32"/>
      <c r="U555" s="32"/>
      <c r="V555" s="32"/>
      <c r="W555" s="32"/>
      <c r="X555" s="32"/>
      <c r="Y555" s="32"/>
      <c r="Z555" s="32"/>
    </row>
    <row r="556" spans="4:26" x14ac:dyDescent="0.25">
      <c r="D556" s="31"/>
      <c r="E556" s="31"/>
      <c r="F556" s="32"/>
      <c r="G556" s="31"/>
      <c r="H556" s="31"/>
      <c r="I556" s="32"/>
      <c r="R556" s="32"/>
      <c r="S556" s="32"/>
      <c r="T556" s="32"/>
      <c r="U556" s="32"/>
      <c r="V556" s="32"/>
      <c r="W556" s="32"/>
      <c r="X556" s="32"/>
      <c r="Y556" s="32"/>
      <c r="Z556" s="32"/>
    </row>
    <row r="557" spans="4:26" x14ac:dyDescent="0.25">
      <c r="D557" s="31"/>
      <c r="E557" s="31"/>
      <c r="F557" s="32"/>
      <c r="G557" s="31"/>
      <c r="H557" s="31"/>
      <c r="I557" s="32"/>
      <c r="R557" s="32"/>
      <c r="S557" s="32"/>
      <c r="T557" s="32"/>
      <c r="U557" s="32"/>
      <c r="V557" s="32"/>
      <c r="W557" s="32"/>
      <c r="X557" s="32"/>
      <c r="Y557" s="32"/>
      <c r="Z557" s="32"/>
    </row>
    <row r="558" spans="4:26" x14ac:dyDescent="0.25">
      <c r="D558" s="31"/>
      <c r="E558" s="31"/>
      <c r="F558" s="32"/>
      <c r="G558" s="31"/>
      <c r="H558" s="31"/>
      <c r="I558" s="32"/>
      <c r="R558" s="32"/>
      <c r="S558" s="32"/>
      <c r="T558" s="32"/>
      <c r="U558" s="32"/>
      <c r="V558" s="32"/>
      <c r="W558" s="32"/>
      <c r="X558" s="32"/>
      <c r="Y558" s="32"/>
      <c r="Z558" s="32"/>
    </row>
    <row r="559" spans="4:26" x14ac:dyDescent="0.25">
      <c r="D559" s="31"/>
      <c r="E559" s="31"/>
      <c r="F559" s="32"/>
      <c r="G559" s="31"/>
      <c r="H559" s="31"/>
      <c r="I559" s="32"/>
      <c r="R559" s="32"/>
      <c r="S559" s="32"/>
      <c r="T559" s="32"/>
      <c r="U559" s="32"/>
      <c r="V559" s="32"/>
      <c r="W559" s="32"/>
      <c r="X559" s="32"/>
      <c r="Y559" s="32"/>
      <c r="Z559" s="32"/>
    </row>
    <row r="560" spans="4:26" x14ac:dyDescent="0.25">
      <c r="D560" s="31"/>
      <c r="E560" s="31"/>
      <c r="F560" s="32"/>
      <c r="G560" s="31"/>
      <c r="H560" s="31"/>
      <c r="I560" s="32"/>
      <c r="R560" s="32"/>
      <c r="S560" s="32"/>
      <c r="T560" s="32"/>
      <c r="U560" s="32"/>
      <c r="V560" s="32"/>
      <c r="W560" s="32"/>
      <c r="X560" s="32"/>
      <c r="Y560" s="32"/>
      <c r="Z560" s="32"/>
    </row>
    <row r="561" spans="4:26" x14ac:dyDescent="0.25">
      <c r="D561" s="31"/>
      <c r="E561" s="31"/>
      <c r="F561" s="32"/>
      <c r="G561" s="31"/>
      <c r="H561" s="31"/>
      <c r="I561" s="32"/>
      <c r="R561" s="32"/>
      <c r="S561" s="32"/>
      <c r="T561" s="32"/>
      <c r="U561" s="32"/>
      <c r="V561" s="32"/>
      <c r="W561" s="32"/>
      <c r="X561" s="32"/>
      <c r="Y561" s="32"/>
      <c r="Z561" s="32"/>
    </row>
    <row r="562" spans="4:26" x14ac:dyDescent="0.25">
      <c r="D562" s="31"/>
      <c r="E562" s="31"/>
      <c r="F562" s="32"/>
      <c r="G562" s="31"/>
      <c r="H562" s="31"/>
      <c r="I562" s="32"/>
      <c r="R562" s="32"/>
      <c r="S562" s="32"/>
      <c r="T562" s="32"/>
      <c r="U562" s="32"/>
      <c r="V562" s="32"/>
      <c r="W562" s="32"/>
      <c r="X562" s="32"/>
      <c r="Y562" s="32"/>
      <c r="Z562" s="32"/>
    </row>
    <row r="563" spans="4:26" x14ac:dyDescent="0.25">
      <c r="D563" s="31"/>
      <c r="E563" s="31"/>
      <c r="F563" s="32"/>
      <c r="G563" s="31"/>
      <c r="H563" s="31"/>
      <c r="I563" s="32"/>
      <c r="R563" s="32"/>
      <c r="S563" s="32"/>
      <c r="T563" s="32"/>
      <c r="U563" s="32"/>
      <c r="V563" s="32"/>
      <c r="W563" s="32"/>
      <c r="X563" s="32"/>
      <c r="Y563" s="32"/>
      <c r="Z563" s="32"/>
    </row>
    <row r="564" spans="4:26" x14ac:dyDescent="0.25">
      <c r="D564" s="31"/>
      <c r="E564" s="31"/>
      <c r="F564" s="32"/>
      <c r="G564" s="31"/>
      <c r="H564" s="31"/>
      <c r="I564" s="32"/>
      <c r="R564" s="32"/>
      <c r="S564" s="32"/>
      <c r="T564" s="32"/>
      <c r="U564" s="32"/>
      <c r="V564" s="32"/>
      <c r="W564" s="32"/>
      <c r="X564" s="32"/>
      <c r="Y564" s="32"/>
      <c r="Z564" s="32"/>
    </row>
    <row r="565" spans="4:26" x14ac:dyDescent="0.25">
      <c r="D565" s="31"/>
      <c r="E565" s="31"/>
      <c r="F565" s="32"/>
      <c r="G565" s="31"/>
      <c r="H565" s="31"/>
      <c r="I565" s="32"/>
      <c r="R565" s="32"/>
      <c r="S565" s="32"/>
      <c r="T565" s="32"/>
      <c r="U565" s="32"/>
      <c r="V565" s="32"/>
      <c r="W565" s="32"/>
      <c r="X565" s="32"/>
      <c r="Y565" s="32"/>
      <c r="Z565" s="32"/>
    </row>
    <row r="566" spans="4:26" x14ac:dyDescent="0.25">
      <c r="D566" s="31"/>
      <c r="E566" s="31"/>
      <c r="F566" s="32"/>
      <c r="G566" s="31"/>
      <c r="H566" s="31"/>
      <c r="I566" s="32"/>
      <c r="R566" s="32"/>
      <c r="S566" s="32"/>
      <c r="T566" s="32"/>
      <c r="U566" s="32"/>
      <c r="V566" s="32"/>
      <c r="W566" s="32"/>
      <c r="X566" s="32"/>
      <c r="Y566" s="32"/>
      <c r="Z566" s="32"/>
    </row>
    <row r="567" spans="4:26" x14ac:dyDescent="0.25">
      <c r="D567" s="31"/>
      <c r="E567" s="31"/>
      <c r="F567" s="32"/>
      <c r="G567" s="31"/>
      <c r="H567" s="31"/>
      <c r="I567" s="32"/>
      <c r="R567" s="32"/>
      <c r="S567" s="32"/>
      <c r="T567" s="32"/>
      <c r="U567" s="32"/>
      <c r="V567" s="32"/>
      <c r="W567" s="32"/>
      <c r="X567" s="32"/>
      <c r="Y567" s="32"/>
      <c r="Z567" s="32"/>
    </row>
    <row r="568" spans="4:26" x14ac:dyDescent="0.25">
      <c r="D568" s="31"/>
      <c r="E568" s="31"/>
      <c r="F568" s="32"/>
      <c r="G568" s="31"/>
      <c r="H568" s="31"/>
      <c r="I568" s="32"/>
      <c r="R568" s="32"/>
      <c r="S568" s="32"/>
      <c r="T568" s="32"/>
      <c r="U568" s="32"/>
      <c r="V568" s="32"/>
      <c r="W568" s="32"/>
      <c r="X568" s="32"/>
      <c r="Y568" s="32"/>
      <c r="Z568" s="32"/>
    </row>
    <row r="569" spans="4:26" x14ac:dyDescent="0.25">
      <c r="D569" s="31"/>
      <c r="E569" s="31"/>
      <c r="F569" s="32"/>
      <c r="G569" s="31"/>
      <c r="H569" s="31"/>
      <c r="I569" s="32"/>
      <c r="R569" s="32"/>
      <c r="S569" s="32"/>
      <c r="T569" s="32"/>
      <c r="U569" s="32"/>
      <c r="V569" s="32"/>
      <c r="W569" s="32"/>
      <c r="X569" s="32"/>
      <c r="Y569" s="32"/>
      <c r="Z569" s="32"/>
    </row>
    <row r="570" spans="4:26" x14ac:dyDescent="0.25">
      <c r="D570" s="31"/>
      <c r="E570" s="31"/>
      <c r="F570" s="32"/>
      <c r="G570" s="31"/>
      <c r="H570" s="31"/>
      <c r="I570" s="32"/>
      <c r="R570" s="32"/>
      <c r="S570" s="32"/>
      <c r="T570" s="32"/>
      <c r="U570" s="32"/>
      <c r="V570" s="32"/>
      <c r="W570" s="32"/>
      <c r="X570" s="32"/>
      <c r="Y570" s="32"/>
      <c r="Z570" s="32"/>
    </row>
    <row r="571" spans="4:26" x14ac:dyDescent="0.25">
      <c r="D571" s="31"/>
      <c r="E571" s="31"/>
      <c r="F571" s="32"/>
      <c r="G571" s="31"/>
      <c r="H571" s="31"/>
      <c r="I571" s="32"/>
      <c r="R571" s="32"/>
      <c r="S571" s="32"/>
      <c r="T571" s="32"/>
      <c r="U571" s="32"/>
      <c r="V571" s="32"/>
      <c r="W571" s="32"/>
      <c r="X571" s="32"/>
      <c r="Y571" s="32"/>
      <c r="Z571" s="32"/>
    </row>
    <row r="572" spans="4:26" x14ac:dyDescent="0.25">
      <c r="D572" s="31"/>
      <c r="E572" s="31"/>
      <c r="F572" s="32"/>
      <c r="G572" s="31"/>
      <c r="H572" s="31"/>
      <c r="I572" s="32"/>
      <c r="R572" s="32"/>
      <c r="S572" s="32"/>
      <c r="T572" s="32"/>
      <c r="U572" s="32"/>
      <c r="V572" s="32"/>
      <c r="W572" s="32"/>
      <c r="X572" s="32"/>
      <c r="Y572" s="32"/>
      <c r="Z572" s="32"/>
    </row>
    <row r="573" spans="4:26" x14ac:dyDescent="0.25">
      <c r="D573" s="31"/>
      <c r="E573" s="31"/>
      <c r="F573" s="32"/>
      <c r="G573" s="31"/>
      <c r="H573" s="31"/>
      <c r="I573" s="32"/>
      <c r="R573" s="32"/>
      <c r="S573" s="32"/>
      <c r="T573" s="32"/>
      <c r="U573" s="32"/>
      <c r="V573" s="32"/>
      <c r="W573" s="32"/>
      <c r="X573" s="32"/>
      <c r="Y573" s="32"/>
      <c r="Z573" s="32"/>
    </row>
    <row r="574" spans="4:26" x14ac:dyDescent="0.25">
      <c r="D574" s="31"/>
      <c r="E574" s="31"/>
      <c r="F574" s="32"/>
      <c r="G574" s="31"/>
      <c r="H574" s="31"/>
      <c r="I574" s="32"/>
      <c r="R574" s="32"/>
      <c r="S574" s="32"/>
      <c r="T574" s="32"/>
      <c r="U574" s="32"/>
      <c r="V574" s="32"/>
      <c r="W574" s="32"/>
      <c r="X574" s="32"/>
      <c r="Y574" s="32"/>
      <c r="Z574" s="32"/>
    </row>
    <row r="575" spans="4:26" x14ac:dyDescent="0.25">
      <c r="D575" s="31"/>
      <c r="E575" s="31"/>
      <c r="F575" s="32"/>
      <c r="G575" s="31"/>
      <c r="H575" s="31"/>
      <c r="I575" s="32"/>
      <c r="R575" s="32"/>
      <c r="S575" s="32"/>
      <c r="T575" s="32"/>
      <c r="U575" s="32"/>
      <c r="V575" s="32"/>
      <c r="W575" s="32"/>
      <c r="X575" s="32"/>
      <c r="Y575" s="32"/>
      <c r="Z575" s="32"/>
    </row>
    <row r="576" spans="4:26" x14ac:dyDescent="0.25">
      <c r="D576" s="31"/>
      <c r="E576" s="31"/>
      <c r="F576" s="32"/>
      <c r="G576" s="31"/>
      <c r="H576" s="31"/>
      <c r="I576" s="32"/>
      <c r="R576" s="32"/>
      <c r="S576" s="32"/>
      <c r="T576" s="32"/>
      <c r="U576" s="32"/>
      <c r="V576" s="32"/>
      <c r="W576" s="32"/>
      <c r="X576" s="32"/>
      <c r="Y576" s="32"/>
      <c r="Z576" s="32"/>
    </row>
    <row r="577" spans="4:26" x14ac:dyDescent="0.25">
      <c r="D577" s="31"/>
      <c r="E577" s="31"/>
      <c r="F577" s="32"/>
      <c r="G577" s="31"/>
      <c r="H577" s="31"/>
      <c r="I577" s="32"/>
      <c r="R577" s="32"/>
      <c r="S577" s="32"/>
      <c r="T577" s="32"/>
      <c r="U577" s="32"/>
      <c r="V577" s="32"/>
      <c r="W577" s="32"/>
      <c r="X577" s="32"/>
      <c r="Y577" s="32"/>
      <c r="Z577" s="32"/>
    </row>
    <row r="578" spans="4:26" x14ac:dyDescent="0.25">
      <c r="D578" s="31"/>
      <c r="E578" s="31"/>
      <c r="F578" s="32"/>
      <c r="G578" s="31"/>
      <c r="H578" s="31"/>
      <c r="I578" s="32"/>
      <c r="R578" s="32"/>
      <c r="S578" s="32"/>
      <c r="T578" s="32"/>
      <c r="U578" s="32"/>
      <c r="V578" s="32"/>
      <c r="W578" s="32"/>
      <c r="X578" s="32"/>
      <c r="Y578" s="32"/>
      <c r="Z578" s="32"/>
    </row>
    <row r="579" spans="4:26" x14ac:dyDescent="0.25">
      <c r="D579" s="31"/>
      <c r="E579" s="31"/>
      <c r="F579" s="32"/>
      <c r="G579" s="31"/>
      <c r="H579" s="31"/>
      <c r="I579" s="32"/>
      <c r="R579" s="32"/>
      <c r="S579" s="32"/>
      <c r="T579" s="32"/>
      <c r="U579" s="32"/>
      <c r="V579" s="32"/>
      <c r="W579" s="32"/>
      <c r="X579" s="32"/>
      <c r="Y579" s="32"/>
      <c r="Z579" s="32"/>
    </row>
    <row r="580" spans="4:26" x14ac:dyDescent="0.25">
      <c r="D580" s="31"/>
      <c r="E580" s="31"/>
      <c r="F580" s="32"/>
      <c r="G580" s="31"/>
      <c r="H580" s="31"/>
      <c r="I580" s="32"/>
      <c r="R580" s="32"/>
      <c r="S580" s="32"/>
      <c r="T580" s="32"/>
      <c r="U580" s="32"/>
      <c r="V580" s="32"/>
      <c r="W580" s="32"/>
      <c r="X580" s="32"/>
      <c r="Y580" s="32"/>
      <c r="Z580" s="32"/>
    </row>
    <row r="581" spans="4:26" x14ac:dyDescent="0.25">
      <c r="D581" s="31"/>
      <c r="E581" s="31"/>
      <c r="F581" s="32"/>
      <c r="G581" s="31"/>
      <c r="H581" s="31"/>
      <c r="I581" s="32"/>
      <c r="R581" s="32"/>
      <c r="S581" s="32"/>
      <c r="T581" s="32"/>
      <c r="U581" s="32"/>
      <c r="V581" s="32"/>
      <c r="W581" s="32"/>
      <c r="X581" s="32"/>
      <c r="Y581" s="32"/>
      <c r="Z581" s="32"/>
    </row>
    <row r="582" spans="4:26" x14ac:dyDescent="0.25">
      <c r="D582" s="31"/>
      <c r="E582" s="31"/>
      <c r="F582" s="32"/>
      <c r="G582" s="31"/>
      <c r="H582" s="31"/>
      <c r="I582" s="32"/>
      <c r="R582" s="32"/>
      <c r="S582" s="32"/>
      <c r="T582" s="32"/>
      <c r="U582" s="32"/>
      <c r="V582" s="32"/>
      <c r="W582" s="32"/>
      <c r="X582" s="32"/>
      <c r="Y582" s="32"/>
      <c r="Z582" s="32"/>
    </row>
    <row r="583" spans="4:26" x14ac:dyDescent="0.25">
      <c r="D583" s="31"/>
      <c r="E583" s="31"/>
      <c r="F583" s="32"/>
      <c r="G583" s="31"/>
      <c r="H583" s="31"/>
      <c r="I583" s="32"/>
      <c r="R583" s="32"/>
      <c r="S583" s="32"/>
      <c r="T583" s="32"/>
      <c r="U583" s="32"/>
      <c r="V583" s="32"/>
      <c r="W583" s="32"/>
      <c r="X583" s="32"/>
      <c r="Y583" s="32"/>
      <c r="Z583" s="32"/>
    </row>
    <row r="584" spans="4:26" x14ac:dyDescent="0.25">
      <c r="D584" s="31"/>
      <c r="E584" s="31"/>
      <c r="F584" s="32"/>
      <c r="G584" s="31"/>
      <c r="H584" s="31"/>
      <c r="I584" s="32"/>
      <c r="R584" s="32"/>
      <c r="S584" s="32"/>
      <c r="T584" s="32"/>
      <c r="U584" s="32"/>
      <c r="V584" s="32"/>
      <c r="W584" s="32"/>
      <c r="X584" s="32"/>
      <c r="Y584" s="32"/>
      <c r="Z584" s="32"/>
    </row>
    <row r="585" spans="4:26" x14ac:dyDescent="0.25">
      <c r="D585" s="31"/>
      <c r="E585" s="31"/>
      <c r="F585" s="32"/>
      <c r="G585" s="31"/>
      <c r="H585" s="31"/>
      <c r="I585" s="32"/>
      <c r="R585" s="32"/>
      <c r="S585" s="32"/>
      <c r="T585" s="32"/>
      <c r="U585" s="32"/>
      <c r="V585" s="32"/>
      <c r="W585" s="32"/>
      <c r="X585" s="32"/>
      <c r="Y585" s="32"/>
      <c r="Z585" s="32"/>
    </row>
    <row r="586" spans="4:26" x14ac:dyDescent="0.25">
      <c r="D586" s="31"/>
      <c r="E586" s="31"/>
      <c r="F586" s="32"/>
      <c r="G586" s="31"/>
      <c r="H586" s="31"/>
      <c r="I586" s="32"/>
      <c r="R586" s="32"/>
      <c r="S586" s="32"/>
      <c r="T586" s="32"/>
      <c r="U586" s="32"/>
      <c r="V586" s="32"/>
      <c r="W586" s="32"/>
      <c r="X586" s="32"/>
      <c r="Y586" s="32"/>
      <c r="Z586" s="32"/>
    </row>
    <row r="587" spans="4:26" x14ac:dyDescent="0.25">
      <c r="D587" s="31"/>
      <c r="E587" s="31"/>
      <c r="F587" s="32"/>
      <c r="G587" s="31"/>
      <c r="H587" s="31"/>
      <c r="I587" s="32"/>
      <c r="R587" s="32"/>
      <c r="S587" s="32"/>
      <c r="T587" s="32"/>
      <c r="U587" s="32"/>
      <c r="V587" s="32"/>
      <c r="W587" s="32"/>
      <c r="X587" s="32"/>
      <c r="Y587" s="32"/>
      <c r="Z587" s="32"/>
    </row>
    <row r="588" spans="4:26" x14ac:dyDescent="0.25">
      <c r="D588" s="31"/>
      <c r="E588" s="31"/>
      <c r="F588" s="32"/>
      <c r="G588" s="31"/>
      <c r="H588" s="31"/>
      <c r="I588" s="32"/>
      <c r="R588" s="32"/>
      <c r="S588" s="32"/>
      <c r="T588" s="32"/>
      <c r="U588" s="32"/>
      <c r="V588" s="32"/>
      <c r="W588" s="32"/>
      <c r="X588" s="32"/>
      <c r="Y588" s="32"/>
      <c r="Z588" s="32"/>
    </row>
    <row r="589" spans="4:26" x14ac:dyDescent="0.25">
      <c r="D589" s="31"/>
      <c r="E589" s="31"/>
      <c r="F589" s="32"/>
      <c r="G589" s="31"/>
      <c r="H589" s="31"/>
      <c r="I589" s="32"/>
      <c r="R589" s="32"/>
      <c r="S589" s="32"/>
      <c r="T589" s="32"/>
      <c r="U589" s="32"/>
      <c r="V589" s="32"/>
      <c r="W589" s="32"/>
      <c r="X589" s="32"/>
      <c r="Y589" s="32"/>
      <c r="Z589" s="32"/>
    </row>
    <row r="590" spans="4:26" x14ac:dyDescent="0.25">
      <c r="D590" s="31"/>
      <c r="E590" s="31"/>
      <c r="F590" s="32"/>
      <c r="G590" s="31"/>
      <c r="H590" s="31"/>
      <c r="I590" s="32"/>
      <c r="R590" s="32"/>
      <c r="S590" s="32"/>
      <c r="T590" s="32"/>
      <c r="U590" s="32"/>
      <c r="V590" s="32"/>
      <c r="W590" s="32"/>
      <c r="X590" s="32"/>
      <c r="Y590" s="32"/>
      <c r="Z590" s="32"/>
    </row>
    <row r="591" spans="4:26" x14ac:dyDescent="0.25">
      <c r="D591" s="31"/>
      <c r="E591" s="31"/>
      <c r="F591" s="32"/>
      <c r="G591" s="31"/>
      <c r="H591" s="31"/>
      <c r="I591" s="32"/>
      <c r="R591" s="32"/>
      <c r="S591" s="32"/>
      <c r="T591" s="32"/>
      <c r="U591" s="32"/>
      <c r="V591" s="32"/>
      <c r="W591" s="32"/>
      <c r="X591" s="32"/>
      <c r="Y591" s="32"/>
      <c r="Z591" s="32"/>
    </row>
    <row r="592" spans="4:26" x14ac:dyDescent="0.25">
      <c r="D592" s="31"/>
      <c r="E592" s="31"/>
      <c r="F592" s="32"/>
      <c r="G592" s="31"/>
      <c r="H592" s="31"/>
      <c r="I592" s="32"/>
      <c r="R592" s="32"/>
      <c r="S592" s="32"/>
      <c r="T592" s="32"/>
      <c r="U592" s="32"/>
      <c r="V592" s="32"/>
      <c r="W592" s="32"/>
      <c r="X592" s="32"/>
      <c r="Y592" s="32"/>
      <c r="Z592" s="32"/>
    </row>
    <row r="593" spans="4:26" x14ac:dyDescent="0.25">
      <c r="D593" s="31"/>
      <c r="E593" s="31"/>
      <c r="F593" s="32"/>
      <c r="G593" s="31"/>
      <c r="H593" s="31"/>
      <c r="I593" s="32"/>
      <c r="R593" s="32"/>
      <c r="S593" s="32"/>
      <c r="T593" s="32"/>
      <c r="U593" s="32"/>
      <c r="V593" s="32"/>
      <c r="W593" s="32"/>
      <c r="X593" s="32"/>
      <c r="Y593" s="32"/>
      <c r="Z593" s="32"/>
    </row>
    <row r="594" spans="4:26" x14ac:dyDescent="0.25">
      <c r="D594" s="31"/>
      <c r="E594" s="31"/>
      <c r="F594" s="32"/>
      <c r="G594" s="31"/>
      <c r="H594" s="31"/>
      <c r="I594" s="32"/>
      <c r="R594" s="32"/>
      <c r="S594" s="32"/>
      <c r="T594" s="32"/>
      <c r="U594" s="32"/>
      <c r="V594" s="32"/>
      <c r="W594" s="32"/>
      <c r="X594" s="32"/>
      <c r="Y594" s="32"/>
      <c r="Z594" s="32"/>
    </row>
    <row r="595" spans="4:26" x14ac:dyDescent="0.25">
      <c r="D595" s="31"/>
      <c r="E595" s="31"/>
      <c r="F595" s="32"/>
      <c r="G595" s="31"/>
      <c r="H595" s="31"/>
      <c r="I595" s="32"/>
      <c r="R595" s="32"/>
      <c r="S595" s="32"/>
      <c r="T595" s="32"/>
      <c r="U595" s="32"/>
      <c r="V595" s="32"/>
      <c r="W595" s="32"/>
      <c r="X595" s="32"/>
      <c r="Y595" s="32"/>
      <c r="Z595" s="32"/>
    </row>
    <row r="596" spans="4:26" x14ac:dyDescent="0.25">
      <c r="D596" s="31"/>
      <c r="E596" s="31"/>
      <c r="F596" s="32"/>
      <c r="G596" s="31"/>
      <c r="H596" s="31"/>
      <c r="I596" s="32"/>
      <c r="R596" s="32"/>
      <c r="S596" s="32"/>
      <c r="T596" s="32"/>
      <c r="U596" s="32"/>
      <c r="V596" s="32"/>
      <c r="W596" s="32"/>
      <c r="X596" s="32"/>
      <c r="Y596" s="32"/>
      <c r="Z596" s="32"/>
    </row>
    <row r="597" spans="4:26" x14ac:dyDescent="0.25">
      <c r="D597" s="31"/>
      <c r="E597" s="31"/>
      <c r="F597" s="32"/>
      <c r="G597" s="31"/>
      <c r="H597" s="31"/>
      <c r="I597" s="32"/>
      <c r="R597" s="32"/>
      <c r="S597" s="32"/>
      <c r="T597" s="32"/>
      <c r="U597" s="32"/>
      <c r="V597" s="32"/>
      <c r="W597" s="32"/>
      <c r="X597" s="32"/>
      <c r="Y597" s="32"/>
      <c r="Z597" s="32"/>
    </row>
    <row r="598" spans="4:26" x14ac:dyDescent="0.25">
      <c r="D598" s="31"/>
      <c r="E598" s="31"/>
      <c r="F598" s="32"/>
      <c r="G598" s="31"/>
      <c r="H598" s="31"/>
      <c r="I598" s="32"/>
      <c r="R598" s="32"/>
      <c r="S598" s="32"/>
      <c r="T598" s="32"/>
      <c r="U598" s="32"/>
      <c r="V598" s="32"/>
      <c r="W598" s="32"/>
      <c r="X598" s="32"/>
      <c r="Y598" s="32"/>
      <c r="Z598" s="32"/>
    </row>
    <row r="599" spans="4:26" x14ac:dyDescent="0.25">
      <c r="D599" s="31"/>
      <c r="E599" s="31"/>
      <c r="F599" s="32"/>
      <c r="G599" s="31"/>
      <c r="H599" s="31"/>
      <c r="I599" s="32"/>
      <c r="R599" s="32"/>
      <c r="S599" s="32"/>
      <c r="T599" s="32"/>
      <c r="U599" s="32"/>
      <c r="V599" s="32"/>
      <c r="W599" s="32"/>
      <c r="X599" s="32"/>
      <c r="Y599" s="32"/>
      <c r="Z599" s="32"/>
    </row>
    <row r="600" spans="4:26" x14ac:dyDescent="0.25">
      <c r="D600" s="31"/>
      <c r="E600" s="31"/>
      <c r="F600" s="32"/>
      <c r="G600" s="31"/>
      <c r="H600" s="31"/>
      <c r="I600" s="32"/>
      <c r="R600" s="32"/>
      <c r="S600" s="32"/>
      <c r="T600" s="32"/>
      <c r="U600" s="32"/>
      <c r="V600" s="32"/>
      <c r="W600" s="32"/>
      <c r="X600" s="32"/>
      <c r="Y600" s="32"/>
      <c r="Z600" s="32"/>
    </row>
    <row r="601" spans="4:26" x14ac:dyDescent="0.25">
      <c r="D601" s="31"/>
      <c r="E601" s="31"/>
      <c r="F601" s="32"/>
      <c r="G601" s="31"/>
      <c r="H601" s="31"/>
      <c r="I601" s="32"/>
      <c r="R601" s="32"/>
      <c r="S601" s="32"/>
      <c r="T601" s="32"/>
      <c r="U601" s="32"/>
      <c r="V601" s="32"/>
      <c r="W601" s="32"/>
      <c r="X601" s="32"/>
      <c r="Y601" s="32"/>
      <c r="Z601" s="32"/>
    </row>
    <row r="602" spans="4:26" x14ac:dyDescent="0.25">
      <c r="D602" s="31"/>
      <c r="E602" s="31"/>
      <c r="F602" s="32"/>
      <c r="G602" s="31"/>
      <c r="H602" s="31"/>
      <c r="I602" s="32"/>
      <c r="R602" s="32"/>
      <c r="S602" s="32"/>
      <c r="T602" s="32"/>
      <c r="U602" s="32"/>
      <c r="V602" s="32"/>
      <c r="W602" s="32"/>
      <c r="X602" s="32"/>
      <c r="Y602" s="32"/>
      <c r="Z602" s="32"/>
    </row>
    <row r="603" spans="4:26" x14ac:dyDescent="0.25">
      <c r="D603" s="31"/>
      <c r="E603" s="31"/>
      <c r="F603" s="32"/>
      <c r="G603" s="31"/>
      <c r="H603" s="31"/>
      <c r="I603" s="32"/>
      <c r="R603" s="32"/>
      <c r="S603" s="32"/>
      <c r="T603" s="32"/>
      <c r="U603" s="32"/>
      <c r="V603" s="32"/>
      <c r="W603" s="32"/>
      <c r="X603" s="32"/>
      <c r="Y603" s="32"/>
      <c r="Z603" s="32"/>
    </row>
    <row r="604" spans="4:26" x14ac:dyDescent="0.25">
      <c r="D604" s="31"/>
      <c r="E604" s="31"/>
      <c r="F604" s="32"/>
      <c r="G604" s="31"/>
      <c r="H604" s="31"/>
      <c r="I604" s="32"/>
      <c r="R604" s="32"/>
      <c r="S604" s="32"/>
      <c r="T604" s="32"/>
      <c r="U604" s="32"/>
      <c r="V604" s="32"/>
      <c r="W604" s="32"/>
      <c r="X604" s="32"/>
      <c r="Y604" s="32"/>
      <c r="Z604" s="32"/>
    </row>
    <row r="605" spans="4:26" x14ac:dyDescent="0.25">
      <c r="D605" s="31"/>
      <c r="E605" s="31"/>
      <c r="F605" s="32"/>
      <c r="G605" s="31"/>
      <c r="H605" s="31"/>
      <c r="I605" s="32"/>
      <c r="R605" s="32"/>
      <c r="S605" s="32"/>
      <c r="T605" s="32"/>
      <c r="U605" s="32"/>
      <c r="V605" s="32"/>
      <c r="W605" s="32"/>
      <c r="X605" s="32"/>
      <c r="Y605" s="32"/>
      <c r="Z605" s="32"/>
    </row>
    <row r="606" spans="4:26" x14ac:dyDescent="0.25">
      <c r="D606" s="31"/>
      <c r="E606" s="31"/>
      <c r="F606" s="32"/>
      <c r="G606" s="31"/>
      <c r="H606" s="31"/>
      <c r="I606" s="32"/>
      <c r="R606" s="32"/>
      <c r="S606" s="32"/>
      <c r="T606" s="32"/>
      <c r="U606" s="32"/>
      <c r="V606" s="32"/>
      <c r="W606" s="32"/>
      <c r="X606" s="32"/>
      <c r="Y606" s="32"/>
      <c r="Z606" s="32"/>
    </row>
    <row r="607" spans="4:26" x14ac:dyDescent="0.25">
      <c r="D607" s="31"/>
      <c r="E607" s="31"/>
      <c r="F607" s="32"/>
      <c r="G607" s="31"/>
      <c r="H607" s="31"/>
      <c r="I607" s="32"/>
      <c r="R607" s="32"/>
      <c r="S607" s="32"/>
      <c r="T607" s="32"/>
      <c r="U607" s="32"/>
      <c r="V607" s="32"/>
      <c r="W607" s="32"/>
      <c r="X607" s="32"/>
      <c r="Y607" s="32"/>
      <c r="Z607" s="32"/>
    </row>
    <row r="608" spans="4:26" x14ac:dyDescent="0.25">
      <c r="D608" s="31"/>
      <c r="E608" s="31"/>
      <c r="F608" s="32"/>
      <c r="G608" s="31"/>
      <c r="H608" s="31"/>
      <c r="I608" s="32"/>
      <c r="R608" s="32"/>
      <c r="S608" s="32"/>
      <c r="T608" s="32"/>
      <c r="U608" s="32"/>
      <c r="V608" s="32"/>
      <c r="W608" s="32"/>
      <c r="X608" s="32"/>
      <c r="Y608" s="32"/>
      <c r="Z608" s="32"/>
    </row>
    <row r="609" spans="4:26" x14ac:dyDescent="0.25">
      <c r="D609" s="31"/>
      <c r="E609" s="31"/>
      <c r="F609" s="32"/>
      <c r="G609" s="31"/>
      <c r="H609" s="31"/>
      <c r="I609" s="32"/>
      <c r="R609" s="32"/>
      <c r="S609" s="32"/>
      <c r="T609" s="32"/>
      <c r="U609" s="32"/>
      <c r="V609" s="32"/>
      <c r="W609" s="32"/>
      <c r="X609" s="32"/>
      <c r="Y609" s="32"/>
      <c r="Z609" s="32"/>
    </row>
    <row r="610" spans="4:26" x14ac:dyDescent="0.25">
      <c r="D610" s="31"/>
      <c r="E610" s="31"/>
      <c r="F610" s="32"/>
      <c r="G610" s="31"/>
      <c r="H610" s="31"/>
      <c r="I610" s="32"/>
      <c r="R610" s="32"/>
      <c r="S610" s="32"/>
      <c r="T610" s="32"/>
      <c r="U610" s="32"/>
      <c r="V610" s="32"/>
      <c r="W610" s="32"/>
      <c r="X610" s="32"/>
      <c r="Y610" s="32"/>
      <c r="Z610" s="32"/>
    </row>
    <row r="611" spans="4:26" x14ac:dyDescent="0.25">
      <c r="D611" s="31"/>
      <c r="E611" s="31"/>
      <c r="F611" s="32"/>
      <c r="G611" s="31"/>
      <c r="H611" s="31"/>
      <c r="I611" s="32"/>
      <c r="R611" s="32"/>
      <c r="S611" s="32"/>
      <c r="T611" s="32"/>
      <c r="U611" s="32"/>
      <c r="V611" s="32"/>
      <c r="W611" s="32"/>
      <c r="X611" s="32"/>
      <c r="Y611" s="32"/>
      <c r="Z611" s="32"/>
    </row>
    <row r="612" spans="4:26" x14ac:dyDescent="0.25">
      <c r="D612" s="31"/>
      <c r="E612" s="31"/>
      <c r="F612" s="32"/>
      <c r="G612" s="31"/>
      <c r="H612" s="31"/>
      <c r="I612" s="32"/>
      <c r="R612" s="32"/>
      <c r="S612" s="32"/>
      <c r="T612" s="32"/>
      <c r="U612" s="32"/>
      <c r="V612" s="32"/>
      <c r="W612" s="32"/>
      <c r="X612" s="32"/>
      <c r="Y612" s="32"/>
      <c r="Z612" s="32"/>
    </row>
    <row r="613" spans="4:26" x14ac:dyDescent="0.25">
      <c r="D613" s="31"/>
      <c r="E613" s="31"/>
      <c r="F613" s="32"/>
      <c r="G613" s="31"/>
      <c r="H613" s="31"/>
      <c r="I613" s="32"/>
      <c r="R613" s="32"/>
      <c r="S613" s="32"/>
      <c r="T613" s="32"/>
      <c r="U613" s="32"/>
      <c r="V613" s="32"/>
      <c r="W613" s="32"/>
      <c r="X613" s="32"/>
      <c r="Y613" s="32"/>
      <c r="Z613" s="32"/>
    </row>
    <row r="614" spans="4:26" x14ac:dyDescent="0.25">
      <c r="D614" s="31"/>
      <c r="E614" s="31"/>
      <c r="F614" s="32"/>
      <c r="G614" s="31"/>
      <c r="H614" s="31"/>
      <c r="I614" s="32"/>
      <c r="R614" s="32"/>
      <c r="S614" s="32"/>
      <c r="T614" s="32"/>
      <c r="U614" s="32"/>
      <c r="V614" s="32"/>
      <c r="W614" s="32"/>
      <c r="X614" s="32"/>
      <c r="Y614" s="32"/>
      <c r="Z614" s="32"/>
    </row>
    <row r="615" spans="4:26" x14ac:dyDescent="0.25">
      <c r="D615" s="31"/>
      <c r="E615" s="31"/>
      <c r="F615" s="32"/>
      <c r="G615" s="31"/>
      <c r="H615" s="31"/>
      <c r="I615" s="32"/>
      <c r="R615" s="32"/>
      <c r="S615" s="32"/>
      <c r="T615" s="32"/>
      <c r="U615" s="32"/>
      <c r="V615" s="32"/>
      <c r="W615" s="32"/>
      <c r="X615" s="32"/>
      <c r="Y615" s="32"/>
      <c r="Z615" s="32"/>
    </row>
    <row r="616" spans="4:26" x14ac:dyDescent="0.25">
      <c r="D616" s="31"/>
      <c r="E616" s="31"/>
      <c r="F616" s="32"/>
      <c r="G616" s="31"/>
      <c r="H616" s="31"/>
      <c r="I616" s="32"/>
      <c r="R616" s="32"/>
      <c r="S616" s="32"/>
      <c r="T616" s="32"/>
      <c r="U616" s="32"/>
      <c r="V616" s="32"/>
      <c r="W616" s="32"/>
      <c r="X616" s="32"/>
      <c r="Y616" s="32"/>
      <c r="Z616" s="32"/>
    </row>
    <row r="617" spans="4:26" x14ac:dyDescent="0.25">
      <c r="D617" s="31"/>
      <c r="E617" s="31"/>
      <c r="F617" s="32"/>
      <c r="G617" s="31"/>
      <c r="H617" s="31"/>
      <c r="I617" s="32"/>
      <c r="R617" s="32"/>
      <c r="S617" s="32"/>
      <c r="T617" s="32"/>
      <c r="U617" s="32"/>
      <c r="V617" s="32"/>
      <c r="W617" s="32"/>
      <c r="X617" s="32"/>
      <c r="Y617" s="32"/>
      <c r="Z617" s="32"/>
    </row>
    <row r="618" spans="4:26" x14ac:dyDescent="0.25">
      <c r="D618" s="31"/>
      <c r="E618" s="31"/>
      <c r="F618" s="32"/>
      <c r="G618" s="31"/>
      <c r="H618" s="31"/>
      <c r="I618" s="32"/>
      <c r="R618" s="32"/>
      <c r="S618" s="32"/>
      <c r="T618" s="32"/>
      <c r="U618" s="32"/>
      <c r="V618" s="32"/>
      <c r="W618" s="32"/>
      <c r="X618" s="32"/>
      <c r="Y618" s="32"/>
      <c r="Z618" s="32"/>
    </row>
    <row r="619" spans="4:26" x14ac:dyDescent="0.25">
      <c r="D619" s="31"/>
      <c r="E619" s="31"/>
      <c r="F619" s="32"/>
      <c r="G619" s="31"/>
      <c r="H619" s="31"/>
      <c r="I619" s="32"/>
      <c r="R619" s="32"/>
      <c r="S619" s="32"/>
      <c r="T619" s="32"/>
      <c r="U619" s="32"/>
      <c r="V619" s="32"/>
      <c r="W619" s="32"/>
      <c r="X619" s="32"/>
      <c r="Y619" s="32"/>
      <c r="Z619" s="32"/>
    </row>
    <row r="620" spans="4:26" x14ac:dyDescent="0.25">
      <c r="D620" s="31"/>
      <c r="E620" s="31"/>
      <c r="F620" s="32"/>
      <c r="G620" s="31"/>
      <c r="H620" s="31"/>
      <c r="I620" s="32"/>
      <c r="R620" s="32"/>
      <c r="S620" s="32"/>
      <c r="T620" s="32"/>
      <c r="U620" s="32"/>
      <c r="V620" s="32"/>
      <c r="W620" s="32"/>
      <c r="X620" s="32"/>
      <c r="Y620" s="32"/>
      <c r="Z620" s="32"/>
    </row>
    <row r="621" spans="4:26" x14ac:dyDescent="0.25">
      <c r="D621" s="31"/>
      <c r="E621" s="31"/>
      <c r="F621" s="32"/>
      <c r="G621" s="31"/>
      <c r="H621" s="31"/>
      <c r="I621" s="32"/>
      <c r="R621" s="32"/>
      <c r="S621" s="32"/>
      <c r="T621" s="32"/>
      <c r="U621" s="32"/>
      <c r="V621" s="32"/>
      <c r="W621" s="32"/>
      <c r="X621" s="32"/>
      <c r="Y621" s="32"/>
      <c r="Z621" s="32"/>
    </row>
    <row r="622" spans="4:26" x14ac:dyDescent="0.25">
      <c r="D622" s="31"/>
      <c r="E622" s="31"/>
      <c r="F622" s="32"/>
      <c r="G622" s="31"/>
      <c r="H622" s="31"/>
      <c r="I622" s="32"/>
      <c r="R622" s="32"/>
      <c r="S622" s="32"/>
      <c r="T622" s="32"/>
      <c r="U622" s="32"/>
      <c r="V622" s="32"/>
      <c r="W622" s="32"/>
      <c r="X622" s="32"/>
      <c r="Y622" s="32"/>
      <c r="Z622" s="32"/>
    </row>
    <row r="623" spans="4:26" x14ac:dyDescent="0.25">
      <c r="D623" s="31"/>
      <c r="E623" s="31"/>
      <c r="F623" s="32"/>
      <c r="G623" s="31"/>
      <c r="H623" s="31"/>
      <c r="I623" s="32"/>
      <c r="R623" s="32"/>
      <c r="S623" s="32"/>
      <c r="T623" s="32"/>
      <c r="U623" s="32"/>
      <c r="V623" s="32"/>
      <c r="W623" s="32"/>
      <c r="X623" s="32"/>
      <c r="Y623" s="32"/>
      <c r="Z623" s="32"/>
    </row>
    <row r="624" spans="4:26" x14ac:dyDescent="0.25">
      <c r="D624" s="31"/>
      <c r="E624" s="31"/>
      <c r="F624" s="32"/>
      <c r="G624" s="31"/>
      <c r="H624" s="31"/>
      <c r="I624" s="32"/>
      <c r="R624" s="32"/>
      <c r="S624" s="32"/>
      <c r="T624" s="32"/>
      <c r="U624" s="32"/>
      <c r="V624" s="32"/>
      <c r="W624" s="32"/>
      <c r="X624" s="32"/>
      <c r="Y624" s="32"/>
      <c r="Z624" s="32"/>
    </row>
    <row r="625" spans="4:26" x14ac:dyDescent="0.25">
      <c r="D625" s="31"/>
      <c r="E625" s="31"/>
      <c r="F625" s="32"/>
      <c r="G625" s="31"/>
      <c r="H625" s="31"/>
      <c r="I625" s="32"/>
      <c r="R625" s="32"/>
      <c r="S625" s="32"/>
      <c r="T625" s="32"/>
      <c r="U625" s="32"/>
      <c r="V625" s="32"/>
      <c r="W625" s="32"/>
      <c r="X625" s="32"/>
      <c r="Y625" s="32"/>
      <c r="Z625" s="32"/>
    </row>
    <row r="626" spans="4:26" x14ac:dyDescent="0.25">
      <c r="D626" s="31"/>
      <c r="E626" s="31"/>
      <c r="F626" s="32"/>
      <c r="G626" s="31"/>
      <c r="H626" s="31"/>
      <c r="I626" s="32"/>
      <c r="R626" s="32"/>
      <c r="S626" s="32"/>
      <c r="T626" s="32"/>
      <c r="U626" s="32"/>
      <c r="V626" s="32"/>
      <c r="W626" s="32"/>
      <c r="X626" s="32"/>
      <c r="Y626" s="32"/>
      <c r="Z626" s="32"/>
    </row>
    <row r="627" spans="4:26" x14ac:dyDescent="0.25">
      <c r="D627" s="31"/>
      <c r="E627" s="31"/>
      <c r="F627" s="32"/>
      <c r="G627" s="31"/>
      <c r="H627" s="31"/>
      <c r="I627" s="32"/>
      <c r="R627" s="32"/>
      <c r="S627" s="32"/>
      <c r="T627" s="32"/>
      <c r="U627" s="32"/>
      <c r="V627" s="32"/>
      <c r="W627" s="32"/>
      <c r="X627" s="32"/>
      <c r="Y627" s="32"/>
      <c r="Z627" s="32"/>
    </row>
    <row r="628" spans="4:26" x14ac:dyDescent="0.25">
      <c r="D628" s="31"/>
      <c r="E628" s="31"/>
      <c r="F628" s="32"/>
      <c r="G628" s="31"/>
      <c r="H628" s="31"/>
      <c r="I628" s="32"/>
      <c r="R628" s="32"/>
      <c r="S628" s="32"/>
      <c r="T628" s="32"/>
      <c r="U628" s="32"/>
      <c r="V628" s="32"/>
      <c r="W628" s="32"/>
      <c r="X628" s="32"/>
      <c r="Y628" s="32"/>
      <c r="Z628" s="32"/>
    </row>
    <row r="629" spans="4:26" x14ac:dyDescent="0.25">
      <c r="D629" s="31"/>
      <c r="E629" s="31"/>
      <c r="F629" s="32"/>
      <c r="G629" s="31"/>
      <c r="H629" s="31"/>
      <c r="I629" s="32"/>
      <c r="R629" s="32"/>
      <c r="S629" s="32"/>
      <c r="T629" s="32"/>
      <c r="U629" s="32"/>
      <c r="V629" s="32"/>
      <c r="W629" s="32"/>
      <c r="X629" s="32"/>
      <c r="Y629" s="32"/>
      <c r="Z629" s="32"/>
    </row>
    <row r="630" spans="4:26" x14ac:dyDescent="0.25">
      <c r="D630" s="31"/>
      <c r="E630" s="31"/>
      <c r="F630" s="32"/>
      <c r="G630" s="31"/>
      <c r="H630" s="31"/>
      <c r="I630" s="32"/>
      <c r="R630" s="32"/>
      <c r="S630" s="32"/>
      <c r="T630" s="32"/>
      <c r="U630" s="32"/>
      <c r="V630" s="32"/>
      <c r="W630" s="32"/>
      <c r="X630" s="32"/>
      <c r="Y630" s="32"/>
      <c r="Z630" s="32"/>
    </row>
    <row r="631" spans="4:26" x14ac:dyDescent="0.25">
      <c r="D631" s="31"/>
      <c r="E631" s="31"/>
      <c r="F631" s="32"/>
      <c r="G631" s="31"/>
      <c r="H631" s="31"/>
      <c r="I631" s="32"/>
      <c r="R631" s="32"/>
      <c r="S631" s="32"/>
      <c r="T631" s="32"/>
      <c r="U631" s="32"/>
      <c r="V631" s="32"/>
      <c r="W631" s="32"/>
      <c r="X631" s="32"/>
      <c r="Y631" s="32"/>
      <c r="Z631" s="32"/>
    </row>
    <row r="632" spans="4:26" x14ac:dyDescent="0.25">
      <c r="D632" s="31"/>
      <c r="E632" s="31"/>
      <c r="F632" s="32"/>
      <c r="G632" s="31"/>
      <c r="H632" s="31"/>
      <c r="I632" s="32"/>
      <c r="R632" s="32"/>
      <c r="S632" s="32"/>
      <c r="T632" s="32"/>
      <c r="U632" s="32"/>
      <c r="V632" s="32"/>
      <c r="W632" s="32"/>
      <c r="X632" s="32"/>
      <c r="Y632" s="32"/>
      <c r="Z632" s="32"/>
    </row>
    <row r="633" spans="4:26" x14ac:dyDescent="0.25">
      <c r="D633" s="31"/>
      <c r="E633" s="31"/>
      <c r="F633" s="32"/>
      <c r="G633" s="31"/>
      <c r="H633" s="31"/>
      <c r="I633" s="32"/>
      <c r="R633" s="32"/>
      <c r="S633" s="32"/>
      <c r="T633" s="32"/>
      <c r="U633" s="32"/>
      <c r="V633" s="32"/>
      <c r="W633" s="32"/>
      <c r="X633" s="32"/>
      <c r="Y633" s="32"/>
      <c r="Z633" s="32"/>
    </row>
    <row r="634" spans="4:26" x14ac:dyDescent="0.25">
      <c r="D634" s="31"/>
      <c r="E634" s="31"/>
      <c r="F634" s="32"/>
      <c r="G634" s="31"/>
      <c r="H634" s="31"/>
      <c r="I634" s="32"/>
      <c r="R634" s="32"/>
      <c r="S634" s="32"/>
      <c r="T634" s="32"/>
      <c r="U634" s="32"/>
      <c r="V634" s="32"/>
      <c r="W634" s="32"/>
      <c r="X634" s="32"/>
      <c r="Y634" s="32"/>
      <c r="Z634" s="32"/>
    </row>
    <row r="635" spans="4:26" x14ac:dyDescent="0.25">
      <c r="D635" s="31"/>
      <c r="E635" s="31"/>
      <c r="F635" s="32"/>
      <c r="G635" s="31"/>
      <c r="H635" s="31"/>
      <c r="I635" s="32"/>
      <c r="R635" s="32"/>
      <c r="S635" s="32"/>
      <c r="T635" s="32"/>
      <c r="U635" s="32"/>
      <c r="V635" s="32"/>
      <c r="W635" s="32"/>
      <c r="X635" s="32"/>
      <c r="Y635" s="32"/>
      <c r="Z635" s="32"/>
    </row>
    <row r="636" spans="4:26" x14ac:dyDescent="0.25">
      <c r="D636" s="31"/>
      <c r="E636" s="31"/>
      <c r="F636" s="32"/>
      <c r="G636" s="31"/>
      <c r="H636" s="31"/>
      <c r="I636" s="32"/>
      <c r="R636" s="32"/>
      <c r="S636" s="32"/>
      <c r="T636" s="32"/>
      <c r="U636" s="32"/>
      <c r="V636" s="32"/>
      <c r="W636" s="32"/>
      <c r="X636" s="32"/>
      <c r="Y636" s="32"/>
      <c r="Z636" s="32"/>
    </row>
    <row r="637" spans="4:26" x14ac:dyDescent="0.25">
      <c r="D637" s="31"/>
      <c r="E637" s="31"/>
      <c r="F637" s="32"/>
      <c r="G637" s="31"/>
      <c r="H637" s="31"/>
      <c r="I637" s="32"/>
      <c r="R637" s="32"/>
      <c r="S637" s="32"/>
      <c r="T637" s="32"/>
      <c r="U637" s="32"/>
      <c r="V637" s="32"/>
      <c r="W637" s="32"/>
      <c r="X637" s="32"/>
      <c r="Y637" s="32"/>
      <c r="Z637" s="32"/>
    </row>
    <row r="638" spans="4:26" x14ac:dyDescent="0.25">
      <c r="D638" s="31"/>
      <c r="E638" s="31"/>
      <c r="F638" s="32"/>
      <c r="G638" s="31"/>
      <c r="H638" s="31"/>
      <c r="I638" s="32"/>
      <c r="R638" s="32"/>
      <c r="S638" s="32"/>
      <c r="T638" s="32"/>
      <c r="U638" s="32"/>
      <c r="V638" s="32"/>
      <c r="W638" s="32"/>
      <c r="X638" s="32"/>
      <c r="Y638" s="32"/>
      <c r="Z638" s="32"/>
    </row>
    <row r="639" spans="4:26" x14ac:dyDescent="0.25">
      <c r="D639" s="31"/>
      <c r="E639" s="31"/>
      <c r="F639" s="32"/>
      <c r="G639" s="31"/>
      <c r="H639" s="31"/>
      <c r="I639" s="32"/>
      <c r="R639" s="32"/>
      <c r="S639" s="32"/>
      <c r="T639" s="32"/>
      <c r="U639" s="32"/>
      <c r="V639" s="32"/>
      <c r="W639" s="32"/>
      <c r="X639" s="32"/>
      <c r="Y639" s="32"/>
      <c r="Z639" s="32"/>
    </row>
    <row r="640" spans="4:26" x14ac:dyDescent="0.25">
      <c r="D640" s="31"/>
      <c r="E640" s="31"/>
      <c r="F640" s="32"/>
      <c r="G640" s="31"/>
      <c r="H640" s="31"/>
      <c r="I640" s="32"/>
      <c r="R640" s="32"/>
      <c r="S640" s="32"/>
      <c r="T640" s="32"/>
      <c r="U640" s="32"/>
      <c r="V640" s="32"/>
      <c r="W640" s="32"/>
      <c r="X640" s="32"/>
      <c r="Y640" s="32"/>
      <c r="Z640" s="32"/>
    </row>
    <row r="641" spans="4:26" x14ac:dyDescent="0.25">
      <c r="D641" s="31"/>
      <c r="E641" s="31"/>
      <c r="F641" s="32"/>
      <c r="G641" s="31"/>
      <c r="H641" s="31"/>
      <c r="I641" s="32"/>
      <c r="R641" s="32"/>
      <c r="S641" s="32"/>
      <c r="T641" s="32"/>
      <c r="U641" s="32"/>
      <c r="V641" s="32"/>
      <c r="W641" s="32"/>
      <c r="X641" s="32"/>
      <c r="Y641" s="32"/>
      <c r="Z641" s="32"/>
    </row>
    <row r="642" spans="4:26" x14ac:dyDescent="0.25">
      <c r="D642" s="31"/>
      <c r="E642" s="31"/>
      <c r="F642" s="32"/>
      <c r="G642" s="31"/>
      <c r="H642" s="31"/>
      <c r="I642" s="32"/>
      <c r="R642" s="32"/>
      <c r="S642" s="32"/>
      <c r="T642" s="32"/>
      <c r="U642" s="32"/>
      <c r="V642" s="32"/>
      <c r="W642" s="32"/>
      <c r="X642" s="32"/>
      <c r="Y642" s="32"/>
      <c r="Z642" s="32"/>
    </row>
    <row r="643" spans="4:26" x14ac:dyDescent="0.25">
      <c r="D643" s="31"/>
      <c r="E643" s="31"/>
      <c r="F643" s="32"/>
      <c r="G643" s="31"/>
      <c r="H643" s="31"/>
      <c r="I643" s="32"/>
      <c r="R643" s="32"/>
      <c r="S643" s="32"/>
      <c r="T643" s="32"/>
      <c r="U643" s="32"/>
      <c r="V643" s="32"/>
      <c r="W643" s="32"/>
      <c r="X643" s="32"/>
      <c r="Y643" s="32"/>
      <c r="Z643" s="32"/>
    </row>
    <row r="644" spans="4:26" x14ac:dyDescent="0.25">
      <c r="D644" s="31"/>
      <c r="E644" s="31"/>
      <c r="F644" s="32"/>
      <c r="G644" s="31"/>
      <c r="H644" s="31"/>
      <c r="I644" s="32"/>
      <c r="R644" s="32"/>
      <c r="S644" s="32"/>
      <c r="T644" s="32"/>
      <c r="U644" s="32"/>
      <c r="V644" s="32"/>
      <c r="W644" s="32"/>
      <c r="X644" s="32"/>
      <c r="Y644" s="32"/>
      <c r="Z644" s="32"/>
    </row>
    <row r="645" spans="4:26" x14ac:dyDescent="0.25">
      <c r="D645" s="31"/>
      <c r="E645" s="31"/>
      <c r="F645" s="32"/>
      <c r="G645" s="31"/>
      <c r="H645" s="31"/>
      <c r="I645" s="32"/>
      <c r="R645" s="32"/>
      <c r="S645" s="32"/>
      <c r="T645" s="32"/>
      <c r="U645" s="32"/>
      <c r="V645" s="32"/>
      <c r="W645" s="32"/>
      <c r="X645" s="32"/>
      <c r="Y645" s="32"/>
      <c r="Z645" s="32"/>
    </row>
    <row r="646" spans="4:26" x14ac:dyDescent="0.25">
      <c r="D646" s="31"/>
      <c r="E646" s="31"/>
      <c r="F646" s="32"/>
      <c r="G646" s="31"/>
      <c r="H646" s="31"/>
      <c r="I646" s="32"/>
      <c r="R646" s="32"/>
      <c r="S646" s="32"/>
      <c r="T646" s="32"/>
      <c r="U646" s="32"/>
      <c r="V646" s="32"/>
      <c r="W646" s="32"/>
      <c r="X646" s="32"/>
      <c r="Y646" s="32"/>
      <c r="Z646" s="32"/>
    </row>
    <row r="647" spans="4:26" x14ac:dyDescent="0.25">
      <c r="D647" s="31"/>
      <c r="E647" s="31"/>
      <c r="F647" s="32"/>
      <c r="G647" s="31"/>
      <c r="H647" s="31"/>
      <c r="I647" s="32"/>
      <c r="R647" s="32"/>
      <c r="S647" s="32"/>
      <c r="T647" s="32"/>
      <c r="U647" s="32"/>
      <c r="V647" s="32"/>
      <c r="W647" s="32"/>
      <c r="X647" s="32"/>
      <c r="Y647" s="32"/>
      <c r="Z647" s="32"/>
    </row>
    <row r="648" spans="4:26" x14ac:dyDescent="0.25">
      <c r="D648" s="31"/>
      <c r="E648" s="31"/>
      <c r="F648" s="32"/>
      <c r="G648" s="31"/>
      <c r="H648" s="31"/>
      <c r="I648" s="32"/>
      <c r="R648" s="32"/>
      <c r="S648" s="32"/>
      <c r="T648" s="32"/>
      <c r="U648" s="32"/>
      <c r="V648" s="32"/>
      <c r="W648" s="32"/>
      <c r="X648" s="32"/>
      <c r="Y648" s="32"/>
      <c r="Z648" s="32"/>
    </row>
    <row r="649" spans="4:26" x14ac:dyDescent="0.25">
      <c r="D649" s="31"/>
      <c r="E649" s="31"/>
      <c r="F649" s="32"/>
      <c r="G649" s="31"/>
      <c r="H649" s="31"/>
      <c r="I649" s="32"/>
      <c r="R649" s="32"/>
      <c r="S649" s="32"/>
      <c r="T649" s="32"/>
      <c r="U649" s="32"/>
      <c r="V649" s="32"/>
      <c r="W649" s="32"/>
      <c r="X649" s="32"/>
      <c r="Y649" s="32"/>
      <c r="Z649" s="32"/>
    </row>
    <row r="650" spans="4:26" x14ac:dyDescent="0.25">
      <c r="D650" s="31"/>
      <c r="E650" s="31"/>
      <c r="F650" s="32"/>
      <c r="G650" s="31"/>
      <c r="H650" s="31"/>
      <c r="I650" s="32"/>
      <c r="R650" s="32"/>
      <c r="S650" s="32"/>
      <c r="T650" s="32"/>
      <c r="U650" s="32"/>
      <c r="V650" s="32"/>
      <c r="W650" s="32"/>
      <c r="X650" s="32"/>
      <c r="Y650" s="32"/>
      <c r="Z650" s="32"/>
    </row>
    <row r="651" spans="4:26" x14ac:dyDescent="0.25">
      <c r="D651" s="31"/>
      <c r="E651" s="31"/>
      <c r="F651" s="32"/>
      <c r="G651" s="31"/>
      <c r="H651" s="31"/>
      <c r="I651" s="32"/>
      <c r="R651" s="32"/>
      <c r="S651" s="32"/>
      <c r="T651" s="32"/>
      <c r="U651" s="32"/>
      <c r="V651" s="32"/>
      <c r="W651" s="32"/>
      <c r="X651" s="32"/>
      <c r="Y651" s="32"/>
      <c r="Z651" s="32"/>
    </row>
    <row r="652" spans="4:26" x14ac:dyDescent="0.25">
      <c r="D652" s="31"/>
      <c r="E652" s="31"/>
      <c r="F652" s="32"/>
      <c r="G652" s="31"/>
      <c r="H652" s="31"/>
      <c r="I652" s="32"/>
      <c r="R652" s="32"/>
      <c r="S652" s="32"/>
      <c r="T652" s="32"/>
      <c r="U652" s="32"/>
      <c r="V652" s="32"/>
      <c r="W652" s="32"/>
      <c r="X652" s="32"/>
      <c r="Y652" s="32"/>
      <c r="Z652" s="32"/>
    </row>
    <row r="653" spans="4:26" x14ac:dyDescent="0.25">
      <c r="D653" s="31"/>
      <c r="E653" s="31"/>
      <c r="F653" s="32"/>
      <c r="G653" s="31"/>
      <c r="H653" s="31"/>
      <c r="I653" s="32"/>
      <c r="R653" s="32"/>
      <c r="S653" s="32"/>
      <c r="T653" s="32"/>
      <c r="U653" s="32"/>
      <c r="V653" s="32"/>
      <c r="W653" s="32"/>
      <c r="X653" s="32"/>
      <c r="Y653" s="32"/>
      <c r="Z653" s="32"/>
    </row>
    <row r="654" spans="4:26" x14ac:dyDescent="0.25">
      <c r="D654" s="31"/>
      <c r="E654" s="31"/>
      <c r="F654" s="32"/>
      <c r="G654" s="31"/>
      <c r="H654" s="31"/>
      <c r="I654" s="32"/>
      <c r="R654" s="32"/>
      <c r="S654" s="32"/>
      <c r="T654" s="32"/>
      <c r="U654" s="32"/>
      <c r="V654" s="32"/>
      <c r="W654" s="32"/>
      <c r="X654" s="32"/>
      <c r="Y654" s="32"/>
      <c r="Z654" s="32"/>
    </row>
    <row r="655" spans="4:26" x14ac:dyDescent="0.25">
      <c r="D655" s="31"/>
      <c r="E655" s="31"/>
      <c r="F655" s="32"/>
      <c r="G655" s="31"/>
      <c r="H655" s="31"/>
      <c r="I655" s="32"/>
      <c r="R655" s="32"/>
      <c r="S655" s="32"/>
      <c r="T655" s="32"/>
      <c r="U655" s="32"/>
      <c r="V655" s="32"/>
      <c r="W655" s="32"/>
      <c r="X655" s="32"/>
      <c r="Y655" s="32"/>
      <c r="Z655" s="32"/>
    </row>
    <row r="656" spans="4:26" x14ac:dyDescent="0.25">
      <c r="D656" s="31"/>
      <c r="E656" s="31"/>
      <c r="F656" s="32"/>
      <c r="G656" s="31"/>
      <c r="H656" s="31"/>
      <c r="I656" s="32"/>
      <c r="R656" s="32"/>
      <c r="S656" s="32"/>
      <c r="T656" s="32"/>
      <c r="U656" s="32"/>
      <c r="V656" s="32"/>
      <c r="W656" s="32"/>
      <c r="X656" s="32"/>
      <c r="Y656" s="32"/>
      <c r="Z656" s="32"/>
    </row>
    <row r="657" spans="4:26" x14ac:dyDescent="0.25">
      <c r="D657" s="31"/>
      <c r="E657" s="31"/>
      <c r="F657" s="32"/>
      <c r="G657" s="31"/>
      <c r="H657" s="31"/>
      <c r="I657" s="32"/>
      <c r="R657" s="32"/>
      <c r="S657" s="32"/>
      <c r="T657" s="32"/>
      <c r="U657" s="32"/>
      <c r="V657" s="32"/>
      <c r="W657" s="32"/>
      <c r="X657" s="32"/>
      <c r="Y657" s="32"/>
      <c r="Z657" s="32"/>
    </row>
    <row r="658" spans="4:26" x14ac:dyDescent="0.25">
      <c r="D658" s="31"/>
      <c r="E658" s="31"/>
      <c r="F658" s="32"/>
      <c r="G658" s="31"/>
      <c r="H658" s="31"/>
      <c r="I658" s="32"/>
      <c r="R658" s="32"/>
      <c r="S658" s="32"/>
      <c r="T658" s="32"/>
      <c r="U658" s="32"/>
      <c r="V658" s="32"/>
      <c r="W658" s="32"/>
      <c r="X658" s="32"/>
      <c r="Y658" s="32"/>
      <c r="Z658" s="32"/>
    </row>
    <row r="659" spans="4:26" x14ac:dyDescent="0.25">
      <c r="D659" s="31"/>
      <c r="E659" s="31"/>
      <c r="F659" s="32"/>
      <c r="G659" s="31"/>
      <c r="H659" s="31"/>
      <c r="I659" s="32"/>
      <c r="R659" s="32"/>
      <c r="S659" s="32"/>
      <c r="T659" s="32"/>
      <c r="U659" s="32"/>
      <c r="V659" s="32"/>
      <c r="W659" s="32"/>
      <c r="X659" s="32"/>
      <c r="Y659" s="32"/>
      <c r="Z659" s="32"/>
    </row>
    <row r="660" spans="4:26" x14ac:dyDescent="0.25">
      <c r="D660" s="31"/>
      <c r="E660" s="31"/>
      <c r="F660" s="32"/>
      <c r="G660" s="31"/>
      <c r="H660" s="31"/>
      <c r="I660" s="32"/>
      <c r="R660" s="32"/>
      <c r="S660" s="32"/>
      <c r="T660" s="32"/>
      <c r="U660" s="32"/>
      <c r="V660" s="32"/>
      <c r="W660" s="32"/>
      <c r="X660" s="32"/>
      <c r="Y660" s="32"/>
      <c r="Z660" s="32"/>
    </row>
    <row r="661" spans="4:26" x14ac:dyDescent="0.25">
      <c r="D661" s="31"/>
      <c r="E661" s="31"/>
      <c r="F661" s="32"/>
      <c r="G661" s="31"/>
      <c r="H661" s="31"/>
      <c r="I661" s="32"/>
      <c r="R661" s="32"/>
      <c r="S661" s="32"/>
      <c r="T661" s="32"/>
      <c r="U661" s="32"/>
      <c r="V661" s="32"/>
      <c r="W661" s="32"/>
      <c r="X661" s="32"/>
      <c r="Y661" s="32"/>
      <c r="Z661" s="32"/>
    </row>
    <row r="662" spans="4:26" x14ac:dyDescent="0.25">
      <c r="D662" s="31"/>
      <c r="E662" s="31"/>
      <c r="F662" s="32"/>
      <c r="G662" s="31"/>
      <c r="H662" s="31"/>
      <c r="I662" s="32"/>
      <c r="R662" s="32"/>
      <c r="S662" s="32"/>
      <c r="T662" s="32"/>
      <c r="U662" s="32"/>
      <c r="V662" s="32"/>
      <c r="W662" s="32"/>
      <c r="X662" s="32"/>
      <c r="Y662" s="32"/>
      <c r="Z662" s="32"/>
    </row>
    <row r="663" spans="4:26" x14ac:dyDescent="0.25">
      <c r="D663" s="31"/>
      <c r="E663" s="31"/>
      <c r="F663" s="32"/>
      <c r="G663" s="31"/>
      <c r="H663" s="31"/>
      <c r="I663" s="32"/>
      <c r="R663" s="32"/>
      <c r="S663" s="32"/>
      <c r="T663" s="32"/>
      <c r="U663" s="32"/>
      <c r="V663" s="32"/>
      <c r="W663" s="32"/>
      <c r="X663" s="32"/>
      <c r="Y663" s="32"/>
      <c r="Z663" s="32"/>
    </row>
    <row r="664" spans="4:26" x14ac:dyDescent="0.25">
      <c r="D664" s="31"/>
      <c r="E664" s="31"/>
      <c r="F664" s="32"/>
      <c r="G664" s="31"/>
      <c r="H664" s="31"/>
      <c r="I664" s="32"/>
      <c r="R664" s="32"/>
      <c r="S664" s="32"/>
      <c r="T664" s="32"/>
      <c r="U664" s="32"/>
      <c r="V664" s="32"/>
      <c r="W664" s="32"/>
      <c r="X664" s="32"/>
      <c r="Y664" s="32"/>
      <c r="Z664" s="32"/>
    </row>
    <row r="665" spans="4:26" x14ac:dyDescent="0.25">
      <c r="D665" s="31"/>
      <c r="E665" s="31"/>
      <c r="F665" s="32"/>
      <c r="G665" s="31"/>
      <c r="H665" s="31"/>
      <c r="I665" s="32"/>
      <c r="R665" s="32"/>
      <c r="S665" s="32"/>
      <c r="T665" s="32"/>
      <c r="U665" s="32"/>
      <c r="V665" s="32"/>
      <c r="W665" s="32"/>
      <c r="X665" s="32"/>
      <c r="Y665" s="32"/>
      <c r="Z665" s="32"/>
    </row>
    <row r="666" spans="4:26" x14ac:dyDescent="0.25">
      <c r="D666" s="31"/>
      <c r="E666" s="31"/>
      <c r="F666" s="32"/>
      <c r="G666" s="31"/>
      <c r="H666" s="31"/>
      <c r="I666" s="32"/>
      <c r="R666" s="32"/>
      <c r="S666" s="32"/>
      <c r="T666" s="32"/>
      <c r="U666" s="32"/>
      <c r="V666" s="32"/>
      <c r="W666" s="32"/>
      <c r="X666" s="32"/>
      <c r="Y666" s="32"/>
      <c r="Z666" s="32"/>
    </row>
    <row r="667" spans="4:26" x14ac:dyDescent="0.25">
      <c r="D667" s="31"/>
      <c r="E667" s="31"/>
      <c r="F667" s="32"/>
      <c r="G667" s="31"/>
      <c r="H667" s="31"/>
      <c r="I667" s="32"/>
      <c r="R667" s="32"/>
      <c r="S667" s="32"/>
      <c r="T667" s="32"/>
      <c r="U667" s="32"/>
      <c r="V667" s="32"/>
      <c r="W667" s="32"/>
      <c r="X667" s="32"/>
      <c r="Y667" s="32"/>
      <c r="Z667" s="32"/>
    </row>
    <row r="668" spans="4:26" x14ac:dyDescent="0.25">
      <c r="D668" s="31"/>
      <c r="E668" s="31"/>
      <c r="F668" s="32"/>
      <c r="G668" s="31"/>
      <c r="H668" s="31"/>
      <c r="I668" s="32"/>
      <c r="R668" s="32"/>
      <c r="S668" s="32"/>
      <c r="T668" s="32"/>
      <c r="U668" s="32"/>
      <c r="V668" s="32"/>
      <c r="W668" s="32"/>
      <c r="X668" s="32"/>
      <c r="Y668" s="32"/>
      <c r="Z668" s="32"/>
    </row>
    <row r="669" spans="4:26" x14ac:dyDescent="0.25">
      <c r="D669" s="31"/>
      <c r="E669" s="31"/>
      <c r="F669" s="32"/>
      <c r="G669" s="31"/>
      <c r="H669" s="31"/>
      <c r="I669" s="32"/>
      <c r="R669" s="32"/>
      <c r="S669" s="32"/>
      <c r="T669" s="32"/>
      <c r="U669" s="32"/>
      <c r="V669" s="32"/>
      <c r="W669" s="32"/>
      <c r="X669" s="32"/>
      <c r="Y669" s="32"/>
      <c r="Z669" s="32"/>
    </row>
    <row r="670" spans="4:26" x14ac:dyDescent="0.25">
      <c r="D670" s="31"/>
      <c r="E670" s="31"/>
      <c r="F670" s="32"/>
      <c r="G670" s="31"/>
      <c r="H670" s="31"/>
      <c r="I670" s="32"/>
      <c r="R670" s="32"/>
      <c r="S670" s="32"/>
      <c r="T670" s="32"/>
      <c r="U670" s="32"/>
      <c r="V670" s="32"/>
      <c r="W670" s="32"/>
      <c r="X670" s="32"/>
      <c r="Y670" s="32"/>
      <c r="Z670" s="32"/>
    </row>
    <row r="671" spans="4:26" x14ac:dyDescent="0.25">
      <c r="D671" s="31"/>
      <c r="E671" s="31"/>
      <c r="F671" s="32"/>
      <c r="G671" s="31"/>
      <c r="H671" s="31"/>
      <c r="I671" s="32"/>
      <c r="R671" s="32"/>
      <c r="S671" s="32"/>
      <c r="T671" s="32"/>
      <c r="U671" s="32"/>
      <c r="V671" s="32"/>
      <c r="W671" s="32"/>
      <c r="X671" s="32"/>
      <c r="Y671" s="32"/>
      <c r="Z671" s="32"/>
    </row>
    <row r="672" spans="4:26" x14ac:dyDescent="0.25">
      <c r="D672" s="31"/>
      <c r="E672" s="31"/>
      <c r="F672" s="32"/>
      <c r="G672" s="31"/>
      <c r="H672" s="31"/>
      <c r="I672" s="32"/>
      <c r="R672" s="32"/>
      <c r="S672" s="32"/>
      <c r="T672" s="32"/>
      <c r="U672" s="32"/>
      <c r="V672" s="32"/>
      <c r="W672" s="32"/>
      <c r="X672" s="32"/>
      <c r="Y672" s="32"/>
      <c r="Z672" s="32"/>
    </row>
    <row r="673" spans="4:26" x14ac:dyDescent="0.25">
      <c r="D673" s="31"/>
      <c r="E673" s="31"/>
      <c r="F673" s="32"/>
      <c r="G673" s="31"/>
      <c r="H673" s="31"/>
      <c r="I673" s="32"/>
      <c r="R673" s="32"/>
      <c r="S673" s="32"/>
      <c r="T673" s="32"/>
      <c r="U673" s="32"/>
      <c r="V673" s="32"/>
      <c r="W673" s="32"/>
      <c r="X673" s="32"/>
      <c r="Y673" s="32"/>
      <c r="Z673" s="32"/>
    </row>
    <row r="674" spans="4:26" x14ac:dyDescent="0.25">
      <c r="D674" s="31"/>
      <c r="E674" s="31"/>
      <c r="F674" s="32"/>
      <c r="G674" s="31"/>
      <c r="H674" s="31"/>
      <c r="I674" s="32"/>
      <c r="R674" s="32"/>
      <c r="S674" s="32"/>
      <c r="T674" s="32"/>
      <c r="U674" s="32"/>
      <c r="V674" s="32"/>
      <c r="W674" s="32"/>
      <c r="X674" s="32"/>
      <c r="Y674" s="32"/>
      <c r="Z674" s="32"/>
    </row>
    <row r="675" spans="4:26" x14ac:dyDescent="0.25">
      <c r="D675" s="31"/>
      <c r="E675" s="31"/>
      <c r="F675" s="32"/>
      <c r="G675" s="31"/>
      <c r="H675" s="31"/>
      <c r="I675" s="32"/>
      <c r="R675" s="32"/>
      <c r="S675" s="32"/>
      <c r="T675" s="32"/>
      <c r="U675" s="32"/>
      <c r="V675" s="32"/>
      <c r="W675" s="32"/>
      <c r="X675" s="32"/>
      <c r="Y675" s="32"/>
      <c r="Z675" s="32"/>
    </row>
    <row r="676" spans="4:26" x14ac:dyDescent="0.25">
      <c r="D676" s="31"/>
      <c r="E676" s="31"/>
      <c r="F676" s="32"/>
      <c r="G676" s="31"/>
      <c r="H676" s="31"/>
      <c r="I676" s="32"/>
      <c r="R676" s="32"/>
      <c r="S676" s="32"/>
      <c r="T676" s="32"/>
      <c r="U676" s="32"/>
      <c r="V676" s="32"/>
      <c r="W676" s="32"/>
      <c r="X676" s="32"/>
      <c r="Y676" s="32"/>
      <c r="Z676" s="32"/>
    </row>
    <row r="677" spans="4:26" x14ac:dyDescent="0.25">
      <c r="D677" s="31"/>
      <c r="E677" s="31"/>
      <c r="F677" s="32"/>
      <c r="G677" s="31"/>
      <c r="H677" s="31"/>
      <c r="I677" s="32"/>
      <c r="R677" s="32"/>
      <c r="S677" s="32"/>
      <c r="T677" s="32"/>
      <c r="U677" s="32"/>
      <c r="V677" s="32"/>
      <c r="W677" s="32"/>
      <c r="X677" s="32"/>
      <c r="Y677" s="32"/>
      <c r="Z677" s="32"/>
    </row>
    <row r="678" spans="4:26" x14ac:dyDescent="0.25">
      <c r="D678" s="31"/>
      <c r="E678" s="31"/>
      <c r="F678" s="32"/>
      <c r="G678" s="31"/>
      <c r="H678" s="31"/>
      <c r="I678" s="32"/>
      <c r="R678" s="32"/>
      <c r="S678" s="32"/>
      <c r="T678" s="32"/>
      <c r="U678" s="32"/>
      <c r="V678" s="32"/>
      <c r="W678" s="32"/>
      <c r="X678" s="32"/>
      <c r="Y678" s="32"/>
      <c r="Z678" s="32"/>
    </row>
    <row r="679" spans="4:26" x14ac:dyDescent="0.25">
      <c r="D679" s="31"/>
      <c r="E679" s="31"/>
      <c r="F679" s="32"/>
      <c r="G679" s="31"/>
      <c r="H679" s="31"/>
      <c r="I679" s="32"/>
      <c r="R679" s="32"/>
      <c r="S679" s="32"/>
      <c r="T679" s="32"/>
      <c r="U679" s="32"/>
      <c r="V679" s="32"/>
      <c r="W679" s="32"/>
      <c r="X679" s="32"/>
      <c r="Y679" s="32"/>
      <c r="Z679" s="32"/>
    </row>
    <row r="680" spans="4:26" x14ac:dyDescent="0.25">
      <c r="D680" s="31"/>
      <c r="E680" s="31"/>
      <c r="F680" s="32"/>
      <c r="G680" s="31"/>
      <c r="H680" s="31"/>
      <c r="I680" s="32"/>
      <c r="R680" s="32"/>
      <c r="S680" s="32"/>
      <c r="T680" s="32"/>
      <c r="U680" s="32"/>
      <c r="V680" s="32"/>
      <c r="W680" s="32"/>
      <c r="X680" s="32"/>
      <c r="Y680" s="32"/>
      <c r="Z680" s="32"/>
    </row>
    <row r="681" spans="4:26" x14ac:dyDescent="0.25">
      <c r="D681" s="31"/>
      <c r="E681" s="31"/>
      <c r="F681" s="32"/>
      <c r="G681" s="31"/>
      <c r="H681" s="31"/>
      <c r="I681" s="32"/>
      <c r="R681" s="32"/>
      <c r="S681" s="32"/>
      <c r="T681" s="32"/>
      <c r="U681" s="32"/>
      <c r="V681" s="32"/>
      <c r="W681" s="32"/>
      <c r="X681" s="32"/>
      <c r="Y681" s="32"/>
      <c r="Z681" s="32"/>
    </row>
    <row r="682" spans="4:26" x14ac:dyDescent="0.25">
      <c r="D682" s="31"/>
      <c r="E682" s="31"/>
      <c r="F682" s="32"/>
      <c r="G682" s="31"/>
      <c r="H682" s="31"/>
      <c r="I682" s="32"/>
      <c r="R682" s="32"/>
      <c r="S682" s="32"/>
      <c r="T682" s="32"/>
      <c r="U682" s="32"/>
      <c r="V682" s="32"/>
      <c r="W682" s="32"/>
      <c r="X682" s="32"/>
      <c r="Y682" s="32"/>
      <c r="Z682" s="32"/>
    </row>
    <row r="683" spans="4:26" x14ac:dyDescent="0.25">
      <c r="D683" s="31"/>
      <c r="E683" s="31"/>
      <c r="F683" s="32"/>
      <c r="G683" s="31"/>
      <c r="H683" s="31"/>
      <c r="I683" s="32"/>
      <c r="R683" s="32"/>
      <c r="S683" s="32"/>
      <c r="T683" s="32"/>
      <c r="U683" s="32"/>
      <c r="V683" s="32"/>
      <c r="W683" s="32"/>
      <c r="X683" s="32"/>
      <c r="Y683" s="32"/>
      <c r="Z683" s="32"/>
    </row>
    <row r="684" spans="4:26" x14ac:dyDescent="0.25">
      <c r="D684" s="31"/>
      <c r="E684" s="31"/>
      <c r="F684" s="32"/>
      <c r="G684" s="31"/>
      <c r="H684" s="31"/>
      <c r="I684" s="32"/>
      <c r="R684" s="32"/>
      <c r="S684" s="32"/>
      <c r="T684" s="32"/>
      <c r="U684" s="32"/>
      <c r="V684" s="32"/>
      <c r="W684" s="32"/>
      <c r="X684" s="32"/>
      <c r="Y684" s="32"/>
      <c r="Z684" s="32"/>
    </row>
    <row r="685" spans="4:26" x14ac:dyDescent="0.25">
      <c r="D685" s="31"/>
      <c r="E685" s="31"/>
      <c r="F685" s="32"/>
      <c r="G685" s="31"/>
      <c r="H685" s="31"/>
      <c r="I685" s="32"/>
      <c r="R685" s="32"/>
      <c r="S685" s="32"/>
      <c r="T685" s="32"/>
      <c r="U685" s="32"/>
      <c r="V685" s="32"/>
      <c r="W685" s="32"/>
      <c r="X685" s="32"/>
      <c r="Y685" s="32"/>
      <c r="Z685" s="32"/>
    </row>
    <row r="686" spans="4:26" x14ac:dyDescent="0.25">
      <c r="D686" s="31"/>
      <c r="E686" s="31"/>
      <c r="F686" s="32"/>
      <c r="G686" s="31"/>
      <c r="H686" s="31"/>
      <c r="I686" s="32"/>
      <c r="R686" s="32"/>
      <c r="S686" s="32"/>
      <c r="T686" s="32"/>
      <c r="U686" s="32"/>
      <c r="V686" s="32"/>
      <c r="W686" s="32"/>
      <c r="X686" s="32"/>
      <c r="Y686" s="32"/>
      <c r="Z686" s="32"/>
    </row>
    <row r="687" spans="4:26" x14ac:dyDescent="0.25">
      <c r="D687" s="31"/>
      <c r="E687" s="31"/>
      <c r="F687" s="32"/>
      <c r="G687" s="31"/>
      <c r="H687" s="31"/>
      <c r="I687" s="32"/>
      <c r="R687" s="32"/>
      <c r="S687" s="32"/>
      <c r="T687" s="32"/>
      <c r="U687" s="32"/>
      <c r="V687" s="32"/>
      <c r="W687" s="32"/>
      <c r="X687" s="32"/>
      <c r="Y687" s="32"/>
      <c r="Z687" s="32"/>
    </row>
    <row r="688" spans="4:26" x14ac:dyDescent="0.25">
      <c r="D688" s="31"/>
      <c r="E688" s="31"/>
      <c r="F688" s="32"/>
      <c r="G688" s="31"/>
      <c r="H688" s="31"/>
      <c r="I688" s="32"/>
      <c r="R688" s="32"/>
      <c r="S688" s="32"/>
      <c r="T688" s="32"/>
      <c r="U688" s="32"/>
      <c r="V688" s="32"/>
      <c r="W688" s="32"/>
      <c r="X688" s="32"/>
      <c r="Y688" s="32"/>
      <c r="Z688" s="32"/>
    </row>
    <row r="689" spans="4:26" x14ac:dyDescent="0.25">
      <c r="D689" s="31"/>
      <c r="E689" s="31"/>
      <c r="F689" s="32"/>
      <c r="G689" s="31"/>
      <c r="H689" s="31"/>
      <c r="I689" s="32"/>
      <c r="R689" s="32"/>
      <c r="S689" s="32"/>
      <c r="T689" s="32"/>
      <c r="U689" s="32"/>
      <c r="V689" s="32"/>
      <c r="W689" s="32"/>
      <c r="X689" s="32"/>
      <c r="Y689" s="32"/>
      <c r="Z689" s="32"/>
    </row>
    <row r="690" spans="4:26" x14ac:dyDescent="0.25">
      <c r="D690" s="31"/>
      <c r="E690" s="31"/>
      <c r="F690" s="32"/>
      <c r="G690" s="31"/>
      <c r="H690" s="31"/>
      <c r="I690" s="32"/>
      <c r="R690" s="32"/>
      <c r="S690" s="32"/>
      <c r="T690" s="32"/>
      <c r="U690" s="32"/>
      <c r="V690" s="32"/>
      <c r="W690" s="32"/>
      <c r="X690" s="32"/>
      <c r="Y690" s="32"/>
      <c r="Z690" s="32"/>
    </row>
    <row r="691" spans="4:26" x14ac:dyDescent="0.25">
      <c r="D691" s="31"/>
      <c r="E691" s="31"/>
      <c r="F691" s="32"/>
      <c r="G691" s="31"/>
      <c r="H691" s="31"/>
      <c r="I691" s="32"/>
      <c r="R691" s="32"/>
      <c r="S691" s="32"/>
      <c r="T691" s="32"/>
      <c r="U691" s="32"/>
      <c r="V691" s="32"/>
      <c r="W691" s="32"/>
      <c r="X691" s="32"/>
      <c r="Y691" s="32"/>
      <c r="Z691" s="32"/>
    </row>
    <row r="692" spans="4:26" x14ac:dyDescent="0.25">
      <c r="D692" s="31"/>
      <c r="E692" s="31"/>
      <c r="F692" s="32"/>
      <c r="G692" s="31"/>
      <c r="H692" s="31"/>
      <c r="I692" s="32"/>
      <c r="R692" s="32"/>
      <c r="S692" s="32"/>
      <c r="T692" s="32"/>
      <c r="U692" s="32"/>
      <c r="V692" s="32"/>
      <c r="W692" s="32"/>
      <c r="X692" s="32"/>
      <c r="Y692" s="32"/>
      <c r="Z692" s="32"/>
    </row>
    <row r="693" spans="4:26" x14ac:dyDescent="0.25">
      <c r="D693" s="31"/>
      <c r="E693" s="31"/>
      <c r="F693" s="32"/>
      <c r="G693" s="31"/>
      <c r="H693" s="31"/>
      <c r="I693" s="32"/>
      <c r="R693" s="32"/>
      <c r="S693" s="32"/>
      <c r="T693" s="32"/>
      <c r="U693" s="32"/>
      <c r="V693" s="32"/>
      <c r="W693" s="32"/>
      <c r="X693" s="32"/>
      <c r="Y693" s="32"/>
      <c r="Z693" s="32"/>
    </row>
    <row r="694" spans="4:26" x14ac:dyDescent="0.25">
      <c r="D694" s="31"/>
      <c r="E694" s="31"/>
      <c r="F694" s="32"/>
      <c r="G694" s="31"/>
      <c r="H694" s="31"/>
      <c r="I694" s="32"/>
      <c r="R694" s="32"/>
      <c r="S694" s="32"/>
      <c r="T694" s="32"/>
      <c r="U694" s="32"/>
      <c r="V694" s="32"/>
      <c r="W694" s="32"/>
      <c r="X694" s="32"/>
      <c r="Y694" s="32"/>
      <c r="Z694" s="32"/>
    </row>
    <row r="695" spans="4:26" x14ac:dyDescent="0.25">
      <c r="D695" s="31"/>
      <c r="E695" s="31"/>
      <c r="F695" s="32"/>
      <c r="G695" s="31"/>
      <c r="H695" s="31"/>
      <c r="I695" s="32"/>
      <c r="R695" s="32"/>
      <c r="S695" s="32"/>
      <c r="T695" s="32"/>
      <c r="U695" s="32"/>
      <c r="V695" s="32"/>
      <c r="W695" s="32"/>
      <c r="X695" s="32"/>
      <c r="Y695" s="32"/>
      <c r="Z695" s="32"/>
    </row>
    <row r="696" spans="4:26" x14ac:dyDescent="0.25">
      <c r="D696" s="31"/>
      <c r="E696" s="31"/>
      <c r="F696" s="32"/>
      <c r="G696" s="31"/>
      <c r="H696" s="31"/>
      <c r="I696" s="32"/>
      <c r="R696" s="32"/>
      <c r="S696" s="32"/>
      <c r="T696" s="32"/>
      <c r="U696" s="32"/>
      <c r="V696" s="32"/>
      <c r="W696" s="32"/>
      <c r="X696" s="32"/>
      <c r="Y696" s="32"/>
      <c r="Z696" s="32"/>
    </row>
    <row r="697" spans="4:26" x14ac:dyDescent="0.25">
      <c r="D697" s="31"/>
      <c r="E697" s="31"/>
      <c r="F697" s="32"/>
      <c r="G697" s="31"/>
      <c r="H697" s="31"/>
      <c r="I697" s="32"/>
      <c r="R697" s="32"/>
      <c r="S697" s="32"/>
      <c r="T697" s="32"/>
      <c r="U697" s="32"/>
      <c r="V697" s="32"/>
      <c r="W697" s="32"/>
      <c r="X697" s="32"/>
      <c r="Y697" s="32"/>
      <c r="Z697" s="32"/>
    </row>
    <row r="698" spans="4:26" x14ac:dyDescent="0.25">
      <c r="D698" s="31"/>
      <c r="E698" s="31"/>
      <c r="F698" s="32"/>
      <c r="G698" s="31"/>
      <c r="H698" s="31"/>
      <c r="I698" s="32"/>
      <c r="R698" s="32"/>
      <c r="S698" s="32"/>
      <c r="T698" s="32"/>
      <c r="U698" s="32"/>
      <c r="V698" s="32"/>
      <c r="W698" s="32"/>
      <c r="X698" s="32"/>
      <c r="Y698" s="32"/>
      <c r="Z698" s="32"/>
    </row>
    <row r="699" spans="4:26" x14ac:dyDescent="0.25">
      <c r="D699" s="31"/>
      <c r="E699" s="31"/>
      <c r="F699" s="32"/>
      <c r="G699" s="31"/>
      <c r="H699" s="31"/>
      <c r="I699" s="32"/>
      <c r="R699" s="32"/>
      <c r="S699" s="32"/>
      <c r="T699" s="32"/>
      <c r="U699" s="32"/>
      <c r="V699" s="32"/>
      <c r="W699" s="32"/>
      <c r="X699" s="32"/>
      <c r="Y699" s="32"/>
      <c r="Z699" s="32"/>
    </row>
    <row r="700" spans="4:26" x14ac:dyDescent="0.25">
      <c r="D700" s="31"/>
      <c r="E700" s="31"/>
      <c r="F700" s="32"/>
      <c r="G700" s="31"/>
      <c r="H700" s="31"/>
      <c r="I700" s="32"/>
      <c r="R700" s="32"/>
      <c r="S700" s="32"/>
      <c r="T700" s="32"/>
      <c r="U700" s="32"/>
      <c r="V700" s="32"/>
      <c r="W700" s="32"/>
      <c r="X700" s="32"/>
      <c r="Y700" s="32"/>
      <c r="Z700" s="32"/>
    </row>
    <row r="701" spans="4:26" x14ac:dyDescent="0.25">
      <c r="D701" s="31"/>
      <c r="E701" s="31"/>
      <c r="F701" s="32"/>
      <c r="G701" s="31"/>
      <c r="H701" s="31"/>
      <c r="I701" s="32"/>
      <c r="R701" s="32"/>
      <c r="S701" s="32"/>
      <c r="T701" s="32"/>
      <c r="U701" s="32"/>
      <c r="V701" s="32"/>
      <c r="W701" s="32"/>
      <c r="X701" s="32"/>
      <c r="Y701" s="32"/>
      <c r="Z701" s="32"/>
    </row>
    <row r="702" spans="4:26" x14ac:dyDescent="0.25">
      <c r="D702" s="31"/>
      <c r="E702" s="31"/>
      <c r="F702" s="32"/>
      <c r="G702" s="31"/>
      <c r="H702" s="31"/>
      <c r="I702" s="32"/>
      <c r="R702" s="32"/>
      <c r="S702" s="32"/>
      <c r="T702" s="32"/>
      <c r="U702" s="32"/>
      <c r="V702" s="32"/>
      <c r="W702" s="32"/>
      <c r="X702" s="32"/>
      <c r="Y702" s="32"/>
      <c r="Z702" s="32"/>
    </row>
    <row r="703" spans="4:26" x14ac:dyDescent="0.25">
      <c r="D703" s="31"/>
      <c r="E703" s="31"/>
      <c r="F703" s="32"/>
      <c r="G703" s="31"/>
      <c r="H703" s="31"/>
      <c r="I703" s="32"/>
      <c r="R703" s="32"/>
      <c r="S703" s="32"/>
      <c r="T703" s="32"/>
      <c r="U703" s="32"/>
      <c r="V703" s="32"/>
      <c r="W703" s="32"/>
      <c r="X703" s="32"/>
      <c r="Y703" s="32"/>
      <c r="Z703" s="32"/>
    </row>
    <row r="704" spans="4:26" x14ac:dyDescent="0.25">
      <c r="D704" s="31"/>
      <c r="E704" s="31"/>
      <c r="F704" s="32"/>
      <c r="G704" s="31"/>
      <c r="H704" s="31"/>
      <c r="I704" s="32"/>
      <c r="R704" s="32"/>
      <c r="S704" s="32"/>
      <c r="T704" s="32"/>
      <c r="U704" s="32"/>
      <c r="V704" s="32"/>
      <c r="W704" s="32"/>
      <c r="X704" s="32"/>
      <c r="Y704" s="32"/>
      <c r="Z704" s="32"/>
    </row>
    <row r="705" spans="4:26" x14ac:dyDescent="0.25">
      <c r="D705" s="31"/>
      <c r="E705" s="31"/>
      <c r="F705" s="32"/>
      <c r="G705" s="31"/>
      <c r="H705" s="31"/>
      <c r="I705" s="32"/>
      <c r="R705" s="32"/>
      <c r="S705" s="32"/>
      <c r="T705" s="32"/>
      <c r="U705" s="32"/>
      <c r="V705" s="32"/>
      <c r="W705" s="32"/>
      <c r="X705" s="32"/>
      <c r="Y705" s="32"/>
      <c r="Z705" s="32"/>
    </row>
    <row r="706" spans="4:26" x14ac:dyDescent="0.25">
      <c r="D706" s="31"/>
      <c r="E706" s="31"/>
      <c r="F706" s="32"/>
      <c r="G706" s="31"/>
      <c r="H706" s="31"/>
      <c r="I706" s="32"/>
      <c r="R706" s="32"/>
      <c r="S706" s="32"/>
      <c r="T706" s="32"/>
      <c r="U706" s="32"/>
      <c r="V706" s="32"/>
      <c r="W706" s="32"/>
      <c r="X706" s="32"/>
      <c r="Y706" s="32"/>
      <c r="Z706" s="32"/>
    </row>
    <row r="707" spans="4:26" x14ac:dyDescent="0.25">
      <c r="D707" s="31"/>
      <c r="E707" s="31"/>
      <c r="F707" s="32"/>
      <c r="G707" s="31"/>
      <c r="H707" s="31"/>
      <c r="I707" s="32"/>
      <c r="R707" s="32"/>
      <c r="S707" s="32"/>
      <c r="T707" s="32"/>
      <c r="U707" s="32"/>
      <c r="V707" s="32"/>
      <c r="W707" s="32"/>
      <c r="X707" s="32"/>
      <c r="Y707" s="32"/>
      <c r="Z707" s="32"/>
    </row>
    <row r="708" spans="4:26" x14ac:dyDescent="0.25">
      <c r="D708" s="31"/>
      <c r="E708" s="31"/>
      <c r="F708" s="32"/>
      <c r="G708" s="31"/>
      <c r="H708" s="31"/>
      <c r="I708" s="32"/>
      <c r="R708" s="32"/>
      <c r="S708" s="32"/>
      <c r="T708" s="32"/>
      <c r="U708" s="32"/>
      <c r="V708" s="32"/>
      <c r="W708" s="32"/>
      <c r="X708" s="32"/>
      <c r="Y708" s="32"/>
      <c r="Z708" s="32"/>
    </row>
    <row r="709" spans="4:26" x14ac:dyDescent="0.25">
      <c r="D709" s="31"/>
      <c r="E709" s="31"/>
      <c r="F709" s="32"/>
      <c r="G709" s="31"/>
      <c r="H709" s="31"/>
      <c r="I709" s="32"/>
      <c r="R709" s="32"/>
      <c r="S709" s="32"/>
      <c r="T709" s="32"/>
      <c r="U709" s="32"/>
      <c r="V709" s="32"/>
      <c r="W709" s="32"/>
      <c r="X709" s="32"/>
      <c r="Y709" s="32"/>
      <c r="Z709" s="32"/>
    </row>
    <row r="710" spans="4:26" x14ac:dyDescent="0.25">
      <c r="D710" s="31"/>
      <c r="E710" s="31"/>
      <c r="F710" s="32"/>
      <c r="G710" s="31"/>
      <c r="H710" s="31"/>
      <c r="I710" s="32"/>
      <c r="R710" s="32"/>
      <c r="S710" s="32"/>
      <c r="T710" s="32"/>
      <c r="U710" s="32"/>
      <c r="V710" s="32"/>
      <c r="W710" s="32"/>
      <c r="X710" s="32"/>
      <c r="Y710" s="32"/>
      <c r="Z710" s="32"/>
    </row>
    <row r="711" spans="4:26" x14ac:dyDescent="0.25">
      <c r="D711" s="31"/>
      <c r="E711" s="31"/>
      <c r="F711" s="32"/>
      <c r="G711" s="31"/>
      <c r="H711" s="31"/>
      <c r="I711" s="32"/>
      <c r="R711" s="32"/>
      <c r="S711" s="32"/>
      <c r="T711" s="32"/>
      <c r="U711" s="32"/>
      <c r="V711" s="32"/>
      <c r="W711" s="32"/>
      <c r="X711" s="32"/>
      <c r="Y711" s="32"/>
      <c r="Z711" s="32"/>
    </row>
    <row r="712" spans="4:26" x14ac:dyDescent="0.25">
      <c r="D712" s="31"/>
      <c r="E712" s="31"/>
      <c r="F712" s="32"/>
      <c r="G712" s="31"/>
      <c r="H712" s="31"/>
      <c r="I712" s="32"/>
      <c r="R712" s="32"/>
      <c r="S712" s="32"/>
      <c r="T712" s="32"/>
      <c r="U712" s="32"/>
      <c r="V712" s="32"/>
      <c r="W712" s="32"/>
      <c r="X712" s="32"/>
      <c r="Y712" s="32"/>
      <c r="Z712" s="32"/>
    </row>
    <row r="713" spans="4:26" x14ac:dyDescent="0.25">
      <c r="D713" s="31"/>
      <c r="E713" s="31"/>
      <c r="F713" s="32"/>
      <c r="G713" s="31"/>
      <c r="H713" s="31"/>
      <c r="I713" s="32"/>
      <c r="R713" s="32"/>
      <c r="S713" s="32"/>
      <c r="T713" s="32"/>
      <c r="U713" s="32"/>
      <c r="V713" s="32"/>
      <c r="W713" s="32"/>
      <c r="X713" s="32"/>
      <c r="Y713" s="32"/>
      <c r="Z713" s="32"/>
    </row>
    <row r="714" spans="4:26" x14ac:dyDescent="0.25">
      <c r="D714" s="31"/>
      <c r="E714" s="31"/>
      <c r="F714" s="32"/>
      <c r="G714" s="31"/>
      <c r="H714" s="31"/>
      <c r="I714" s="32"/>
      <c r="R714" s="32"/>
      <c r="S714" s="32"/>
      <c r="T714" s="32"/>
      <c r="U714" s="32"/>
      <c r="V714" s="32"/>
      <c r="W714" s="32"/>
      <c r="X714" s="32"/>
      <c r="Y714" s="32"/>
      <c r="Z714" s="32"/>
    </row>
    <row r="715" spans="4:26" x14ac:dyDescent="0.25">
      <c r="D715" s="31"/>
      <c r="E715" s="31"/>
      <c r="F715" s="32"/>
      <c r="G715" s="31"/>
      <c r="H715" s="31"/>
      <c r="I715" s="32"/>
      <c r="R715" s="32"/>
      <c r="S715" s="32"/>
      <c r="T715" s="32"/>
      <c r="U715" s="32"/>
      <c r="V715" s="32"/>
      <c r="W715" s="32"/>
      <c r="X715" s="32"/>
      <c r="Y715" s="32"/>
      <c r="Z715" s="32"/>
    </row>
    <row r="716" spans="4:26" x14ac:dyDescent="0.25">
      <c r="D716" s="31"/>
      <c r="E716" s="31"/>
      <c r="F716" s="32"/>
      <c r="G716" s="31"/>
      <c r="H716" s="31"/>
      <c r="I716" s="32"/>
      <c r="R716" s="32"/>
      <c r="S716" s="32"/>
      <c r="T716" s="32"/>
      <c r="U716" s="32"/>
      <c r="V716" s="32"/>
      <c r="W716" s="32"/>
      <c r="X716" s="32"/>
      <c r="Y716" s="32"/>
      <c r="Z716" s="32"/>
    </row>
    <row r="717" spans="4:26" x14ac:dyDescent="0.25">
      <c r="D717" s="31"/>
      <c r="E717" s="31"/>
      <c r="F717" s="32"/>
      <c r="G717" s="31"/>
      <c r="H717" s="31"/>
      <c r="I717" s="32"/>
      <c r="R717" s="32"/>
      <c r="S717" s="32"/>
      <c r="T717" s="32"/>
      <c r="U717" s="32"/>
      <c r="V717" s="32"/>
      <c r="W717" s="32"/>
      <c r="X717" s="32"/>
      <c r="Y717" s="32"/>
      <c r="Z717" s="32"/>
    </row>
    <row r="718" spans="4:26" x14ac:dyDescent="0.25">
      <c r="D718" s="31"/>
      <c r="E718" s="31"/>
      <c r="F718" s="32"/>
      <c r="G718" s="31"/>
      <c r="H718" s="31"/>
      <c r="I718" s="32"/>
      <c r="R718" s="32"/>
      <c r="S718" s="32"/>
      <c r="T718" s="32"/>
      <c r="U718" s="32"/>
      <c r="V718" s="32"/>
      <c r="W718" s="32"/>
      <c r="X718" s="32"/>
      <c r="Y718" s="32"/>
      <c r="Z718" s="32"/>
    </row>
    <row r="719" spans="4:26" x14ac:dyDescent="0.25">
      <c r="D719" s="31"/>
      <c r="E719" s="31"/>
      <c r="F719" s="32"/>
      <c r="G719" s="31"/>
      <c r="H719" s="31"/>
      <c r="I719" s="32"/>
      <c r="R719" s="32"/>
      <c r="S719" s="32"/>
      <c r="T719" s="32"/>
      <c r="U719" s="32"/>
      <c r="V719" s="32"/>
      <c r="W719" s="32"/>
      <c r="X719" s="32"/>
      <c r="Y719" s="32"/>
      <c r="Z719" s="32"/>
    </row>
    <row r="720" spans="4:26" x14ac:dyDescent="0.25">
      <c r="D720" s="31"/>
      <c r="E720" s="31"/>
      <c r="F720" s="32"/>
      <c r="G720" s="31"/>
      <c r="H720" s="31"/>
      <c r="I720" s="32"/>
      <c r="R720" s="32"/>
      <c r="S720" s="32"/>
      <c r="T720" s="32"/>
      <c r="U720" s="32"/>
      <c r="V720" s="32"/>
      <c r="W720" s="32"/>
      <c r="X720" s="32"/>
      <c r="Y720" s="32"/>
      <c r="Z720" s="32"/>
    </row>
    <row r="721" spans="4:26" x14ac:dyDescent="0.25">
      <c r="D721" s="31"/>
      <c r="E721" s="31"/>
      <c r="F721" s="32"/>
      <c r="G721" s="31"/>
      <c r="H721" s="31"/>
      <c r="I721" s="32"/>
      <c r="R721" s="32"/>
      <c r="S721" s="32"/>
      <c r="T721" s="32"/>
      <c r="U721" s="32"/>
      <c r="V721" s="32"/>
      <c r="W721" s="32"/>
      <c r="X721" s="32"/>
      <c r="Y721" s="32"/>
      <c r="Z721" s="32"/>
    </row>
    <row r="722" spans="4:26" x14ac:dyDescent="0.25">
      <c r="D722" s="31"/>
      <c r="E722" s="31"/>
      <c r="F722" s="32"/>
      <c r="G722" s="31"/>
      <c r="H722" s="31"/>
      <c r="I722" s="32"/>
      <c r="R722" s="32"/>
      <c r="S722" s="32"/>
      <c r="T722" s="32"/>
      <c r="U722" s="32"/>
      <c r="V722" s="32"/>
      <c r="W722" s="32"/>
      <c r="X722" s="32"/>
      <c r="Y722" s="32"/>
      <c r="Z722" s="32"/>
    </row>
    <row r="723" spans="4:26" x14ac:dyDescent="0.25">
      <c r="D723" s="31"/>
      <c r="E723" s="31"/>
      <c r="F723" s="32"/>
      <c r="G723" s="31"/>
      <c r="H723" s="31"/>
      <c r="I723" s="32"/>
      <c r="R723" s="32"/>
      <c r="S723" s="32"/>
      <c r="T723" s="32"/>
      <c r="U723" s="32"/>
      <c r="V723" s="32"/>
      <c r="W723" s="32"/>
      <c r="X723" s="32"/>
      <c r="Y723" s="32"/>
      <c r="Z723" s="32"/>
    </row>
    <row r="724" spans="4:26" x14ac:dyDescent="0.25">
      <c r="D724" s="31"/>
      <c r="E724" s="31"/>
      <c r="F724" s="32"/>
      <c r="G724" s="31"/>
      <c r="H724" s="31"/>
      <c r="I724" s="32"/>
      <c r="R724" s="32"/>
      <c r="S724" s="32"/>
      <c r="T724" s="32"/>
      <c r="U724" s="32"/>
      <c r="V724" s="32"/>
      <c r="W724" s="32"/>
      <c r="X724" s="32"/>
      <c r="Y724" s="32"/>
      <c r="Z724" s="32"/>
    </row>
    <row r="725" spans="4:26" x14ac:dyDescent="0.25">
      <c r="D725" s="31"/>
      <c r="E725" s="31"/>
      <c r="F725" s="32"/>
      <c r="G725" s="31"/>
      <c r="H725" s="31"/>
      <c r="I725" s="32"/>
      <c r="R725" s="32"/>
      <c r="S725" s="32"/>
      <c r="T725" s="32"/>
      <c r="U725" s="32"/>
      <c r="V725" s="32"/>
      <c r="W725" s="32"/>
      <c r="X725" s="32"/>
      <c r="Y725" s="32"/>
      <c r="Z725" s="32"/>
    </row>
    <row r="726" spans="4:26" x14ac:dyDescent="0.25">
      <c r="D726" s="31"/>
      <c r="E726" s="31"/>
      <c r="F726" s="32"/>
      <c r="G726" s="31"/>
      <c r="H726" s="31"/>
      <c r="I726" s="32"/>
      <c r="R726" s="32"/>
      <c r="S726" s="32"/>
      <c r="T726" s="32"/>
      <c r="U726" s="32"/>
      <c r="V726" s="32"/>
      <c r="W726" s="32"/>
      <c r="X726" s="32"/>
      <c r="Y726" s="32"/>
      <c r="Z726" s="32"/>
    </row>
    <row r="727" spans="4:26" x14ac:dyDescent="0.25">
      <c r="D727" s="31"/>
      <c r="E727" s="31"/>
      <c r="F727" s="32"/>
      <c r="G727" s="31"/>
      <c r="H727" s="31"/>
      <c r="I727" s="32"/>
      <c r="R727" s="32"/>
      <c r="S727" s="32"/>
      <c r="T727" s="32"/>
      <c r="U727" s="32"/>
      <c r="V727" s="32"/>
      <c r="W727" s="32"/>
      <c r="X727" s="32"/>
      <c r="Y727" s="32"/>
      <c r="Z727" s="32"/>
    </row>
    <row r="728" spans="4:26" x14ac:dyDescent="0.25">
      <c r="D728" s="31"/>
      <c r="E728" s="31"/>
      <c r="F728" s="32"/>
      <c r="G728" s="31"/>
      <c r="H728" s="31"/>
      <c r="I728" s="32"/>
      <c r="R728" s="32"/>
      <c r="S728" s="32"/>
      <c r="T728" s="32"/>
      <c r="U728" s="32"/>
      <c r="V728" s="32"/>
      <c r="W728" s="32"/>
      <c r="X728" s="32"/>
      <c r="Y728" s="32"/>
      <c r="Z728" s="32"/>
    </row>
    <row r="729" spans="4:26" x14ac:dyDescent="0.25">
      <c r="D729" s="31"/>
      <c r="E729" s="31"/>
      <c r="F729" s="32"/>
      <c r="G729" s="31"/>
      <c r="H729" s="31"/>
      <c r="I729" s="32"/>
      <c r="R729" s="32"/>
      <c r="S729" s="32"/>
      <c r="T729" s="32"/>
      <c r="U729" s="32"/>
      <c r="V729" s="32"/>
      <c r="W729" s="32"/>
      <c r="X729" s="32"/>
      <c r="Y729" s="32"/>
      <c r="Z729" s="32"/>
    </row>
    <row r="730" spans="4:26" x14ac:dyDescent="0.25">
      <c r="D730" s="31"/>
      <c r="E730" s="31"/>
      <c r="F730" s="32"/>
      <c r="G730" s="31"/>
      <c r="H730" s="31"/>
      <c r="I730" s="32"/>
      <c r="R730" s="32"/>
      <c r="S730" s="32"/>
      <c r="T730" s="32"/>
      <c r="U730" s="32"/>
      <c r="V730" s="32"/>
      <c r="W730" s="32"/>
      <c r="X730" s="32"/>
      <c r="Y730" s="32"/>
      <c r="Z730" s="32"/>
    </row>
    <row r="731" spans="4:26" x14ac:dyDescent="0.25">
      <c r="D731" s="31"/>
      <c r="E731" s="31"/>
      <c r="F731" s="32"/>
      <c r="G731" s="31"/>
      <c r="H731" s="31"/>
      <c r="I731" s="32"/>
      <c r="R731" s="32"/>
      <c r="S731" s="32"/>
      <c r="T731" s="32"/>
      <c r="U731" s="32"/>
      <c r="V731" s="32"/>
      <c r="W731" s="32"/>
      <c r="X731" s="32"/>
      <c r="Y731" s="32"/>
      <c r="Z731" s="32"/>
    </row>
    <row r="732" spans="4:26" x14ac:dyDescent="0.25">
      <c r="D732" s="31"/>
      <c r="E732" s="31"/>
      <c r="F732" s="32"/>
      <c r="G732" s="31"/>
      <c r="H732" s="31"/>
      <c r="I732" s="32"/>
      <c r="R732" s="32"/>
      <c r="S732" s="32"/>
      <c r="T732" s="32"/>
      <c r="U732" s="32"/>
      <c r="V732" s="32"/>
      <c r="W732" s="32"/>
      <c r="X732" s="32"/>
      <c r="Y732" s="32"/>
      <c r="Z732" s="32"/>
    </row>
    <row r="733" spans="4:26" x14ac:dyDescent="0.25">
      <c r="D733" s="31"/>
      <c r="E733" s="31"/>
      <c r="F733" s="32"/>
      <c r="G733" s="31"/>
      <c r="H733" s="31"/>
      <c r="I733" s="32"/>
      <c r="R733" s="32"/>
      <c r="S733" s="32"/>
      <c r="T733" s="32"/>
      <c r="U733" s="32"/>
      <c r="V733" s="32"/>
      <c r="W733" s="32"/>
      <c r="X733" s="32"/>
      <c r="Y733" s="32"/>
      <c r="Z733" s="32"/>
    </row>
    <row r="734" spans="4:26" x14ac:dyDescent="0.25">
      <c r="D734" s="31"/>
      <c r="E734" s="31"/>
      <c r="F734" s="32"/>
      <c r="G734" s="31"/>
      <c r="H734" s="31"/>
      <c r="I734" s="32"/>
      <c r="R734" s="32"/>
      <c r="S734" s="32"/>
      <c r="T734" s="32"/>
      <c r="U734" s="32"/>
      <c r="V734" s="32"/>
      <c r="W734" s="32"/>
      <c r="X734" s="32"/>
      <c r="Y734" s="32"/>
      <c r="Z734" s="32"/>
    </row>
    <row r="735" spans="4:26" x14ac:dyDescent="0.25">
      <c r="D735" s="31"/>
      <c r="E735" s="31"/>
      <c r="F735" s="32"/>
      <c r="G735" s="31"/>
      <c r="H735" s="31"/>
      <c r="I735" s="32"/>
      <c r="R735" s="32"/>
      <c r="S735" s="32"/>
      <c r="T735" s="32"/>
      <c r="U735" s="32"/>
      <c r="V735" s="32"/>
      <c r="W735" s="32"/>
      <c r="X735" s="32"/>
      <c r="Y735" s="32"/>
      <c r="Z735" s="32"/>
    </row>
    <row r="736" spans="4:26" x14ac:dyDescent="0.25">
      <c r="D736" s="31"/>
      <c r="E736" s="31"/>
      <c r="F736" s="32"/>
      <c r="G736" s="31"/>
      <c r="H736" s="31"/>
      <c r="I736" s="32"/>
      <c r="R736" s="32"/>
      <c r="S736" s="32"/>
      <c r="T736" s="32"/>
      <c r="U736" s="32"/>
      <c r="V736" s="32"/>
      <c r="W736" s="32"/>
      <c r="X736" s="32"/>
      <c r="Y736" s="32"/>
      <c r="Z736" s="32"/>
    </row>
    <row r="737" spans="4:26" x14ac:dyDescent="0.25">
      <c r="D737" s="31"/>
      <c r="E737" s="31"/>
      <c r="F737" s="32"/>
      <c r="G737" s="31"/>
      <c r="H737" s="31"/>
      <c r="I737" s="32"/>
      <c r="R737" s="32"/>
      <c r="S737" s="32"/>
      <c r="T737" s="32"/>
      <c r="U737" s="32"/>
      <c r="V737" s="32"/>
      <c r="W737" s="32"/>
      <c r="X737" s="32"/>
      <c r="Y737" s="32"/>
      <c r="Z737" s="32"/>
    </row>
    <row r="738" spans="4:26" x14ac:dyDescent="0.25">
      <c r="D738" s="31"/>
      <c r="E738" s="31"/>
      <c r="F738" s="32"/>
      <c r="G738" s="31"/>
      <c r="H738" s="31"/>
      <c r="I738" s="32"/>
      <c r="R738" s="32"/>
      <c r="S738" s="32"/>
      <c r="T738" s="32"/>
      <c r="U738" s="32"/>
      <c r="V738" s="32"/>
      <c r="W738" s="32"/>
      <c r="X738" s="32"/>
      <c r="Y738" s="32"/>
      <c r="Z738" s="32"/>
    </row>
    <row r="739" spans="4:26" x14ac:dyDescent="0.25">
      <c r="D739" s="31"/>
      <c r="E739" s="31"/>
      <c r="F739" s="32"/>
      <c r="G739" s="31"/>
      <c r="H739" s="31"/>
      <c r="I739" s="32"/>
      <c r="R739" s="32"/>
      <c r="S739" s="32"/>
      <c r="T739" s="32"/>
      <c r="U739" s="32"/>
      <c r="V739" s="32"/>
      <c r="W739" s="32"/>
      <c r="X739" s="32"/>
      <c r="Y739" s="32"/>
      <c r="Z739" s="32"/>
    </row>
    <row r="740" spans="4:26" x14ac:dyDescent="0.25">
      <c r="D740" s="31"/>
      <c r="E740" s="31"/>
      <c r="F740" s="32"/>
      <c r="G740" s="31"/>
      <c r="H740" s="31"/>
      <c r="I740" s="32"/>
      <c r="R740" s="32"/>
      <c r="S740" s="32"/>
      <c r="T740" s="32"/>
      <c r="U740" s="32"/>
      <c r="V740" s="32"/>
      <c r="W740" s="32"/>
      <c r="X740" s="32"/>
      <c r="Y740" s="32"/>
      <c r="Z740" s="3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4F00-EE48-40F3-AEAA-AD8EA9D590DF}">
  <dimension ref="A2:C578"/>
  <sheetViews>
    <sheetView topLeftCell="A253" workbookViewId="0">
      <selection activeCell="A14" sqref="A14"/>
    </sheetView>
  </sheetViews>
  <sheetFormatPr defaultRowHeight="15" x14ac:dyDescent="0.25"/>
  <cols>
    <col min="1" max="1" width="56.42578125" bestFit="1" customWidth="1"/>
    <col min="2" max="2" width="2.5703125" bestFit="1" customWidth="1"/>
    <col min="3" max="3" width="12" bestFit="1" customWidth="1"/>
  </cols>
  <sheetData>
    <row r="2" spans="1:3" x14ac:dyDescent="0.25">
      <c r="A2" t="s">
        <v>71</v>
      </c>
    </row>
    <row r="3" spans="1:3" x14ac:dyDescent="0.25">
      <c r="A3" t="s">
        <v>223</v>
      </c>
      <c r="B3" t="s">
        <v>222</v>
      </c>
      <c r="C3">
        <v>203.079373</v>
      </c>
    </row>
    <row r="4" spans="1:3" x14ac:dyDescent="0.25">
      <c r="A4" t="s">
        <v>224</v>
      </c>
      <c r="B4" t="s">
        <v>222</v>
      </c>
      <c r="C4">
        <v>406.15874600000001</v>
      </c>
    </row>
    <row r="5" spans="1:3" x14ac:dyDescent="0.25">
      <c r="A5" t="s">
        <v>225</v>
      </c>
      <c r="B5" t="s">
        <v>222</v>
      </c>
      <c r="C5">
        <v>568.21157000000005</v>
      </c>
    </row>
    <row r="6" spans="1:3" x14ac:dyDescent="0.25">
      <c r="A6" t="s">
        <v>226</v>
      </c>
      <c r="B6" t="s">
        <v>222</v>
      </c>
      <c r="C6">
        <v>730.26439400000004</v>
      </c>
    </row>
    <row r="7" spans="1:3" x14ac:dyDescent="0.25">
      <c r="A7" t="s">
        <v>74</v>
      </c>
      <c r="B7" t="s">
        <v>222</v>
      </c>
      <c r="C7">
        <v>349.13728200000003</v>
      </c>
    </row>
    <row r="8" spans="1:3" x14ac:dyDescent="0.25">
      <c r="A8" t="s">
        <v>227</v>
      </c>
      <c r="B8" t="s">
        <v>222</v>
      </c>
      <c r="C8">
        <v>552.21665499999995</v>
      </c>
    </row>
    <row r="9" spans="1:3" x14ac:dyDescent="0.25">
      <c r="A9" t="s">
        <v>228</v>
      </c>
      <c r="B9" t="s">
        <v>222</v>
      </c>
      <c r="C9">
        <v>714.26947900000005</v>
      </c>
    </row>
    <row r="10" spans="1:3" x14ac:dyDescent="0.25">
      <c r="A10" t="s">
        <v>229</v>
      </c>
      <c r="B10" t="s">
        <v>222</v>
      </c>
      <c r="C10">
        <v>876.32230300000003</v>
      </c>
    </row>
    <row r="11" spans="1:3" x14ac:dyDescent="0.25">
      <c r="A11" t="s">
        <v>230</v>
      </c>
      <c r="B11" t="s">
        <v>222</v>
      </c>
      <c r="C11">
        <v>892.31721800000003</v>
      </c>
    </row>
    <row r="12" spans="1:3" x14ac:dyDescent="0.25">
      <c r="A12" t="s">
        <v>75</v>
      </c>
      <c r="B12" t="s">
        <v>222</v>
      </c>
      <c r="C12">
        <v>1054.370042</v>
      </c>
    </row>
    <row r="13" spans="1:3" x14ac:dyDescent="0.25">
      <c r="A13" t="s">
        <v>231</v>
      </c>
      <c r="B13" t="s">
        <v>222</v>
      </c>
      <c r="C13">
        <v>1095.3965909999999</v>
      </c>
    </row>
    <row r="14" spans="1:3" x14ac:dyDescent="0.25">
      <c r="A14" t="s">
        <v>232</v>
      </c>
      <c r="B14" t="s">
        <v>222</v>
      </c>
      <c r="C14">
        <v>1184.4330359999999</v>
      </c>
    </row>
    <row r="15" spans="1:3" x14ac:dyDescent="0.25">
      <c r="A15" t="s">
        <v>233</v>
      </c>
      <c r="B15" t="s">
        <v>222</v>
      </c>
      <c r="C15">
        <v>1200.4279509999999</v>
      </c>
    </row>
    <row r="16" spans="1:3" x14ac:dyDescent="0.25">
      <c r="A16" t="s">
        <v>76</v>
      </c>
      <c r="B16" t="s">
        <v>222</v>
      </c>
      <c r="C16">
        <v>1216.4228660000001</v>
      </c>
    </row>
    <row r="17" spans="1:3" x14ac:dyDescent="0.25">
      <c r="A17" t="s">
        <v>234</v>
      </c>
      <c r="B17" t="s">
        <v>222</v>
      </c>
      <c r="C17">
        <v>1241.4545000000001</v>
      </c>
    </row>
    <row r="18" spans="1:3" x14ac:dyDescent="0.25">
      <c r="A18" t="s">
        <v>235</v>
      </c>
      <c r="B18" t="s">
        <v>222</v>
      </c>
      <c r="C18">
        <v>1257.449415</v>
      </c>
    </row>
    <row r="19" spans="1:3" x14ac:dyDescent="0.25">
      <c r="A19" t="s">
        <v>236</v>
      </c>
      <c r="B19" t="s">
        <v>222</v>
      </c>
      <c r="C19">
        <v>1298.475964</v>
      </c>
    </row>
    <row r="20" spans="1:3" x14ac:dyDescent="0.25">
      <c r="A20" t="s">
        <v>73</v>
      </c>
      <c r="B20" t="s">
        <v>222</v>
      </c>
      <c r="C20">
        <v>1362.480775</v>
      </c>
    </row>
    <row r="21" spans="1:3" x14ac:dyDescent="0.25">
      <c r="A21" t="s">
        <v>237</v>
      </c>
      <c r="B21" t="s">
        <v>222</v>
      </c>
      <c r="C21">
        <v>1378.47569</v>
      </c>
    </row>
    <row r="22" spans="1:3" x14ac:dyDescent="0.25">
      <c r="A22" t="s">
        <v>238</v>
      </c>
      <c r="B22" t="s">
        <v>222</v>
      </c>
      <c r="C22">
        <v>1387.5124089999999</v>
      </c>
    </row>
    <row r="23" spans="1:3" x14ac:dyDescent="0.25">
      <c r="A23" t="s">
        <v>239</v>
      </c>
      <c r="B23" t="s">
        <v>222</v>
      </c>
      <c r="C23">
        <v>1403.5073239999999</v>
      </c>
    </row>
    <row r="24" spans="1:3" x14ac:dyDescent="0.25">
      <c r="A24" t="s">
        <v>240</v>
      </c>
      <c r="B24" t="s">
        <v>222</v>
      </c>
      <c r="C24">
        <v>1419.5022389999999</v>
      </c>
    </row>
    <row r="25" spans="1:3" x14ac:dyDescent="0.25">
      <c r="A25" t="s">
        <v>241</v>
      </c>
      <c r="B25" t="s">
        <v>222</v>
      </c>
      <c r="C25">
        <v>1444.5338730000001</v>
      </c>
    </row>
    <row r="26" spans="1:3" x14ac:dyDescent="0.25">
      <c r="A26" t="s">
        <v>242</v>
      </c>
      <c r="B26" t="s">
        <v>222</v>
      </c>
      <c r="C26">
        <v>1460.5287880000001</v>
      </c>
    </row>
    <row r="27" spans="1:3" x14ac:dyDescent="0.25">
      <c r="A27" t="s">
        <v>243</v>
      </c>
      <c r="B27" t="s">
        <v>222</v>
      </c>
      <c r="C27">
        <v>1501.555337</v>
      </c>
    </row>
    <row r="28" spans="1:3" x14ac:dyDescent="0.25">
      <c r="A28" t="s">
        <v>244</v>
      </c>
      <c r="B28" t="s">
        <v>222</v>
      </c>
      <c r="C28">
        <v>1540.5285140000001</v>
      </c>
    </row>
    <row r="29" spans="1:3" x14ac:dyDescent="0.25">
      <c r="A29" t="s">
        <v>245</v>
      </c>
      <c r="B29" t="s">
        <v>222</v>
      </c>
      <c r="C29">
        <v>1548.544832</v>
      </c>
    </row>
    <row r="30" spans="1:3" x14ac:dyDescent="0.25">
      <c r="A30" t="s">
        <v>246</v>
      </c>
      <c r="B30" t="s">
        <v>222</v>
      </c>
      <c r="C30">
        <v>1549.565233</v>
      </c>
    </row>
    <row r="31" spans="1:3" x14ac:dyDescent="0.25">
      <c r="A31" t="s">
        <v>247</v>
      </c>
      <c r="B31" t="s">
        <v>222</v>
      </c>
      <c r="C31">
        <v>1564.5397459999999</v>
      </c>
    </row>
    <row r="32" spans="1:3" x14ac:dyDescent="0.25">
      <c r="A32" t="s">
        <v>248</v>
      </c>
      <c r="B32" t="s">
        <v>222</v>
      </c>
      <c r="C32">
        <v>1565.560148</v>
      </c>
    </row>
    <row r="33" spans="1:3" x14ac:dyDescent="0.25">
      <c r="A33" t="s">
        <v>249</v>
      </c>
      <c r="B33" t="s">
        <v>222</v>
      </c>
      <c r="C33">
        <v>1581.555063</v>
      </c>
    </row>
    <row r="34" spans="1:3" x14ac:dyDescent="0.25">
      <c r="A34" t="s">
        <v>250</v>
      </c>
      <c r="B34" t="s">
        <v>222</v>
      </c>
      <c r="C34">
        <v>1589.571381</v>
      </c>
    </row>
    <row r="35" spans="1:3" x14ac:dyDescent="0.25">
      <c r="A35" t="s">
        <v>251</v>
      </c>
      <c r="B35" t="s">
        <v>222</v>
      </c>
      <c r="C35">
        <v>1590.591782</v>
      </c>
    </row>
    <row r="36" spans="1:3" x14ac:dyDescent="0.25">
      <c r="A36" t="s">
        <v>252</v>
      </c>
      <c r="B36" t="s">
        <v>222</v>
      </c>
      <c r="C36">
        <v>1605.5662950000001</v>
      </c>
    </row>
    <row r="37" spans="1:3" x14ac:dyDescent="0.25">
      <c r="A37" t="s">
        <v>253</v>
      </c>
      <c r="B37" t="s">
        <v>222</v>
      </c>
      <c r="C37">
        <v>1606.586697</v>
      </c>
    </row>
    <row r="38" spans="1:3" x14ac:dyDescent="0.25">
      <c r="A38" t="s">
        <v>254</v>
      </c>
      <c r="B38" t="s">
        <v>222</v>
      </c>
      <c r="C38">
        <v>1622.581612</v>
      </c>
    </row>
    <row r="39" spans="1:3" x14ac:dyDescent="0.25">
      <c r="A39" t="s">
        <v>255</v>
      </c>
      <c r="B39" t="s">
        <v>222</v>
      </c>
      <c r="C39">
        <v>1647.6132459999999</v>
      </c>
    </row>
    <row r="40" spans="1:3" x14ac:dyDescent="0.25">
      <c r="A40" t="s">
        <v>256</v>
      </c>
      <c r="B40" t="s">
        <v>222</v>
      </c>
      <c r="C40">
        <v>1663.6081610000001</v>
      </c>
    </row>
    <row r="41" spans="1:3" x14ac:dyDescent="0.25">
      <c r="A41" t="s">
        <v>257</v>
      </c>
      <c r="B41" t="s">
        <v>222</v>
      </c>
      <c r="C41">
        <v>1694.6027409999999</v>
      </c>
    </row>
    <row r="42" spans="1:3" x14ac:dyDescent="0.25">
      <c r="A42" t="s">
        <v>258</v>
      </c>
      <c r="B42" t="s">
        <v>222</v>
      </c>
      <c r="C42">
        <v>1702.581338</v>
      </c>
    </row>
    <row r="43" spans="1:3" x14ac:dyDescent="0.25">
      <c r="A43" t="s">
        <v>259</v>
      </c>
      <c r="B43" t="s">
        <v>222</v>
      </c>
      <c r="C43">
        <v>1704.63471</v>
      </c>
    </row>
    <row r="44" spans="1:3" x14ac:dyDescent="0.25">
      <c r="A44" t="s">
        <v>260</v>
      </c>
      <c r="B44" t="s">
        <v>222</v>
      </c>
      <c r="C44">
        <v>1710.597655</v>
      </c>
    </row>
    <row r="45" spans="1:3" x14ac:dyDescent="0.25">
      <c r="A45" t="s">
        <v>261</v>
      </c>
      <c r="B45" t="s">
        <v>222</v>
      </c>
      <c r="C45">
        <v>1710.5976559999999</v>
      </c>
    </row>
    <row r="46" spans="1:3" x14ac:dyDescent="0.25">
      <c r="A46" t="s">
        <v>262</v>
      </c>
      <c r="B46" t="s">
        <v>222</v>
      </c>
      <c r="C46">
        <v>1726.59257</v>
      </c>
    </row>
    <row r="47" spans="1:3" x14ac:dyDescent="0.25">
      <c r="A47" t="s">
        <v>263</v>
      </c>
      <c r="B47" t="s">
        <v>222</v>
      </c>
      <c r="C47">
        <v>1727.6129719999999</v>
      </c>
    </row>
    <row r="48" spans="1:3" x14ac:dyDescent="0.25">
      <c r="A48" t="s">
        <v>264</v>
      </c>
      <c r="B48" t="s">
        <v>222</v>
      </c>
      <c r="C48">
        <v>1736.6496910000001</v>
      </c>
    </row>
    <row r="49" spans="1:3" x14ac:dyDescent="0.25">
      <c r="A49" t="s">
        <v>265</v>
      </c>
      <c r="B49" t="s">
        <v>222</v>
      </c>
      <c r="C49">
        <v>1751.6242050000001</v>
      </c>
    </row>
    <row r="50" spans="1:3" x14ac:dyDescent="0.25">
      <c r="A50" t="s">
        <v>266</v>
      </c>
      <c r="B50" t="s">
        <v>222</v>
      </c>
      <c r="C50">
        <v>1752.6446060000001</v>
      </c>
    </row>
    <row r="51" spans="1:3" x14ac:dyDescent="0.25">
      <c r="A51" t="s">
        <v>267</v>
      </c>
      <c r="B51" t="s">
        <v>222</v>
      </c>
      <c r="C51">
        <v>1767.619119</v>
      </c>
    </row>
    <row r="52" spans="1:3" x14ac:dyDescent="0.25">
      <c r="A52" t="s">
        <v>268</v>
      </c>
      <c r="B52" t="s">
        <v>222</v>
      </c>
      <c r="C52">
        <v>1768.6395210000001</v>
      </c>
    </row>
    <row r="53" spans="1:3" x14ac:dyDescent="0.25">
      <c r="A53" t="s">
        <v>269</v>
      </c>
      <c r="B53" t="s">
        <v>222</v>
      </c>
      <c r="C53">
        <v>1784.6344360000001</v>
      </c>
    </row>
    <row r="54" spans="1:3" x14ac:dyDescent="0.25">
      <c r="A54" t="s">
        <v>270</v>
      </c>
      <c r="B54" t="s">
        <v>222</v>
      </c>
      <c r="C54">
        <v>1809.66607</v>
      </c>
    </row>
    <row r="55" spans="1:3" x14ac:dyDescent="0.25">
      <c r="A55" t="s">
        <v>271</v>
      </c>
      <c r="B55" t="s">
        <v>222</v>
      </c>
      <c r="C55">
        <v>1825.660985</v>
      </c>
    </row>
    <row r="56" spans="1:3" x14ac:dyDescent="0.25">
      <c r="A56" t="s">
        <v>272</v>
      </c>
      <c r="B56" t="s">
        <v>222</v>
      </c>
      <c r="C56">
        <v>1850.6926189999999</v>
      </c>
    </row>
    <row r="57" spans="1:3" x14ac:dyDescent="0.25">
      <c r="A57" t="s">
        <v>273</v>
      </c>
      <c r="B57" t="s">
        <v>222</v>
      </c>
      <c r="C57">
        <v>1864.6341620000001</v>
      </c>
    </row>
    <row r="58" spans="1:3" x14ac:dyDescent="0.25">
      <c r="A58" t="s">
        <v>274</v>
      </c>
      <c r="B58" t="s">
        <v>222</v>
      </c>
      <c r="C58">
        <v>1866.6875339999999</v>
      </c>
    </row>
    <row r="59" spans="1:3" x14ac:dyDescent="0.25">
      <c r="A59" t="s">
        <v>275</v>
      </c>
      <c r="B59" t="s">
        <v>222</v>
      </c>
      <c r="C59">
        <v>1872.65048</v>
      </c>
    </row>
    <row r="60" spans="1:3" x14ac:dyDescent="0.25">
      <c r="A60" t="s">
        <v>276</v>
      </c>
      <c r="B60" t="s">
        <v>222</v>
      </c>
      <c r="C60">
        <v>1888.6453939999999</v>
      </c>
    </row>
    <row r="61" spans="1:3" x14ac:dyDescent="0.25">
      <c r="A61" t="s">
        <v>277</v>
      </c>
      <c r="B61" t="s">
        <v>222</v>
      </c>
      <c r="C61">
        <v>1897.682114</v>
      </c>
    </row>
    <row r="62" spans="1:3" x14ac:dyDescent="0.25">
      <c r="A62" t="s">
        <v>278</v>
      </c>
      <c r="B62" t="s">
        <v>222</v>
      </c>
      <c r="C62">
        <v>1907.7140830000001</v>
      </c>
    </row>
    <row r="63" spans="1:3" x14ac:dyDescent="0.25">
      <c r="A63" t="s">
        <v>279</v>
      </c>
      <c r="B63" t="s">
        <v>222</v>
      </c>
      <c r="C63">
        <v>1913.6770280000001</v>
      </c>
    </row>
    <row r="64" spans="1:3" x14ac:dyDescent="0.25">
      <c r="A64" t="s">
        <v>280</v>
      </c>
      <c r="B64" t="s">
        <v>222</v>
      </c>
      <c r="C64">
        <v>1913.6770289999999</v>
      </c>
    </row>
    <row r="65" spans="1:3" x14ac:dyDescent="0.25">
      <c r="A65" t="s">
        <v>281</v>
      </c>
      <c r="B65" t="s">
        <v>222</v>
      </c>
      <c r="C65">
        <v>1914.6974299999999</v>
      </c>
    </row>
    <row r="66" spans="1:3" x14ac:dyDescent="0.25">
      <c r="A66" t="s">
        <v>282</v>
      </c>
      <c r="B66" t="s">
        <v>222</v>
      </c>
      <c r="C66">
        <v>1929.6719430000001</v>
      </c>
    </row>
    <row r="67" spans="1:3" x14ac:dyDescent="0.25">
      <c r="A67" t="s">
        <v>283</v>
      </c>
      <c r="B67" t="s">
        <v>222</v>
      </c>
      <c r="C67">
        <v>1930.6923449999999</v>
      </c>
    </row>
    <row r="68" spans="1:3" x14ac:dyDescent="0.25">
      <c r="A68" t="s">
        <v>284</v>
      </c>
      <c r="B68" t="s">
        <v>222</v>
      </c>
      <c r="C68">
        <v>1938.7086629999999</v>
      </c>
    </row>
    <row r="69" spans="1:3" x14ac:dyDescent="0.25">
      <c r="A69" t="s">
        <v>285</v>
      </c>
      <c r="B69" t="s">
        <v>222</v>
      </c>
      <c r="C69">
        <v>1946.6872599999999</v>
      </c>
    </row>
    <row r="70" spans="1:3" x14ac:dyDescent="0.25">
      <c r="A70" t="s">
        <v>286</v>
      </c>
      <c r="B70" t="s">
        <v>222</v>
      </c>
      <c r="C70">
        <v>1954.7035780000001</v>
      </c>
    </row>
    <row r="71" spans="1:3" x14ac:dyDescent="0.25">
      <c r="A71" t="s">
        <v>287</v>
      </c>
      <c r="B71" t="s">
        <v>222</v>
      </c>
      <c r="C71">
        <v>1954.703577</v>
      </c>
    </row>
    <row r="72" spans="1:3" x14ac:dyDescent="0.25">
      <c r="A72" t="s">
        <v>288</v>
      </c>
      <c r="B72" t="s">
        <v>222</v>
      </c>
      <c r="C72">
        <v>1955.7239790000001</v>
      </c>
    </row>
    <row r="73" spans="1:3" x14ac:dyDescent="0.25">
      <c r="A73" t="s">
        <v>289</v>
      </c>
      <c r="B73" t="s">
        <v>222</v>
      </c>
      <c r="C73">
        <v>1970.698492</v>
      </c>
    </row>
    <row r="74" spans="1:3" x14ac:dyDescent="0.25">
      <c r="A74" t="s">
        <v>290</v>
      </c>
      <c r="B74" t="s">
        <v>222</v>
      </c>
      <c r="C74">
        <v>1971.7188940000001</v>
      </c>
    </row>
    <row r="75" spans="1:3" x14ac:dyDescent="0.25">
      <c r="A75" t="s">
        <v>291</v>
      </c>
      <c r="B75" t="s">
        <v>222</v>
      </c>
      <c r="C75">
        <v>1987.7138090000001</v>
      </c>
    </row>
    <row r="76" spans="1:3" x14ac:dyDescent="0.25">
      <c r="A76" t="s">
        <v>292</v>
      </c>
      <c r="B76" t="s">
        <v>222</v>
      </c>
      <c r="C76">
        <v>1996.750528</v>
      </c>
    </row>
    <row r="77" spans="1:3" x14ac:dyDescent="0.25">
      <c r="A77" t="s">
        <v>293</v>
      </c>
      <c r="B77" t="s">
        <v>222</v>
      </c>
      <c r="C77">
        <v>2012.745443</v>
      </c>
    </row>
    <row r="78" spans="1:3" x14ac:dyDescent="0.25">
      <c r="A78" t="s">
        <v>294</v>
      </c>
      <c r="B78" t="s">
        <v>222</v>
      </c>
      <c r="C78">
        <v>2018.7083889999999</v>
      </c>
    </row>
    <row r="79" spans="1:3" x14ac:dyDescent="0.25">
      <c r="A79" t="s">
        <v>295</v>
      </c>
      <c r="B79" t="s">
        <v>222</v>
      </c>
      <c r="C79">
        <v>2026.6869859999999</v>
      </c>
    </row>
    <row r="80" spans="1:3" x14ac:dyDescent="0.25">
      <c r="A80" t="s">
        <v>296</v>
      </c>
      <c r="B80" t="s">
        <v>222</v>
      </c>
      <c r="C80">
        <v>2028.740358</v>
      </c>
    </row>
    <row r="81" spans="1:3" x14ac:dyDescent="0.25">
      <c r="A81" t="s">
        <v>297</v>
      </c>
      <c r="B81" t="s">
        <v>222</v>
      </c>
      <c r="C81">
        <v>2034.703303</v>
      </c>
    </row>
    <row r="82" spans="1:3" x14ac:dyDescent="0.25">
      <c r="A82" t="s">
        <v>298</v>
      </c>
      <c r="B82" t="s">
        <v>222</v>
      </c>
      <c r="C82">
        <v>2043.7400230000001</v>
      </c>
    </row>
    <row r="83" spans="1:3" x14ac:dyDescent="0.25">
      <c r="A83" t="s">
        <v>299</v>
      </c>
      <c r="B83" t="s">
        <v>222</v>
      </c>
      <c r="C83">
        <v>2053.771992</v>
      </c>
    </row>
    <row r="84" spans="1:3" x14ac:dyDescent="0.25">
      <c r="A84" t="s">
        <v>300</v>
      </c>
      <c r="B84" t="s">
        <v>222</v>
      </c>
      <c r="C84">
        <v>2059.7349380000001</v>
      </c>
    </row>
    <row r="85" spans="1:3" x14ac:dyDescent="0.25">
      <c r="A85" t="s">
        <v>301</v>
      </c>
      <c r="B85" t="s">
        <v>222</v>
      </c>
      <c r="C85">
        <v>2059.7349370000002</v>
      </c>
    </row>
    <row r="86" spans="1:3" x14ac:dyDescent="0.25">
      <c r="A86" t="s">
        <v>302</v>
      </c>
      <c r="B86" t="s">
        <v>222</v>
      </c>
      <c r="C86">
        <v>2060.7553389999998</v>
      </c>
    </row>
    <row r="87" spans="1:3" x14ac:dyDescent="0.25">
      <c r="A87" t="s">
        <v>303</v>
      </c>
      <c r="B87" t="s">
        <v>222</v>
      </c>
      <c r="C87">
        <v>2069.7669070000002</v>
      </c>
    </row>
    <row r="88" spans="1:3" x14ac:dyDescent="0.25">
      <c r="A88" t="s">
        <v>304</v>
      </c>
      <c r="B88" t="s">
        <v>222</v>
      </c>
      <c r="C88">
        <v>2075.7298529999998</v>
      </c>
    </row>
    <row r="89" spans="1:3" x14ac:dyDescent="0.25">
      <c r="A89" t="s">
        <v>305</v>
      </c>
      <c r="B89" t="s">
        <v>222</v>
      </c>
      <c r="C89">
        <v>2075.7298519999999</v>
      </c>
    </row>
    <row r="90" spans="1:3" x14ac:dyDescent="0.25">
      <c r="A90" t="s">
        <v>306</v>
      </c>
      <c r="B90" t="s">
        <v>222</v>
      </c>
      <c r="C90">
        <v>2076.750254</v>
      </c>
    </row>
    <row r="91" spans="1:3" x14ac:dyDescent="0.25">
      <c r="A91" t="s">
        <v>307</v>
      </c>
      <c r="B91" t="s">
        <v>222</v>
      </c>
      <c r="C91">
        <v>2091.7247670000002</v>
      </c>
    </row>
    <row r="92" spans="1:3" x14ac:dyDescent="0.25">
      <c r="A92" t="s">
        <v>308</v>
      </c>
      <c r="B92" t="s">
        <v>222</v>
      </c>
      <c r="C92">
        <v>2092.7451689999998</v>
      </c>
    </row>
    <row r="93" spans="1:3" x14ac:dyDescent="0.25">
      <c r="A93" t="s">
        <v>309</v>
      </c>
      <c r="B93" t="s">
        <v>222</v>
      </c>
      <c r="C93">
        <v>2100.7614870000002</v>
      </c>
    </row>
    <row r="94" spans="1:3" x14ac:dyDescent="0.25">
      <c r="A94" t="s">
        <v>310</v>
      </c>
      <c r="B94" t="s">
        <v>222</v>
      </c>
      <c r="C94">
        <v>2110.7934559999999</v>
      </c>
    </row>
    <row r="95" spans="1:3" x14ac:dyDescent="0.25">
      <c r="A95" t="s">
        <v>311</v>
      </c>
      <c r="B95" t="s">
        <v>222</v>
      </c>
      <c r="C95">
        <v>2116.7564010000001</v>
      </c>
    </row>
    <row r="96" spans="1:3" x14ac:dyDescent="0.25">
      <c r="A96" t="s">
        <v>312</v>
      </c>
      <c r="B96" t="s">
        <v>222</v>
      </c>
      <c r="C96">
        <v>2116.756402</v>
      </c>
    </row>
    <row r="97" spans="1:3" x14ac:dyDescent="0.25">
      <c r="A97" t="s">
        <v>313</v>
      </c>
      <c r="B97" t="s">
        <v>222</v>
      </c>
      <c r="C97">
        <v>2117.7768030000002</v>
      </c>
    </row>
    <row r="98" spans="1:3" x14ac:dyDescent="0.25">
      <c r="A98" t="s">
        <v>314</v>
      </c>
      <c r="B98" t="s">
        <v>222</v>
      </c>
      <c r="C98">
        <v>2132.7513159999999</v>
      </c>
    </row>
    <row r="99" spans="1:3" x14ac:dyDescent="0.25">
      <c r="A99" t="s">
        <v>315</v>
      </c>
      <c r="B99" t="s">
        <v>222</v>
      </c>
      <c r="C99">
        <v>2133.771718</v>
      </c>
    </row>
    <row r="100" spans="1:3" x14ac:dyDescent="0.25">
      <c r="A100" t="s">
        <v>316</v>
      </c>
      <c r="B100" t="s">
        <v>222</v>
      </c>
      <c r="C100">
        <v>2141.7880359999999</v>
      </c>
    </row>
    <row r="101" spans="1:3" x14ac:dyDescent="0.25">
      <c r="A101" t="s">
        <v>317</v>
      </c>
      <c r="B101" t="s">
        <v>222</v>
      </c>
      <c r="C101">
        <v>2142.8084370000001</v>
      </c>
    </row>
    <row r="102" spans="1:3" x14ac:dyDescent="0.25">
      <c r="A102" t="s">
        <v>318</v>
      </c>
      <c r="B102" t="s">
        <v>222</v>
      </c>
      <c r="C102">
        <v>2149.7666330000002</v>
      </c>
    </row>
    <row r="103" spans="1:3" x14ac:dyDescent="0.25">
      <c r="A103" t="s">
        <v>319</v>
      </c>
      <c r="B103" t="s">
        <v>222</v>
      </c>
      <c r="C103">
        <v>2157.7829510000001</v>
      </c>
    </row>
    <row r="104" spans="1:3" x14ac:dyDescent="0.25">
      <c r="A104" t="s">
        <v>320</v>
      </c>
      <c r="B104" t="s">
        <v>222</v>
      </c>
      <c r="C104">
        <v>2157.7829499999998</v>
      </c>
    </row>
    <row r="105" spans="1:3" x14ac:dyDescent="0.25">
      <c r="A105" t="s">
        <v>321</v>
      </c>
      <c r="B105" t="s">
        <v>222</v>
      </c>
      <c r="C105">
        <v>2158.8033519999999</v>
      </c>
    </row>
    <row r="106" spans="1:3" x14ac:dyDescent="0.25">
      <c r="A106" t="s">
        <v>322</v>
      </c>
      <c r="B106" t="s">
        <v>222</v>
      </c>
      <c r="C106">
        <v>2174.7982670000001</v>
      </c>
    </row>
    <row r="107" spans="1:3" x14ac:dyDescent="0.25">
      <c r="A107" t="s">
        <v>323</v>
      </c>
      <c r="B107" t="s">
        <v>222</v>
      </c>
      <c r="C107">
        <v>2188.73981</v>
      </c>
    </row>
    <row r="108" spans="1:3" x14ac:dyDescent="0.25">
      <c r="A108" t="s">
        <v>324</v>
      </c>
      <c r="B108" t="s">
        <v>222</v>
      </c>
      <c r="C108">
        <v>2190.7931819999999</v>
      </c>
    </row>
    <row r="109" spans="1:3" x14ac:dyDescent="0.25">
      <c r="A109" t="s">
        <v>325</v>
      </c>
      <c r="B109" t="s">
        <v>222</v>
      </c>
      <c r="C109">
        <v>2204.7724459999999</v>
      </c>
    </row>
    <row r="110" spans="1:3" x14ac:dyDescent="0.25">
      <c r="A110" t="s">
        <v>326</v>
      </c>
      <c r="B110" t="s">
        <v>222</v>
      </c>
      <c r="C110">
        <v>2205.7928470000002</v>
      </c>
    </row>
    <row r="111" spans="1:3" x14ac:dyDescent="0.25">
      <c r="A111" t="s">
        <v>327</v>
      </c>
      <c r="B111" t="s">
        <v>222</v>
      </c>
      <c r="C111">
        <v>2206.8132479999999</v>
      </c>
    </row>
    <row r="112" spans="1:3" x14ac:dyDescent="0.25">
      <c r="A112" t="s">
        <v>328</v>
      </c>
      <c r="B112" t="s">
        <v>222</v>
      </c>
      <c r="C112">
        <v>2215.8248159999998</v>
      </c>
    </row>
    <row r="113" spans="1:3" x14ac:dyDescent="0.25">
      <c r="A113" t="s">
        <v>329</v>
      </c>
      <c r="B113" t="s">
        <v>222</v>
      </c>
      <c r="C113">
        <v>2220.7673599999998</v>
      </c>
    </row>
    <row r="114" spans="1:3" x14ac:dyDescent="0.25">
      <c r="A114" t="s">
        <v>330</v>
      </c>
      <c r="B114" t="s">
        <v>222</v>
      </c>
      <c r="C114">
        <v>2221.787761</v>
      </c>
    </row>
    <row r="115" spans="1:3" x14ac:dyDescent="0.25">
      <c r="A115" t="s">
        <v>331</v>
      </c>
      <c r="B115" t="s">
        <v>222</v>
      </c>
      <c r="C115">
        <v>2221.7877619999999</v>
      </c>
    </row>
    <row r="116" spans="1:3" x14ac:dyDescent="0.25">
      <c r="A116" t="s">
        <v>332</v>
      </c>
      <c r="B116" t="s">
        <v>222</v>
      </c>
      <c r="C116">
        <v>2222.8081630000001</v>
      </c>
    </row>
    <row r="117" spans="1:3" x14ac:dyDescent="0.25">
      <c r="A117" t="s">
        <v>333</v>
      </c>
      <c r="B117" t="s">
        <v>222</v>
      </c>
      <c r="C117">
        <v>2236.7622740000002</v>
      </c>
    </row>
    <row r="118" spans="1:3" x14ac:dyDescent="0.25">
      <c r="A118" t="s">
        <v>334</v>
      </c>
      <c r="B118" t="s">
        <v>222</v>
      </c>
      <c r="C118">
        <v>2237.7826759999998</v>
      </c>
    </row>
    <row r="119" spans="1:3" x14ac:dyDescent="0.25">
      <c r="A119" t="s">
        <v>335</v>
      </c>
      <c r="B119" t="s">
        <v>222</v>
      </c>
      <c r="C119">
        <v>2237.7826770000001</v>
      </c>
    </row>
    <row r="120" spans="1:3" x14ac:dyDescent="0.25">
      <c r="A120" t="s">
        <v>336</v>
      </c>
      <c r="B120" t="s">
        <v>222</v>
      </c>
      <c r="C120">
        <v>2238.8030779999999</v>
      </c>
    </row>
    <row r="121" spans="1:3" x14ac:dyDescent="0.25">
      <c r="A121" t="s">
        <v>337</v>
      </c>
      <c r="B121" t="s">
        <v>222</v>
      </c>
      <c r="C121">
        <v>2245.7989950000001</v>
      </c>
    </row>
    <row r="122" spans="1:3" x14ac:dyDescent="0.25">
      <c r="A122" t="s">
        <v>338</v>
      </c>
      <c r="B122" t="s">
        <v>222</v>
      </c>
      <c r="C122">
        <v>2246.8193959999999</v>
      </c>
    </row>
    <row r="123" spans="1:3" x14ac:dyDescent="0.25">
      <c r="A123" t="s">
        <v>339</v>
      </c>
      <c r="B123" t="s">
        <v>222</v>
      </c>
      <c r="C123">
        <v>2256.851365</v>
      </c>
    </row>
    <row r="124" spans="1:3" x14ac:dyDescent="0.25">
      <c r="A124" t="s">
        <v>340</v>
      </c>
      <c r="B124" t="s">
        <v>222</v>
      </c>
      <c r="C124">
        <v>2261.793909</v>
      </c>
    </row>
    <row r="125" spans="1:3" x14ac:dyDescent="0.25">
      <c r="A125" t="s">
        <v>341</v>
      </c>
      <c r="B125" t="s">
        <v>222</v>
      </c>
      <c r="C125">
        <v>2262.8143110000001</v>
      </c>
    </row>
    <row r="126" spans="1:3" x14ac:dyDescent="0.25">
      <c r="A126" t="s">
        <v>342</v>
      </c>
      <c r="B126" t="s">
        <v>222</v>
      </c>
      <c r="C126">
        <v>2262.8143100000002</v>
      </c>
    </row>
    <row r="127" spans="1:3" x14ac:dyDescent="0.25">
      <c r="A127" t="s">
        <v>343</v>
      </c>
      <c r="B127" t="s">
        <v>222</v>
      </c>
      <c r="C127">
        <v>2263.8347119999999</v>
      </c>
    </row>
    <row r="128" spans="1:3" x14ac:dyDescent="0.25">
      <c r="A128" t="s">
        <v>344</v>
      </c>
      <c r="B128" t="s">
        <v>222</v>
      </c>
      <c r="C128">
        <v>2272.8462800000002</v>
      </c>
    </row>
    <row r="129" spans="1:3" x14ac:dyDescent="0.25">
      <c r="A129" t="s">
        <v>345</v>
      </c>
      <c r="B129" t="s">
        <v>222</v>
      </c>
      <c r="C129">
        <v>2277.7888229999999</v>
      </c>
    </row>
    <row r="130" spans="1:3" x14ac:dyDescent="0.25">
      <c r="A130" t="s">
        <v>346</v>
      </c>
      <c r="B130" t="s">
        <v>222</v>
      </c>
      <c r="C130">
        <v>2278.809225</v>
      </c>
    </row>
    <row r="131" spans="1:3" x14ac:dyDescent="0.25">
      <c r="A131" t="s">
        <v>347</v>
      </c>
      <c r="B131" t="s">
        <v>222</v>
      </c>
      <c r="C131">
        <v>2278.8092259999999</v>
      </c>
    </row>
    <row r="132" spans="1:3" x14ac:dyDescent="0.25">
      <c r="A132" t="s">
        <v>348</v>
      </c>
      <c r="B132" t="s">
        <v>222</v>
      </c>
      <c r="C132">
        <v>2279.8296270000001</v>
      </c>
    </row>
    <row r="133" spans="1:3" x14ac:dyDescent="0.25">
      <c r="A133" t="s">
        <v>349</v>
      </c>
      <c r="B133" t="s">
        <v>222</v>
      </c>
      <c r="C133">
        <v>2287.845945</v>
      </c>
    </row>
    <row r="134" spans="1:3" x14ac:dyDescent="0.25">
      <c r="A134" t="s">
        <v>350</v>
      </c>
      <c r="B134" t="s">
        <v>222</v>
      </c>
      <c r="C134">
        <v>2294.8041400000002</v>
      </c>
    </row>
    <row r="135" spans="1:3" x14ac:dyDescent="0.25">
      <c r="A135" t="s">
        <v>351</v>
      </c>
      <c r="B135" t="s">
        <v>222</v>
      </c>
      <c r="C135">
        <v>2295.8245419999998</v>
      </c>
    </row>
    <row r="136" spans="1:3" x14ac:dyDescent="0.25">
      <c r="A136" t="s">
        <v>352</v>
      </c>
      <c r="B136" t="s">
        <v>222</v>
      </c>
      <c r="C136">
        <v>2303.8408589999999</v>
      </c>
    </row>
    <row r="137" spans="1:3" x14ac:dyDescent="0.25">
      <c r="A137" t="s">
        <v>353</v>
      </c>
      <c r="B137" t="s">
        <v>222</v>
      </c>
      <c r="C137">
        <v>2311.8194570000001</v>
      </c>
    </row>
    <row r="138" spans="1:3" x14ac:dyDescent="0.25">
      <c r="A138" t="s">
        <v>354</v>
      </c>
      <c r="B138" t="s">
        <v>222</v>
      </c>
      <c r="C138">
        <v>2313.8728289999999</v>
      </c>
    </row>
    <row r="139" spans="1:3" x14ac:dyDescent="0.25">
      <c r="A139" t="s">
        <v>355</v>
      </c>
      <c r="B139" t="s">
        <v>222</v>
      </c>
      <c r="C139">
        <v>2320.8561759999998</v>
      </c>
    </row>
    <row r="140" spans="1:3" x14ac:dyDescent="0.25">
      <c r="A140" t="s">
        <v>356</v>
      </c>
      <c r="B140" t="s">
        <v>222</v>
      </c>
      <c r="C140">
        <v>2336.851091</v>
      </c>
    </row>
    <row r="141" spans="1:3" x14ac:dyDescent="0.25">
      <c r="A141" t="s">
        <v>357</v>
      </c>
      <c r="B141" t="s">
        <v>222</v>
      </c>
      <c r="C141">
        <v>2350.7926339999999</v>
      </c>
    </row>
    <row r="142" spans="1:3" x14ac:dyDescent="0.25">
      <c r="A142" t="s">
        <v>358</v>
      </c>
      <c r="B142" t="s">
        <v>222</v>
      </c>
      <c r="C142">
        <v>2350.8303550000001</v>
      </c>
    </row>
    <row r="143" spans="1:3" x14ac:dyDescent="0.25">
      <c r="A143" t="s">
        <v>359</v>
      </c>
      <c r="B143" t="s">
        <v>222</v>
      </c>
      <c r="C143">
        <v>2352.8460060000002</v>
      </c>
    </row>
    <row r="144" spans="1:3" x14ac:dyDescent="0.25">
      <c r="A144" t="s">
        <v>360</v>
      </c>
      <c r="B144" t="s">
        <v>222</v>
      </c>
      <c r="C144">
        <v>2361.8827249999999</v>
      </c>
    </row>
    <row r="145" spans="1:3" x14ac:dyDescent="0.25">
      <c r="A145" t="s">
        <v>361</v>
      </c>
      <c r="B145" t="s">
        <v>222</v>
      </c>
      <c r="C145">
        <v>2366.8252689999999</v>
      </c>
    </row>
    <row r="146" spans="1:3" x14ac:dyDescent="0.25">
      <c r="A146" t="s">
        <v>362</v>
      </c>
      <c r="B146" t="s">
        <v>222</v>
      </c>
      <c r="C146">
        <v>2382.8201829999998</v>
      </c>
    </row>
    <row r="147" spans="1:3" x14ac:dyDescent="0.25">
      <c r="A147" t="s">
        <v>363</v>
      </c>
      <c r="B147" t="s">
        <v>222</v>
      </c>
      <c r="C147">
        <v>2391.8569040000002</v>
      </c>
    </row>
    <row r="148" spans="1:3" x14ac:dyDescent="0.25">
      <c r="A148" t="s">
        <v>364</v>
      </c>
      <c r="B148" t="s">
        <v>222</v>
      </c>
      <c r="C148">
        <v>2393.8725549999999</v>
      </c>
    </row>
    <row r="149" spans="1:3" x14ac:dyDescent="0.25">
      <c r="A149" t="s">
        <v>365</v>
      </c>
      <c r="B149" t="s">
        <v>222</v>
      </c>
      <c r="C149">
        <v>2407.851819</v>
      </c>
    </row>
    <row r="150" spans="1:3" x14ac:dyDescent="0.25">
      <c r="A150" t="s">
        <v>366</v>
      </c>
      <c r="B150" t="s">
        <v>222</v>
      </c>
      <c r="C150">
        <v>2407.8518180000001</v>
      </c>
    </row>
    <row r="151" spans="1:3" x14ac:dyDescent="0.25">
      <c r="A151" t="s">
        <v>367</v>
      </c>
      <c r="B151" t="s">
        <v>222</v>
      </c>
      <c r="C151">
        <v>2423.846732</v>
      </c>
    </row>
    <row r="152" spans="1:3" x14ac:dyDescent="0.25">
      <c r="A152" t="s">
        <v>368</v>
      </c>
      <c r="B152" t="s">
        <v>222</v>
      </c>
      <c r="C152">
        <v>2423.8467329999999</v>
      </c>
    </row>
    <row r="153" spans="1:3" x14ac:dyDescent="0.25">
      <c r="A153" t="s">
        <v>369</v>
      </c>
      <c r="B153" t="s">
        <v>222</v>
      </c>
      <c r="C153">
        <v>2424.867135</v>
      </c>
    </row>
    <row r="154" spans="1:3" x14ac:dyDescent="0.25">
      <c r="A154" t="s">
        <v>370</v>
      </c>
      <c r="B154" t="s">
        <v>222</v>
      </c>
      <c r="C154">
        <v>2425.8875360000002</v>
      </c>
    </row>
    <row r="155" spans="1:3" x14ac:dyDescent="0.25">
      <c r="A155" t="s">
        <v>371</v>
      </c>
      <c r="B155" t="s">
        <v>222</v>
      </c>
      <c r="C155">
        <v>2432.8834529999999</v>
      </c>
    </row>
    <row r="156" spans="1:3" x14ac:dyDescent="0.25">
      <c r="A156" t="s">
        <v>372</v>
      </c>
      <c r="B156" t="s">
        <v>222</v>
      </c>
      <c r="C156">
        <v>2434.8991040000001</v>
      </c>
    </row>
    <row r="157" spans="1:3" x14ac:dyDescent="0.25">
      <c r="A157" t="s">
        <v>373</v>
      </c>
      <c r="B157" t="s">
        <v>222</v>
      </c>
      <c r="C157">
        <v>2439.8416470000002</v>
      </c>
    </row>
    <row r="158" spans="1:3" x14ac:dyDescent="0.25">
      <c r="A158" t="s">
        <v>374</v>
      </c>
      <c r="B158" t="s">
        <v>222</v>
      </c>
      <c r="C158">
        <v>2440.8620489999998</v>
      </c>
    </row>
    <row r="159" spans="1:3" x14ac:dyDescent="0.25">
      <c r="A159" t="s">
        <v>375</v>
      </c>
      <c r="B159" t="s">
        <v>222</v>
      </c>
      <c r="C159">
        <v>2448.8783669999998</v>
      </c>
    </row>
    <row r="160" spans="1:3" x14ac:dyDescent="0.25">
      <c r="A160" t="s">
        <v>376</v>
      </c>
      <c r="B160" t="s">
        <v>222</v>
      </c>
      <c r="C160">
        <v>2457.8773660000002</v>
      </c>
    </row>
    <row r="161" spans="1:3" x14ac:dyDescent="0.25">
      <c r="A161" t="s">
        <v>377</v>
      </c>
      <c r="B161" t="s">
        <v>222</v>
      </c>
      <c r="C161">
        <v>2459.930738</v>
      </c>
    </row>
    <row r="162" spans="1:3" x14ac:dyDescent="0.25">
      <c r="A162" t="s">
        <v>378</v>
      </c>
      <c r="B162" t="s">
        <v>222</v>
      </c>
      <c r="C162">
        <v>2464.8732810000001</v>
      </c>
    </row>
    <row r="163" spans="1:3" x14ac:dyDescent="0.25">
      <c r="A163" t="s">
        <v>379</v>
      </c>
      <c r="B163" t="s">
        <v>222</v>
      </c>
      <c r="C163">
        <v>2475.9256529999998</v>
      </c>
    </row>
    <row r="164" spans="1:3" x14ac:dyDescent="0.25">
      <c r="A164" t="s">
        <v>380</v>
      </c>
      <c r="B164" t="s">
        <v>222</v>
      </c>
      <c r="C164">
        <v>2482.9090000000001</v>
      </c>
    </row>
    <row r="165" spans="1:3" x14ac:dyDescent="0.25">
      <c r="A165" t="s">
        <v>381</v>
      </c>
      <c r="B165" t="s">
        <v>222</v>
      </c>
      <c r="C165">
        <v>2498.9039149999999</v>
      </c>
    </row>
    <row r="166" spans="1:3" x14ac:dyDescent="0.25">
      <c r="A166" t="s">
        <v>382</v>
      </c>
      <c r="B166" t="s">
        <v>222</v>
      </c>
      <c r="C166">
        <v>2539.930464</v>
      </c>
    </row>
    <row r="167" spans="1:3" x14ac:dyDescent="0.25">
      <c r="A167" t="s">
        <v>383</v>
      </c>
      <c r="B167" t="s">
        <v>222</v>
      </c>
      <c r="C167">
        <v>2553.9097280000001</v>
      </c>
    </row>
    <row r="168" spans="1:3" x14ac:dyDescent="0.25">
      <c r="A168" t="s">
        <v>384</v>
      </c>
      <c r="B168" t="s">
        <v>222</v>
      </c>
      <c r="C168">
        <v>2555.9253789999998</v>
      </c>
    </row>
    <row r="169" spans="1:3" x14ac:dyDescent="0.25">
      <c r="A169" t="s">
        <v>385</v>
      </c>
      <c r="B169" t="s">
        <v>222</v>
      </c>
      <c r="C169">
        <v>2569.904642</v>
      </c>
    </row>
    <row r="170" spans="1:3" x14ac:dyDescent="0.25">
      <c r="A170" t="s">
        <v>386</v>
      </c>
      <c r="B170" t="s">
        <v>222</v>
      </c>
      <c r="C170">
        <v>2569.9046429999999</v>
      </c>
    </row>
    <row r="171" spans="1:3" x14ac:dyDescent="0.25">
      <c r="A171" t="s">
        <v>387</v>
      </c>
      <c r="B171" t="s">
        <v>222</v>
      </c>
      <c r="C171">
        <v>2570.9250440000001</v>
      </c>
    </row>
    <row r="172" spans="1:3" x14ac:dyDescent="0.25">
      <c r="A172" t="s">
        <v>388</v>
      </c>
      <c r="B172" t="s">
        <v>222</v>
      </c>
      <c r="C172">
        <v>2580.9570130000002</v>
      </c>
    </row>
    <row r="173" spans="1:3" x14ac:dyDescent="0.25">
      <c r="A173" t="s">
        <v>389</v>
      </c>
      <c r="B173" t="s">
        <v>222</v>
      </c>
      <c r="C173">
        <v>2585.8995559999998</v>
      </c>
    </row>
    <row r="174" spans="1:3" x14ac:dyDescent="0.25">
      <c r="A174" t="s">
        <v>390</v>
      </c>
      <c r="B174" t="s">
        <v>222</v>
      </c>
      <c r="C174">
        <v>2585.8995570000002</v>
      </c>
    </row>
    <row r="175" spans="1:3" x14ac:dyDescent="0.25">
      <c r="A175" t="s">
        <v>391</v>
      </c>
      <c r="B175" t="s">
        <v>222</v>
      </c>
      <c r="C175">
        <v>2586.9199589999998</v>
      </c>
    </row>
    <row r="176" spans="1:3" x14ac:dyDescent="0.25">
      <c r="A176" t="s">
        <v>392</v>
      </c>
      <c r="B176" t="s">
        <v>222</v>
      </c>
      <c r="C176">
        <v>2586.919958</v>
      </c>
    </row>
    <row r="177" spans="1:3" x14ac:dyDescent="0.25">
      <c r="A177" t="s">
        <v>393</v>
      </c>
      <c r="B177" t="s">
        <v>222</v>
      </c>
      <c r="C177">
        <v>2596.951928</v>
      </c>
    </row>
    <row r="178" spans="1:3" x14ac:dyDescent="0.25">
      <c r="A178" t="s">
        <v>394</v>
      </c>
      <c r="B178" t="s">
        <v>222</v>
      </c>
      <c r="C178">
        <v>2601.8944710000001</v>
      </c>
    </row>
    <row r="179" spans="1:3" x14ac:dyDescent="0.25">
      <c r="A179" t="s">
        <v>395</v>
      </c>
      <c r="B179" t="s">
        <v>222</v>
      </c>
      <c r="C179">
        <v>2619.93019</v>
      </c>
    </row>
    <row r="180" spans="1:3" x14ac:dyDescent="0.25">
      <c r="A180" t="s">
        <v>396</v>
      </c>
      <c r="B180" t="s">
        <v>222</v>
      </c>
      <c r="C180">
        <v>2621.9835619999999</v>
      </c>
    </row>
    <row r="181" spans="1:3" x14ac:dyDescent="0.25">
      <c r="A181" t="s">
        <v>397</v>
      </c>
      <c r="B181" t="s">
        <v>222</v>
      </c>
      <c r="C181">
        <v>2628.9669090000002</v>
      </c>
    </row>
    <row r="182" spans="1:3" x14ac:dyDescent="0.25">
      <c r="A182" t="s">
        <v>398</v>
      </c>
      <c r="B182" t="s">
        <v>222</v>
      </c>
      <c r="C182">
        <v>2642.9461729999998</v>
      </c>
    </row>
    <row r="183" spans="1:3" x14ac:dyDescent="0.25">
      <c r="A183" t="s">
        <v>399</v>
      </c>
      <c r="B183" t="s">
        <v>222</v>
      </c>
      <c r="C183">
        <v>2351.8507559999998</v>
      </c>
    </row>
    <row r="184" spans="1:3" x14ac:dyDescent="0.25">
      <c r="A184" t="s">
        <v>400</v>
      </c>
      <c r="B184" t="s">
        <v>222</v>
      </c>
      <c r="C184">
        <v>2643.9414230000002</v>
      </c>
    </row>
    <row r="185" spans="1:3" x14ac:dyDescent="0.25">
      <c r="A185" t="s">
        <v>401</v>
      </c>
      <c r="B185" t="s">
        <v>222</v>
      </c>
      <c r="C185">
        <v>2658.9410870000002</v>
      </c>
    </row>
    <row r="186" spans="1:3" x14ac:dyDescent="0.25">
      <c r="A186" t="s">
        <v>402</v>
      </c>
      <c r="B186" t="s">
        <v>222</v>
      </c>
      <c r="C186">
        <v>2659.9363370000001</v>
      </c>
    </row>
    <row r="187" spans="1:3" x14ac:dyDescent="0.25">
      <c r="A187" t="s">
        <v>403</v>
      </c>
      <c r="B187" t="s">
        <v>222</v>
      </c>
      <c r="C187">
        <v>2674.936001</v>
      </c>
    </row>
    <row r="188" spans="1:3" x14ac:dyDescent="0.25">
      <c r="A188" t="s">
        <v>404</v>
      </c>
      <c r="B188" t="s">
        <v>222</v>
      </c>
      <c r="C188">
        <v>2676.951654</v>
      </c>
    </row>
    <row r="189" spans="1:3" x14ac:dyDescent="0.25">
      <c r="A189" t="s">
        <v>405</v>
      </c>
      <c r="B189" t="s">
        <v>222</v>
      </c>
      <c r="C189">
        <v>2701.9832879999999</v>
      </c>
    </row>
    <row r="190" spans="1:3" x14ac:dyDescent="0.25">
      <c r="A190" t="s">
        <v>406</v>
      </c>
      <c r="B190" t="s">
        <v>222</v>
      </c>
      <c r="C190">
        <v>2715.962552</v>
      </c>
    </row>
    <row r="191" spans="1:3" x14ac:dyDescent="0.25">
      <c r="A191" t="s">
        <v>407</v>
      </c>
      <c r="B191" t="s">
        <v>222</v>
      </c>
      <c r="C191">
        <v>2716.9829530000002</v>
      </c>
    </row>
    <row r="192" spans="1:3" x14ac:dyDescent="0.25">
      <c r="A192" t="s">
        <v>408</v>
      </c>
      <c r="B192" t="s">
        <v>222</v>
      </c>
      <c r="C192">
        <v>2717.9782030000001</v>
      </c>
    </row>
    <row r="193" spans="1:3" x14ac:dyDescent="0.25">
      <c r="A193" t="s">
        <v>409</v>
      </c>
      <c r="B193" t="s">
        <v>222</v>
      </c>
      <c r="C193">
        <v>2731.9574659999998</v>
      </c>
    </row>
    <row r="194" spans="1:3" x14ac:dyDescent="0.25">
      <c r="A194" t="s">
        <v>410</v>
      </c>
      <c r="B194" t="s">
        <v>222</v>
      </c>
      <c r="C194">
        <v>2732.9778670000001</v>
      </c>
    </row>
    <row r="195" spans="1:3" x14ac:dyDescent="0.25">
      <c r="A195" t="s">
        <v>411</v>
      </c>
      <c r="B195" t="s">
        <v>222</v>
      </c>
      <c r="C195">
        <v>2747.9523800000002</v>
      </c>
    </row>
    <row r="196" spans="1:3" x14ac:dyDescent="0.25">
      <c r="A196" t="s">
        <v>412</v>
      </c>
      <c r="B196" t="s">
        <v>222</v>
      </c>
      <c r="C196">
        <v>2759.0047519999998</v>
      </c>
    </row>
    <row r="197" spans="1:3" x14ac:dyDescent="0.25">
      <c r="A197" t="s">
        <v>413</v>
      </c>
      <c r="B197" t="s">
        <v>222</v>
      </c>
      <c r="C197">
        <v>2481.8885989999999</v>
      </c>
    </row>
    <row r="198" spans="1:3" x14ac:dyDescent="0.25">
      <c r="A198" t="s">
        <v>414</v>
      </c>
      <c r="B198" t="s">
        <v>222</v>
      </c>
      <c r="C198">
        <v>2772.9840159999999</v>
      </c>
    </row>
    <row r="199" spans="1:3" x14ac:dyDescent="0.25">
      <c r="A199" t="s">
        <v>415</v>
      </c>
      <c r="B199" t="s">
        <v>222</v>
      </c>
      <c r="C199">
        <v>2788.9789300000002</v>
      </c>
    </row>
    <row r="200" spans="1:3" x14ac:dyDescent="0.25">
      <c r="A200" t="s">
        <v>416</v>
      </c>
      <c r="B200" t="s">
        <v>222</v>
      </c>
      <c r="C200">
        <v>2789.9993319999999</v>
      </c>
    </row>
    <row r="201" spans="1:3" x14ac:dyDescent="0.25">
      <c r="A201" t="s">
        <v>417</v>
      </c>
      <c r="B201" t="s">
        <v>222</v>
      </c>
      <c r="C201">
        <v>2800.031301</v>
      </c>
    </row>
    <row r="202" spans="1:3" x14ac:dyDescent="0.25">
      <c r="A202" t="s">
        <v>418</v>
      </c>
      <c r="B202" t="s">
        <v>222</v>
      </c>
      <c r="C202">
        <v>2804.9738440000001</v>
      </c>
    </row>
    <row r="203" spans="1:3" x14ac:dyDescent="0.25">
      <c r="A203" t="s">
        <v>419</v>
      </c>
      <c r="B203" t="s">
        <v>222</v>
      </c>
      <c r="C203">
        <v>2805.9942460000002</v>
      </c>
    </row>
    <row r="204" spans="1:3" x14ac:dyDescent="0.25">
      <c r="A204" t="s">
        <v>420</v>
      </c>
      <c r="B204" t="s">
        <v>222</v>
      </c>
      <c r="C204">
        <v>2805.9942470000001</v>
      </c>
    </row>
    <row r="205" spans="1:3" x14ac:dyDescent="0.25">
      <c r="A205" t="s">
        <v>421</v>
      </c>
      <c r="B205" t="s">
        <v>222</v>
      </c>
      <c r="C205">
        <v>2861.0000599999998</v>
      </c>
    </row>
    <row r="206" spans="1:3" x14ac:dyDescent="0.25">
      <c r="A206" t="s">
        <v>422</v>
      </c>
      <c r="B206" t="s">
        <v>222</v>
      </c>
      <c r="C206">
        <v>2864.0361119999998</v>
      </c>
    </row>
    <row r="207" spans="1:3" x14ac:dyDescent="0.25">
      <c r="A207" t="s">
        <v>423</v>
      </c>
      <c r="B207" t="s">
        <v>222</v>
      </c>
      <c r="C207">
        <v>2876.9949740000002</v>
      </c>
    </row>
    <row r="208" spans="1:3" x14ac:dyDescent="0.25">
      <c r="A208" t="s">
        <v>424</v>
      </c>
      <c r="B208" t="s">
        <v>222</v>
      </c>
      <c r="C208">
        <v>2878.0153759999998</v>
      </c>
    </row>
    <row r="209" spans="1:3" x14ac:dyDescent="0.25">
      <c r="A209" t="s">
        <v>425</v>
      </c>
      <c r="B209" t="s">
        <v>222</v>
      </c>
      <c r="C209">
        <v>2892.9898880000001</v>
      </c>
    </row>
    <row r="210" spans="1:3" x14ac:dyDescent="0.25">
      <c r="A210" t="s">
        <v>426</v>
      </c>
      <c r="B210" t="s">
        <v>222</v>
      </c>
      <c r="C210">
        <v>2894.0102900000002</v>
      </c>
    </row>
    <row r="211" spans="1:3" x14ac:dyDescent="0.25">
      <c r="A211" t="s">
        <v>427</v>
      </c>
      <c r="B211" t="s">
        <v>222</v>
      </c>
      <c r="C211">
        <v>2896.051093</v>
      </c>
    </row>
    <row r="212" spans="1:3" x14ac:dyDescent="0.25">
      <c r="A212" t="s">
        <v>428</v>
      </c>
      <c r="B212" t="s">
        <v>222</v>
      </c>
      <c r="C212">
        <v>2908.9848019999999</v>
      </c>
    </row>
    <row r="213" spans="1:3" x14ac:dyDescent="0.25">
      <c r="A213" t="s">
        <v>429</v>
      </c>
      <c r="B213" t="s">
        <v>222</v>
      </c>
      <c r="C213">
        <v>2910.005204</v>
      </c>
    </row>
    <row r="214" spans="1:3" x14ac:dyDescent="0.25">
      <c r="A214" t="s">
        <v>430</v>
      </c>
      <c r="B214" t="s">
        <v>222</v>
      </c>
      <c r="C214">
        <v>2919.041925</v>
      </c>
    </row>
    <row r="215" spans="1:3" x14ac:dyDescent="0.25">
      <c r="A215" t="s">
        <v>431</v>
      </c>
      <c r="B215" t="s">
        <v>222</v>
      </c>
      <c r="C215">
        <v>2627.946508</v>
      </c>
    </row>
    <row r="216" spans="1:3" x14ac:dyDescent="0.25">
      <c r="A216" t="s">
        <v>432</v>
      </c>
      <c r="B216" t="s">
        <v>222</v>
      </c>
      <c r="C216">
        <v>2921.0575760000002</v>
      </c>
    </row>
    <row r="217" spans="1:3" x14ac:dyDescent="0.25">
      <c r="A217" t="s">
        <v>433</v>
      </c>
      <c r="B217" t="s">
        <v>222</v>
      </c>
      <c r="C217">
        <v>2935.0368389999999</v>
      </c>
    </row>
    <row r="218" spans="1:3" x14ac:dyDescent="0.25">
      <c r="A218" t="s">
        <v>434</v>
      </c>
      <c r="B218" t="s">
        <v>222</v>
      </c>
      <c r="C218">
        <v>2935.0368400000002</v>
      </c>
    </row>
    <row r="219" spans="1:3" x14ac:dyDescent="0.25">
      <c r="A219" t="s">
        <v>435</v>
      </c>
      <c r="B219" t="s">
        <v>222</v>
      </c>
      <c r="C219">
        <v>2937.0776420000002</v>
      </c>
    </row>
    <row r="220" spans="1:3" x14ac:dyDescent="0.25">
      <c r="A220" t="s">
        <v>436</v>
      </c>
      <c r="B220" t="s">
        <v>222</v>
      </c>
      <c r="C220">
        <v>2946.0892100000001</v>
      </c>
    </row>
    <row r="221" spans="1:3" x14ac:dyDescent="0.25">
      <c r="A221" t="s">
        <v>437</v>
      </c>
      <c r="B221" t="s">
        <v>222</v>
      </c>
      <c r="C221">
        <v>2951.0317540000001</v>
      </c>
    </row>
    <row r="222" spans="1:3" x14ac:dyDescent="0.25">
      <c r="A222" t="s">
        <v>438</v>
      </c>
      <c r="B222" t="s">
        <v>222</v>
      </c>
      <c r="C222">
        <v>2951.0317530000002</v>
      </c>
    </row>
    <row r="223" spans="1:3" x14ac:dyDescent="0.25">
      <c r="A223" t="s">
        <v>439</v>
      </c>
      <c r="B223" t="s">
        <v>222</v>
      </c>
      <c r="C223">
        <v>2952.0521560000002</v>
      </c>
    </row>
    <row r="224" spans="1:3" x14ac:dyDescent="0.25">
      <c r="A224" t="s">
        <v>440</v>
      </c>
      <c r="B224" t="s">
        <v>222</v>
      </c>
      <c r="C224">
        <v>2967.026668</v>
      </c>
    </row>
    <row r="225" spans="1:3" x14ac:dyDescent="0.25">
      <c r="A225" t="s">
        <v>441</v>
      </c>
      <c r="B225" t="s">
        <v>222</v>
      </c>
      <c r="C225">
        <v>3007.057969</v>
      </c>
    </row>
    <row r="226" spans="1:3" x14ac:dyDescent="0.25">
      <c r="A226" t="s">
        <v>442</v>
      </c>
      <c r="B226" t="s">
        <v>222</v>
      </c>
      <c r="C226">
        <v>3009.0736200000001</v>
      </c>
    </row>
    <row r="227" spans="1:3" x14ac:dyDescent="0.25">
      <c r="A227" t="s">
        <v>443</v>
      </c>
      <c r="B227" t="s">
        <v>222</v>
      </c>
      <c r="C227">
        <v>3023.0528829999998</v>
      </c>
    </row>
    <row r="228" spans="1:3" x14ac:dyDescent="0.25">
      <c r="A228" t="s">
        <v>444</v>
      </c>
      <c r="B228" t="s">
        <v>222</v>
      </c>
      <c r="C228">
        <v>3025.068534</v>
      </c>
    </row>
    <row r="229" spans="1:3" x14ac:dyDescent="0.25">
      <c r="A229" t="s">
        <v>445</v>
      </c>
      <c r="B229" t="s">
        <v>222</v>
      </c>
      <c r="C229">
        <v>3039.0477970000002</v>
      </c>
    </row>
    <row r="230" spans="1:3" x14ac:dyDescent="0.25">
      <c r="A230" t="s">
        <v>446</v>
      </c>
      <c r="B230" t="s">
        <v>222</v>
      </c>
      <c r="C230">
        <v>2756.9891010000001</v>
      </c>
    </row>
    <row r="231" spans="1:3" x14ac:dyDescent="0.25">
      <c r="A231" t="s">
        <v>447</v>
      </c>
      <c r="B231" t="s">
        <v>222</v>
      </c>
      <c r="C231">
        <v>2465.8936840000001</v>
      </c>
    </row>
    <row r="232" spans="1:3" x14ac:dyDescent="0.25">
      <c r="A232" t="s">
        <v>448</v>
      </c>
      <c r="B232" t="s">
        <v>222</v>
      </c>
      <c r="C232">
        <v>3048.0845180000001</v>
      </c>
    </row>
    <row r="233" spans="1:3" x14ac:dyDescent="0.25">
      <c r="A233" t="s">
        <v>449</v>
      </c>
      <c r="B233" t="s">
        <v>222</v>
      </c>
      <c r="C233">
        <v>3055.0427110000001</v>
      </c>
    </row>
    <row r="234" spans="1:3" x14ac:dyDescent="0.25">
      <c r="A234" t="s">
        <v>450</v>
      </c>
      <c r="B234" t="s">
        <v>222</v>
      </c>
      <c r="C234">
        <v>2772.984015</v>
      </c>
    </row>
    <row r="235" spans="1:3" x14ac:dyDescent="0.25">
      <c r="A235" t="s">
        <v>451</v>
      </c>
      <c r="B235" t="s">
        <v>222</v>
      </c>
      <c r="C235">
        <v>3064.079432</v>
      </c>
    </row>
    <row r="236" spans="1:3" x14ac:dyDescent="0.25">
      <c r="A236" t="s">
        <v>452</v>
      </c>
      <c r="B236" t="s">
        <v>222</v>
      </c>
      <c r="C236">
        <v>3067.1154849999998</v>
      </c>
    </row>
    <row r="237" spans="1:3" x14ac:dyDescent="0.25">
      <c r="A237" t="s">
        <v>453</v>
      </c>
      <c r="B237" t="s">
        <v>222</v>
      </c>
      <c r="C237">
        <v>3080.0743459999999</v>
      </c>
    </row>
    <row r="238" spans="1:3" x14ac:dyDescent="0.25">
      <c r="A238" t="s">
        <v>454</v>
      </c>
      <c r="B238" t="s">
        <v>222</v>
      </c>
      <c r="C238">
        <v>3081.0947489999999</v>
      </c>
    </row>
    <row r="239" spans="1:3" x14ac:dyDescent="0.25">
      <c r="A239" t="s">
        <v>455</v>
      </c>
      <c r="B239" t="s">
        <v>222</v>
      </c>
      <c r="C239">
        <v>3083.1104</v>
      </c>
    </row>
    <row r="240" spans="1:3" x14ac:dyDescent="0.25">
      <c r="A240" t="s">
        <v>456</v>
      </c>
      <c r="B240" t="s">
        <v>222</v>
      </c>
      <c r="C240">
        <v>3083.1355509999999</v>
      </c>
    </row>
    <row r="241" spans="1:3" x14ac:dyDescent="0.25">
      <c r="A241" t="s">
        <v>457</v>
      </c>
      <c r="B241" t="s">
        <v>222</v>
      </c>
      <c r="C241">
        <v>3096.0692600000002</v>
      </c>
    </row>
    <row r="242" spans="1:3" x14ac:dyDescent="0.25">
      <c r="A242" t="s">
        <v>458</v>
      </c>
      <c r="B242" t="s">
        <v>222</v>
      </c>
      <c r="C242">
        <v>3147.1152109999998</v>
      </c>
    </row>
    <row r="243" spans="1:3" x14ac:dyDescent="0.25">
      <c r="A243" t="s">
        <v>459</v>
      </c>
      <c r="B243" t="s">
        <v>222</v>
      </c>
      <c r="C243">
        <v>3165.1634979999999</v>
      </c>
    </row>
    <row r="244" spans="1:3" x14ac:dyDescent="0.25">
      <c r="A244" t="s">
        <v>460</v>
      </c>
      <c r="B244" t="s">
        <v>222</v>
      </c>
      <c r="C244">
        <v>3210.137342</v>
      </c>
    </row>
    <row r="245" spans="1:3" x14ac:dyDescent="0.25">
      <c r="A245" t="s">
        <v>461</v>
      </c>
      <c r="B245" t="s">
        <v>222</v>
      </c>
      <c r="C245">
        <v>3226.1322559999999</v>
      </c>
    </row>
    <row r="246" spans="1:3" x14ac:dyDescent="0.25">
      <c r="A246" t="s">
        <v>462</v>
      </c>
      <c r="B246" t="s">
        <v>222</v>
      </c>
      <c r="C246">
        <v>3226.1322570000002</v>
      </c>
    </row>
    <row r="247" spans="1:3" x14ac:dyDescent="0.25">
      <c r="A247" t="s">
        <v>463</v>
      </c>
      <c r="B247" t="s">
        <v>222</v>
      </c>
      <c r="C247">
        <v>3228.1730590000002</v>
      </c>
    </row>
    <row r="248" spans="1:3" x14ac:dyDescent="0.25">
      <c r="A248" t="s">
        <v>464</v>
      </c>
      <c r="B248" t="s">
        <v>222</v>
      </c>
      <c r="C248">
        <v>3229.1683090000001</v>
      </c>
    </row>
    <row r="249" spans="1:3" x14ac:dyDescent="0.25">
      <c r="A249" t="s">
        <v>465</v>
      </c>
      <c r="B249" t="s">
        <v>222</v>
      </c>
      <c r="C249">
        <v>3242.1271710000001</v>
      </c>
    </row>
    <row r="250" spans="1:3" x14ac:dyDescent="0.25">
      <c r="A250" t="s">
        <v>466</v>
      </c>
      <c r="B250" t="s">
        <v>222</v>
      </c>
      <c r="C250">
        <v>3242.1271700000002</v>
      </c>
    </row>
    <row r="251" spans="1:3" x14ac:dyDescent="0.25">
      <c r="A251" t="s">
        <v>467</v>
      </c>
      <c r="B251" t="s">
        <v>222</v>
      </c>
      <c r="C251">
        <v>3244.1679730000001</v>
      </c>
    </row>
    <row r="252" spans="1:3" x14ac:dyDescent="0.25">
      <c r="A252" t="s">
        <v>468</v>
      </c>
      <c r="B252" t="s">
        <v>222</v>
      </c>
      <c r="C252">
        <v>3258.1220840000001</v>
      </c>
    </row>
    <row r="253" spans="1:3" x14ac:dyDescent="0.25">
      <c r="A253" t="s">
        <v>469</v>
      </c>
      <c r="B253" t="s">
        <v>222</v>
      </c>
      <c r="C253">
        <v>3276.1578039999999</v>
      </c>
    </row>
    <row r="254" spans="1:3" x14ac:dyDescent="0.25">
      <c r="A254" t="s">
        <v>470</v>
      </c>
      <c r="B254" t="s">
        <v>222</v>
      </c>
      <c r="C254">
        <v>3284.1741219999999</v>
      </c>
    </row>
    <row r="255" spans="1:3" x14ac:dyDescent="0.25">
      <c r="A255" t="s">
        <v>471</v>
      </c>
      <c r="B255" t="s">
        <v>222</v>
      </c>
      <c r="C255">
        <v>3292.1527179999998</v>
      </c>
    </row>
    <row r="256" spans="1:3" x14ac:dyDescent="0.25">
      <c r="A256" t="s">
        <v>472</v>
      </c>
      <c r="B256" t="s">
        <v>222</v>
      </c>
      <c r="C256">
        <v>3372.1901659999999</v>
      </c>
    </row>
    <row r="257" spans="1:3" x14ac:dyDescent="0.25">
      <c r="A257" t="s">
        <v>473</v>
      </c>
      <c r="B257" t="s">
        <v>222</v>
      </c>
      <c r="C257">
        <v>3405.2003970000001</v>
      </c>
    </row>
    <row r="258" spans="1:3" x14ac:dyDescent="0.25">
      <c r="A258" t="s">
        <v>474</v>
      </c>
      <c r="B258" t="s">
        <v>222</v>
      </c>
      <c r="C258">
        <v>3421.1953109999999</v>
      </c>
    </row>
    <row r="259" spans="1:3" x14ac:dyDescent="0.25">
      <c r="A259" t="s">
        <v>475</v>
      </c>
      <c r="B259" t="s">
        <v>222</v>
      </c>
      <c r="C259">
        <v>3432.2476820000002</v>
      </c>
    </row>
    <row r="260" spans="1:3" x14ac:dyDescent="0.25">
      <c r="A260" t="s">
        <v>476</v>
      </c>
      <c r="B260" t="s">
        <v>222</v>
      </c>
      <c r="C260">
        <v>3155.1315289999998</v>
      </c>
    </row>
    <row r="261" spans="1:3" x14ac:dyDescent="0.25">
      <c r="A261" t="s">
        <v>477</v>
      </c>
      <c r="B261" t="s">
        <v>222</v>
      </c>
      <c r="C261">
        <v>3446.2269460000002</v>
      </c>
    </row>
    <row r="262" spans="1:3" x14ac:dyDescent="0.25">
      <c r="A262" t="s">
        <v>478</v>
      </c>
      <c r="B262" t="s">
        <v>222</v>
      </c>
      <c r="C262">
        <v>3448.2425969999999</v>
      </c>
    </row>
    <row r="263" spans="1:3" x14ac:dyDescent="0.25">
      <c r="A263" t="s">
        <v>479</v>
      </c>
      <c r="B263" t="s">
        <v>222</v>
      </c>
      <c r="C263">
        <v>3462.2218600000001</v>
      </c>
    </row>
    <row r="264" spans="1:3" x14ac:dyDescent="0.25">
      <c r="A264" t="s">
        <v>480</v>
      </c>
      <c r="B264" t="s">
        <v>222</v>
      </c>
      <c r="C264">
        <v>3478.216774</v>
      </c>
    </row>
    <row r="265" spans="1:3" x14ac:dyDescent="0.25">
      <c r="A265" t="s">
        <v>481</v>
      </c>
      <c r="B265" t="s">
        <v>222</v>
      </c>
      <c r="C265">
        <v>3517.2276740000002</v>
      </c>
    </row>
    <row r="266" spans="1:3" x14ac:dyDescent="0.25">
      <c r="A266" t="s">
        <v>482</v>
      </c>
      <c r="B266" t="s">
        <v>222</v>
      </c>
      <c r="C266">
        <v>3533.2225880000001</v>
      </c>
    </row>
    <row r="267" spans="1:3" x14ac:dyDescent="0.25">
      <c r="A267" t="s">
        <v>483</v>
      </c>
      <c r="B267" t="s">
        <v>222</v>
      </c>
      <c r="C267">
        <v>3549.217502</v>
      </c>
    </row>
    <row r="268" spans="1:3" x14ac:dyDescent="0.25">
      <c r="A268" t="s">
        <v>484</v>
      </c>
      <c r="B268" t="s">
        <v>222</v>
      </c>
      <c r="C268">
        <v>3575.2695389999999</v>
      </c>
    </row>
    <row r="269" spans="1:3" x14ac:dyDescent="0.25">
      <c r="A269" t="s">
        <v>485</v>
      </c>
      <c r="B269" t="s">
        <v>222</v>
      </c>
      <c r="C269">
        <v>3591.2644529999998</v>
      </c>
    </row>
    <row r="270" spans="1:3" x14ac:dyDescent="0.25">
      <c r="A270" t="s">
        <v>486</v>
      </c>
      <c r="B270" t="s">
        <v>222</v>
      </c>
      <c r="C270">
        <v>3594.300506</v>
      </c>
    </row>
    <row r="271" spans="1:3" x14ac:dyDescent="0.25">
      <c r="A271" t="s">
        <v>487</v>
      </c>
      <c r="B271" t="s">
        <v>222</v>
      </c>
      <c r="C271">
        <v>3607.2593670000001</v>
      </c>
    </row>
    <row r="272" spans="1:3" x14ac:dyDescent="0.25">
      <c r="A272" t="s">
        <v>488</v>
      </c>
      <c r="B272" t="s">
        <v>222</v>
      </c>
      <c r="C272">
        <v>3663.2855829999999</v>
      </c>
    </row>
    <row r="273" spans="1:3" x14ac:dyDescent="0.25">
      <c r="A273" t="s">
        <v>489</v>
      </c>
      <c r="B273" t="s">
        <v>222</v>
      </c>
      <c r="C273">
        <v>3679.2804970000002</v>
      </c>
    </row>
    <row r="274" spans="1:3" x14ac:dyDescent="0.25">
      <c r="A274" t="s">
        <v>490</v>
      </c>
      <c r="B274" t="s">
        <v>222</v>
      </c>
      <c r="C274">
        <v>3704.312132</v>
      </c>
    </row>
    <row r="275" spans="1:3" x14ac:dyDescent="0.25">
      <c r="A275" t="s">
        <v>491</v>
      </c>
      <c r="B275" t="s">
        <v>222</v>
      </c>
      <c r="C275">
        <v>3720.3070459999999</v>
      </c>
    </row>
    <row r="276" spans="1:3" x14ac:dyDescent="0.25">
      <c r="A276" t="s">
        <v>492</v>
      </c>
      <c r="B276" t="s">
        <v>222</v>
      </c>
      <c r="C276">
        <v>3737.3223630000002</v>
      </c>
    </row>
    <row r="277" spans="1:3" x14ac:dyDescent="0.25">
      <c r="A277" t="s">
        <v>493</v>
      </c>
      <c r="B277" t="s">
        <v>222</v>
      </c>
      <c r="C277">
        <v>3753.3172770000001</v>
      </c>
    </row>
    <row r="278" spans="1:3" x14ac:dyDescent="0.25">
      <c r="A278" t="s">
        <v>494</v>
      </c>
      <c r="B278" t="s">
        <v>222</v>
      </c>
      <c r="C278">
        <v>3769.312191</v>
      </c>
    </row>
    <row r="279" spans="1:3" x14ac:dyDescent="0.25">
      <c r="A279" t="s">
        <v>495</v>
      </c>
      <c r="B279" t="s">
        <v>222</v>
      </c>
      <c r="C279">
        <v>3785.3071049999999</v>
      </c>
    </row>
    <row r="280" spans="1:3" x14ac:dyDescent="0.25">
      <c r="A280" t="s">
        <v>496</v>
      </c>
      <c r="B280" t="s">
        <v>222</v>
      </c>
      <c r="C280">
        <v>3797.3798790000001</v>
      </c>
    </row>
    <row r="281" spans="1:3" x14ac:dyDescent="0.25">
      <c r="A281" t="s">
        <v>497</v>
      </c>
      <c r="B281" t="s">
        <v>222</v>
      </c>
      <c r="C281">
        <v>3866.3649559999999</v>
      </c>
    </row>
    <row r="282" spans="1:3" x14ac:dyDescent="0.25">
      <c r="A282" t="s">
        <v>498</v>
      </c>
      <c r="B282" t="s">
        <v>222</v>
      </c>
      <c r="C282">
        <v>4028.4177800000002</v>
      </c>
    </row>
    <row r="283" spans="1:3" x14ac:dyDescent="0.25">
      <c r="A283" t="s">
        <v>499</v>
      </c>
      <c r="B283" t="s">
        <v>222</v>
      </c>
      <c r="C283">
        <v>4102.4545600000001</v>
      </c>
    </row>
    <row r="284" spans="1:3" x14ac:dyDescent="0.25">
      <c r="A284" t="s">
        <v>500</v>
      </c>
      <c r="B284" t="s">
        <v>222</v>
      </c>
      <c r="C284">
        <v>4118.449474</v>
      </c>
    </row>
    <row r="285" spans="1:3" x14ac:dyDescent="0.25">
      <c r="A285" t="s">
        <v>501</v>
      </c>
      <c r="B285" t="s">
        <v>222</v>
      </c>
      <c r="C285">
        <v>4134.4443879999999</v>
      </c>
    </row>
    <row r="286" spans="1:3" x14ac:dyDescent="0.25">
      <c r="A286" t="s">
        <v>502</v>
      </c>
      <c r="B286" t="s">
        <v>222</v>
      </c>
      <c r="C286">
        <v>4307.5495840000003</v>
      </c>
    </row>
    <row r="287" spans="1:3" x14ac:dyDescent="0.25">
      <c r="A287" t="s">
        <v>503</v>
      </c>
      <c r="B287" t="s">
        <v>222</v>
      </c>
      <c r="C287">
        <v>4323.5444980000002</v>
      </c>
    </row>
    <row r="288" spans="1:3" x14ac:dyDescent="0.25">
      <c r="A288" t="s">
        <v>504</v>
      </c>
      <c r="B288" t="s">
        <v>222</v>
      </c>
      <c r="C288">
        <v>4393.5499769999997</v>
      </c>
    </row>
    <row r="289" spans="1:3" x14ac:dyDescent="0.25">
      <c r="A289" t="s">
        <v>505</v>
      </c>
      <c r="B289" t="s">
        <v>222</v>
      </c>
      <c r="C289">
        <v>4758.6821739999996</v>
      </c>
    </row>
    <row r="290" spans="1:3" x14ac:dyDescent="0.25">
      <c r="A290" t="s">
        <v>72</v>
      </c>
    </row>
    <row r="291" spans="1:3" x14ac:dyDescent="0.25">
      <c r="A291" t="s">
        <v>77</v>
      </c>
    </row>
    <row r="292" spans="1:3" x14ac:dyDescent="0.25">
      <c r="A292" t="s">
        <v>78</v>
      </c>
    </row>
    <row r="293" spans="1:3" x14ac:dyDescent="0.25">
      <c r="A293" t="s">
        <v>79</v>
      </c>
    </row>
    <row r="294" spans="1:3" x14ac:dyDescent="0.25">
      <c r="A294" t="s">
        <v>80</v>
      </c>
    </row>
    <row r="295" spans="1:3" x14ac:dyDescent="0.25">
      <c r="A295" t="s">
        <v>81</v>
      </c>
    </row>
    <row r="296" spans="1:3" x14ac:dyDescent="0.25">
      <c r="A296" t="s">
        <v>82</v>
      </c>
    </row>
    <row r="297" spans="1:3" x14ac:dyDescent="0.25">
      <c r="A297" t="s">
        <v>83</v>
      </c>
    </row>
    <row r="298" spans="1:3" x14ac:dyDescent="0.25">
      <c r="A298" t="s">
        <v>84</v>
      </c>
    </row>
    <row r="299" spans="1:3" x14ac:dyDescent="0.25">
      <c r="A299" t="s">
        <v>85</v>
      </c>
    </row>
    <row r="300" spans="1:3" x14ac:dyDescent="0.25">
      <c r="A300" t="s">
        <v>86</v>
      </c>
    </row>
    <row r="301" spans="1:3" x14ac:dyDescent="0.25">
      <c r="A301" t="s">
        <v>87</v>
      </c>
    </row>
    <row r="302" spans="1:3" x14ac:dyDescent="0.25">
      <c r="A302" t="s">
        <v>88</v>
      </c>
    </row>
    <row r="303" spans="1:3" x14ac:dyDescent="0.25">
      <c r="A303" t="s">
        <v>89</v>
      </c>
    </row>
    <row r="304" spans="1:3" x14ac:dyDescent="0.25">
      <c r="A304" t="s">
        <v>90</v>
      </c>
    </row>
    <row r="305" spans="1:3" x14ac:dyDescent="0.25">
      <c r="A305" t="s">
        <v>91</v>
      </c>
    </row>
    <row r="306" spans="1:3" x14ac:dyDescent="0.25">
      <c r="A306" t="s">
        <v>92</v>
      </c>
      <c r="B306" t="s">
        <v>222</v>
      </c>
      <c r="C306">
        <v>1241.4545000000001</v>
      </c>
    </row>
    <row r="307" spans="1:3" x14ac:dyDescent="0.25">
      <c r="A307" t="s">
        <v>93</v>
      </c>
      <c r="B307" t="s">
        <v>222</v>
      </c>
      <c r="C307">
        <v>1257.449415</v>
      </c>
    </row>
    <row r="308" spans="1:3" x14ac:dyDescent="0.25">
      <c r="A308" t="s">
        <v>94</v>
      </c>
      <c r="B308" t="s">
        <v>222</v>
      </c>
      <c r="C308">
        <v>1298.475964</v>
      </c>
    </row>
    <row r="309" spans="1:3" x14ac:dyDescent="0.25">
      <c r="A309" t="s">
        <v>95</v>
      </c>
      <c r="B309" t="s">
        <v>222</v>
      </c>
      <c r="C309">
        <v>1362.480775</v>
      </c>
    </row>
    <row r="310" spans="1:3" x14ac:dyDescent="0.25">
      <c r="A310" t="s">
        <v>96</v>
      </c>
      <c r="B310" t="s">
        <v>222</v>
      </c>
      <c r="C310">
        <v>1378.47569</v>
      </c>
    </row>
    <row r="311" spans="1:3" x14ac:dyDescent="0.25">
      <c r="A311" t="s">
        <v>97</v>
      </c>
      <c r="B311" t="s">
        <v>222</v>
      </c>
      <c r="C311">
        <v>1387.5124089999999</v>
      </c>
    </row>
    <row r="312" spans="1:3" x14ac:dyDescent="0.25">
      <c r="A312" t="s">
        <v>98</v>
      </c>
      <c r="B312" t="s">
        <v>222</v>
      </c>
      <c r="C312">
        <v>1403.5073239999999</v>
      </c>
    </row>
    <row r="313" spans="1:3" x14ac:dyDescent="0.25">
      <c r="A313" t="s">
        <v>99</v>
      </c>
      <c r="B313" t="s">
        <v>222</v>
      </c>
      <c r="C313">
        <v>1419.5022389999999</v>
      </c>
    </row>
    <row r="314" spans="1:3" x14ac:dyDescent="0.25">
      <c r="A314" t="s">
        <v>100</v>
      </c>
      <c r="B314" t="s">
        <v>222</v>
      </c>
      <c r="C314">
        <v>1444.5338730000001</v>
      </c>
    </row>
    <row r="315" spans="1:3" x14ac:dyDescent="0.25">
      <c r="A315" t="s">
        <v>101</v>
      </c>
      <c r="B315" t="s">
        <v>222</v>
      </c>
      <c r="C315">
        <v>1460.5287880000001</v>
      </c>
    </row>
    <row r="316" spans="1:3" x14ac:dyDescent="0.25">
      <c r="A316" t="s">
        <v>102</v>
      </c>
      <c r="B316" t="s">
        <v>222</v>
      </c>
      <c r="C316">
        <v>1501.555337</v>
      </c>
    </row>
    <row r="317" spans="1:3" x14ac:dyDescent="0.25">
      <c r="A317" t="s">
        <v>103</v>
      </c>
      <c r="B317" t="s">
        <v>222</v>
      </c>
      <c r="C317">
        <v>1540.5285140000001</v>
      </c>
    </row>
    <row r="318" spans="1:3" x14ac:dyDescent="0.25">
      <c r="A318" t="s">
        <v>104</v>
      </c>
      <c r="B318" t="s">
        <v>222</v>
      </c>
      <c r="C318">
        <v>1548.544832</v>
      </c>
    </row>
    <row r="319" spans="1:3" x14ac:dyDescent="0.25">
      <c r="A319" t="s">
        <v>105</v>
      </c>
      <c r="B319" t="s">
        <v>222</v>
      </c>
      <c r="C319">
        <v>1549.565233</v>
      </c>
    </row>
    <row r="320" spans="1:3" x14ac:dyDescent="0.25">
      <c r="A320" t="s">
        <v>106</v>
      </c>
      <c r="B320" t="s">
        <v>222</v>
      </c>
      <c r="C320">
        <v>1564.5397459999999</v>
      </c>
    </row>
    <row r="321" spans="1:3" x14ac:dyDescent="0.25">
      <c r="A321" t="s">
        <v>107</v>
      </c>
      <c r="B321" t="s">
        <v>222</v>
      </c>
      <c r="C321">
        <v>1565.560148</v>
      </c>
    </row>
    <row r="322" spans="1:3" x14ac:dyDescent="0.25">
      <c r="A322" t="s">
        <v>108</v>
      </c>
      <c r="B322" t="s">
        <v>222</v>
      </c>
      <c r="C322">
        <v>1581.555063</v>
      </c>
    </row>
    <row r="323" spans="1:3" x14ac:dyDescent="0.25">
      <c r="A323" t="s">
        <v>109</v>
      </c>
      <c r="B323" t="s">
        <v>222</v>
      </c>
      <c r="C323">
        <v>1589.571381</v>
      </c>
    </row>
    <row r="324" spans="1:3" x14ac:dyDescent="0.25">
      <c r="A324" t="s">
        <v>110</v>
      </c>
      <c r="B324" t="s">
        <v>222</v>
      </c>
      <c r="C324">
        <v>1590.591782</v>
      </c>
    </row>
    <row r="325" spans="1:3" x14ac:dyDescent="0.25">
      <c r="A325" t="s">
        <v>111</v>
      </c>
      <c r="B325" t="s">
        <v>222</v>
      </c>
      <c r="C325">
        <v>1605.5662950000001</v>
      </c>
    </row>
    <row r="326" spans="1:3" x14ac:dyDescent="0.25">
      <c r="A326" t="s">
        <v>112</v>
      </c>
      <c r="B326" t="s">
        <v>222</v>
      </c>
      <c r="C326">
        <v>1606.586697</v>
      </c>
    </row>
    <row r="327" spans="1:3" x14ac:dyDescent="0.25">
      <c r="A327" t="s">
        <v>113</v>
      </c>
      <c r="B327" t="s">
        <v>222</v>
      </c>
      <c r="C327">
        <v>1622.581612</v>
      </c>
    </row>
    <row r="328" spans="1:3" x14ac:dyDescent="0.25">
      <c r="A328" t="s">
        <v>114</v>
      </c>
      <c r="B328" t="s">
        <v>222</v>
      </c>
      <c r="C328">
        <v>1647.6132459999999</v>
      </c>
    </row>
    <row r="329" spans="1:3" x14ac:dyDescent="0.25">
      <c r="A329" t="s">
        <v>115</v>
      </c>
      <c r="B329" t="s">
        <v>222</v>
      </c>
      <c r="C329">
        <v>1663.6081610000001</v>
      </c>
    </row>
    <row r="330" spans="1:3" x14ac:dyDescent="0.25">
      <c r="A330" t="s">
        <v>116</v>
      </c>
      <c r="B330" t="s">
        <v>222</v>
      </c>
      <c r="C330">
        <v>1694.6027409999999</v>
      </c>
    </row>
    <row r="331" spans="1:3" x14ac:dyDescent="0.25">
      <c r="A331" t="s">
        <v>117</v>
      </c>
      <c r="B331" t="s">
        <v>222</v>
      </c>
      <c r="C331">
        <v>1702.581338</v>
      </c>
    </row>
    <row r="332" spans="1:3" x14ac:dyDescent="0.25">
      <c r="A332" t="s">
        <v>118</v>
      </c>
      <c r="B332" t="s">
        <v>222</v>
      </c>
      <c r="C332">
        <v>1704.63471</v>
      </c>
    </row>
    <row r="333" spans="1:3" x14ac:dyDescent="0.25">
      <c r="A333" t="s">
        <v>119</v>
      </c>
      <c r="B333" t="s">
        <v>222</v>
      </c>
      <c r="C333">
        <v>1710.597655</v>
      </c>
    </row>
    <row r="334" spans="1:3" x14ac:dyDescent="0.25">
      <c r="A334" t="s">
        <v>120</v>
      </c>
      <c r="B334" t="s">
        <v>222</v>
      </c>
      <c r="C334">
        <v>1710.5976559999999</v>
      </c>
    </row>
    <row r="335" spans="1:3" x14ac:dyDescent="0.25">
      <c r="A335" t="s">
        <v>121</v>
      </c>
      <c r="B335" t="s">
        <v>222</v>
      </c>
      <c r="C335">
        <v>1726.59257</v>
      </c>
    </row>
    <row r="336" spans="1:3" x14ac:dyDescent="0.25">
      <c r="A336" t="s">
        <v>122</v>
      </c>
      <c r="B336" t="s">
        <v>222</v>
      </c>
      <c r="C336">
        <v>1727.6129719999999</v>
      </c>
    </row>
    <row r="337" spans="1:3" x14ac:dyDescent="0.25">
      <c r="A337" t="s">
        <v>123</v>
      </c>
      <c r="B337" t="s">
        <v>222</v>
      </c>
      <c r="C337">
        <v>1736.6496910000001</v>
      </c>
    </row>
    <row r="338" spans="1:3" x14ac:dyDescent="0.25">
      <c r="A338" t="s">
        <v>124</v>
      </c>
      <c r="B338" t="s">
        <v>222</v>
      </c>
      <c r="C338">
        <v>1751.6242050000001</v>
      </c>
    </row>
    <row r="339" spans="1:3" x14ac:dyDescent="0.25">
      <c r="A339" t="s">
        <v>125</v>
      </c>
      <c r="B339" t="s">
        <v>222</v>
      </c>
      <c r="C339">
        <v>1752.6446060000001</v>
      </c>
    </row>
    <row r="340" spans="1:3" x14ac:dyDescent="0.25">
      <c r="A340" t="s">
        <v>126</v>
      </c>
      <c r="B340" t="s">
        <v>222</v>
      </c>
      <c r="C340">
        <v>1767.619119</v>
      </c>
    </row>
    <row r="341" spans="1:3" x14ac:dyDescent="0.25">
      <c r="A341" t="s">
        <v>127</v>
      </c>
      <c r="B341" t="s">
        <v>222</v>
      </c>
      <c r="C341">
        <v>1768.6395210000001</v>
      </c>
    </row>
    <row r="342" spans="1:3" x14ac:dyDescent="0.25">
      <c r="A342" t="s">
        <v>128</v>
      </c>
      <c r="B342" t="s">
        <v>222</v>
      </c>
      <c r="C342">
        <v>1784.6344360000001</v>
      </c>
    </row>
    <row r="343" spans="1:3" x14ac:dyDescent="0.25">
      <c r="A343" t="s">
        <v>129</v>
      </c>
      <c r="B343" t="s">
        <v>222</v>
      </c>
      <c r="C343">
        <v>1809.66607</v>
      </c>
    </row>
    <row r="344" spans="1:3" x14ac:dyDescent="0.25">
      <c r="A344" t="s">
        <v>130</v>
      </c>
      <c r="B344" t="s">
        <v>222</v>
      </c>
      <c r="C344">
        <v>1825.660985</v>
      </c>
    </row>
    <row r="345" spans="1:3" x14ac:dyDescent="0.25">
      <c r="A345" t="s">
        <v>131</v>
      </c>
      <c r="B345" t="s">
        <v>222</v>
      </c>
      <c r="C345">
        <v>1850.6926189999999</v>
      </c>
    </row>
    <row r="346" spans="1:3" x14ac:dyDescent="0.25">
      <c r="A346" t="s">
        <v>132</v>
      </c>
      <c r="B346" t="s">
        <v>222</v>
      </c>
      <c r="C346">
        <v>1864.6341620000001</v>
      </c>
    </row>
    <row r="347" spans="1:3" x14ac:dyDescent="0.25">
      <c r="A347" t="s">
        <v>133</v>
      </c>
      <c r="B347" t="s">
        <v>222</v>
      </c>
      <c r="C347">
        <v>1866.6875339999999</v>
      </c>
    </row>
    <row r="348" spans="1:3" x14ac:dyDescent="0.25">
      <c r="A348" t="s">
        <v>134</v>
      </c>
      <c r="B348" t="s">
        <v>222</v>
      </c>
      <c r="C348">
        <v>1872.65048</v>
      </c>
    </row>
    <row r="349" spans="1:3" x14ac:dyDescent="0.25">
      <c r="A349" t="s">
        <v>135</v>
      </c>
      <c r="B349" t="s">
        <v>222</v>
      </c>
      <c r="C349">
        <v>1888.6453939999999</v>
      </c>
    </row>
    <row r="350" spans="1:3" x14ac:dyDescent="0.25">
      <c r="A350" t="s">
        <v>136</v>
      </c>
      <c r="B350" t="s">
        <v>222</v>
      </c>
      <c r="C350">
        <v>1897.682114</v>
      </c>
    </row>
    <row r="351" spans="1:3" x14ac:dyDescent="0.25">
      <c r="A351" t="s">
        <v>137</v>
      </c>
      <c r="B351" t="s">
        <v>222</v>
      </c>
      <c r="C351">
        <v>1907.7140830000001</v>
      </c>
    </row>
    <row r="352" spans="1:3" x14ac:dyDescent="0.25">
      <c r="A352" t="s">
        <v>138</v>
      </c>
      <c r="B352" t="s">
        <v>222</v>
      </c>
      <c r="C352">
        <v>1913.6770280000001</v>
      </c>
    </row>
    <row r="353" spans="1:3" x14ac:dyDescent="0.25">
      <c r="A353" t="s">
        <v>139</v>
      </c>
      <c r="B353" t="s">
        <v>222</v>
      </c>
      <c r="C353">
        <v>1913.6770289999999</v>
      </c>
    </row>
    <row r="354" spans="1:3" x14ac:dyDescent="0.25">
      <c r="A354" t="s">
        <v>140</v>
      </c>
      <c r="B354" t="s">
        <v>222</v>
      </c>
      <c r="C354">
        <v>1914.6974299999999</v>
      </c>
    </row>
    <row r="355" spans="1:3" x14ac:dyDescent="0.25">
      <c r="A355" t="s">
        <v>141</v>
      </c>
      <c r="B355" t="s">
        <v>222</v>
      </c>
      <c r="C355">
        <v>1929.6719430000001</v>
      </c>
    </row>
    <row r="356" spans="1:3" x14ac:dyDescent="0.25">
      <c r="A356" t="s">
        <v>142</v>
      </c>
      <c r="B356" t="s">
        <v>222</v>
      </c>
      <c r="C356">
        <v>1930.6923449999999</v>
      </c>
    </row>
    <row r="357" spans="1:3" x14ac:dyDescent="0.25">
      <c r="A357" t="s">
        <v>143</v>
      </c>
      <c r="B357" t="s">
        <v>222</v>
      </c>
      <c r="C357">
        <v>1938.7086629999999</v>
      </c>
    </row>
    <row r="358" spans="1:3" x14ac:dyDescent="0.25">
      <c r="A358" t="s">
        <v>144</v>
      </c>
      <c r="B358" t="s">
        <v>222</v>
      </c>
      <c r="C358">
        <v>1946.6872599999999</v>
      </c>
    </row>
    <row r="359" spans="1:3" x14ac:dyDescent="0.25">
      <c r="A359" t="s">
        <v>145</v>
      </c>
      <c r="B359" t="s">
        <v>222</v>
      </c>
      <c r="C359">
        <v>1954.7035780000001</v>
      </c>
    </row>
    <row r="360" spans="1:3" x14ac:dyDescent="0.25">
      <c r="A360" t="s">
        <v>146</v>
      </c>
      <c r="B360" t="s">
        <v>222</v>
      </c>
      <c r="C360">
        <v>1954.703577</v>
      </c>
    </row>
    <row r="361" spans="1:3" x14ac:dyDescent="0.25">
      <c r="A361" t="s">
        <v>147</v>
      </c>
      <c r="B361" t="s">
        <v>222</v>
      </c>
      <c r="C361">
        <v>1955.7239790000001</v>
      </c>
    </row>
    <row r="362" spans="1:3" x14ac:dyDescent="0.25">
      <c r="A362" t="s">
        <v>148</v>
      </c>
      <c r="B362" t="s">
        <v>222</v>
      </c>
      <c r="C362">
        <v>1970.698492</v>
      </c>
    </row>
    <row r="363" spans="1:3" x14ac:dyDescent="0.25">
      <c r="A363" t="s">
        <v>149</v>
      </c>
      <c r="B363" t="s">
        <v>222</v>
      </c>
      <c r="C363">
        <v>1971.7188940000001</v>
      </c>
    </row>
    <row r="364" spans="1:3" x14ac:dyDescent="0.25">
      <c r="A364" t="s">
        <v>150</v>
      </c>
      <c r="B364" t="s">
        <v>222</v>
      </c>
      <c r="C364">
        <v>1987.7138090000001</v>
      </c>
    </row>
    <row r="365" spans="1:3" x14ac:dyDescent="0.25">
      <c r="A365" t="s">
        <v>151</v>
      </c>
      <c r="B365" t="s">
        <v>222</v>
      </c>
      <c r="C365">
        <v>1996.750528</v>
      </c>
    </row>
    <row r="366" spans="1:3" x14ac:dyDescent="0.25">
      <c r="A366" t="s">
        <v>152</v>
      </c>
      <c r="B366" t="s">
        <v>222</v>
      </c>
      <c r="C366">
        <v>2012.745443</v>
      </c>
    </row>
    <row r="367" spans="1:3" x14ac:dyDescent="0.25">
      <c r="A367" t="s">
        <v>153</v>
      </c>
      <c r="B367" t="s">
        <v>222</v>
      </c>
      <c r="C367">
        <v>2018.7083889999999</v>
      </c>
    </row>
    <row r="368" spans="1:3" x14ac:dyDescent="0.25">
      <c r="A368" t="s">
        <v>154</v>
      </c>
      <c r="B368" t="s">
        <v>222</v>
      </c>
      <c r="C368">
        <v>2026.6869859999999</v>
      </c>
    </row>
    <row r="369" spans="1:3" x14ac:dyDescent="0.25">
      <c r="A369" t="s">
        <v>155</v>
      </c>
      <c r="B369" t="s">
        <v>222</v>
      </c>
      <c r="C369">
        <v>2028.740358</v>
      </c>
    </row>
    <row r="370" spans="1:3" x14ac:dyDescent="0.25">
      <c r="A370" t="s">
        <v>156</v>
      </c>
      <c r="B370" t="s">
        <v>222</v>
      </c>
      <c r="C370">
        <v>2034.703303</v>
      </c>
    </row>
    <row r="371" spans="1:3" x14ac:dyDescent="0.25">
      <c r="A371" t="s">
        <v>157</v>
      </c>
      <c r="B371" t="s">
        <v>222</v>
      </c>
      <c r="C371">
        <v>2043.7400230000001</v>
      </c>
    </row>
    <row r="372" spans="1:3" x14ac:dyDescent="0.25">
      <c r="A372" t="s">
        <v>158</v>
      </c>
      <c r="B372" t="s">
        <v>222</v>
      </c>
      <c r="C372">
        <v>2053.771992</v>
      </c>
    </row>
    <row r="373" spans="1:3" x14ac:dyDescent="0.25">
      <c r="A373" t="s">
        <v>159</v>
      </c>
      <c r="B373" t="s">
        <v>222</v>
      </c>
      <c r="C373">
        <v>2059.7349380000001</v>
      </c>
    </row>
    <row r="374" spans="1:3" x14ac:dyDescent="0.25">
      <c r="A374" t="s">
        <v>160</v>
      </c>
      <c r="B374" t="s">
        <v>222</v>
      </c>
      <c r="C374">
        <v>2059.7349370000002</v>
      </c>
    </row>
    <row r="375" spans="1:3" x14ac:dyDescent="0.25">
      <c r="A375" t="s">
        <v>161</v>
      </c>
      <c r="B375" t="s">
        <v>222</v>
      </c>
      <c r="C375">
        <v>2060.7553389999998</v>
      </c>
    </row>
    <row r="376" spans="1:3" x14ac:dyDescent="0.25">
      <c r="A376" t="s">
        <v>162</v>
      </c>
      <c r="B376" t="s">
        <v>222</v>
      </c>
      <c r="C376">
        <v>2069.7669070000002</v>
      </c>
    </row>
    <row r="377" spans="1:3" x14ac:dyDescent="0.25">
      <c r="A377" t="s">
        <v>163</v>
      </c>
      <c r="B377" t="s">
        <v>222</v>
      </c>
      <c r="C377">
        <v>2075.7298529999998</v>
      </c>
    </row>
    <row r="378" spans="1:3" x14ac:dyDescent="0.25">
      <c r="A378" t="s">
        <v>164</v>
      </c>
      <c r="B378" t="s">
        <v>222</v>
      </c>
      <c r="C378">
        <v>2075.7298519999999</v>
      </c>
    </row>
    <row r="379" spans="1:3" x14ac:dyDescent="0.25">
      <c r="A379" t="s">
        <v>165</v>
      </c>
      <c r="B379" t="s">
        <v>222</v>
      </c>
      <c r="C379">
        <v>2076.750254</v>
      </c>
    </row>
    <row r="380" spans="1:3" x14ac:dyDescent="0.25">
      <c r="A380" t="s">
        <v>166</v>
      </c>
      <c r="B380" t="s">
        <v>222</v>
      </c>
      <c r="C380">
        <v>2091.7247670000002</v>
      </c>
    </row>
    <row r="381" spans="1:3" x14ac:dyDescent="0.25">
      <c r="A381" t="s">
        <v>167</v>
      </c>
      <c r="B381" t="s">
        <v>222</v>
      </c>
      <c r="C381">
        <v>2092.7451689999998</v>
      </c>
    </row>
    <row r="382" spans="1:3" x14ac:dyDescent="0.25">
      <c r="A382" t="s">
        <v>168</v>
      </c>
      <c r="B382" t="s">
        <v>222</v>
      </c>
      <c r="C382">
        <v>2100.7614870000002</v>
      </c>
    </row>
    <row r="383" spans="1:3" x14ac:dyDescent="0.25">
      <c r="A383" t="s">
        <v>169</v>
      </c>
      <c r="B383" t="s">
        <v>222</v>
      </c>
      <c r="C383">
        <v>2110.7934559999999</v>
      </c>
    </row>
    <row r="384" spans="1:3" x14ac:dyDescent="0.25">
      <c r="A384" t="s">
        <v>170</v>
      </c>
      <c r="B384" t="s">
        <v>222</v>
      </c>
      <c r="C384">
        <v>2116.7564010000001</v>
      </c>
    </row>
    <row r="385" spans="1:3" x14ac:dyDescent="0.25">
      <c r="A385" t="s">
        <v>171</v>
      </c>
      <c r="B385" t="s">
        <v>222</v>
      </c>
      <c r="C385">
        <v>2116.756402</v>
      </c>
    </row>
    <row r="386" spans="1:3" x14ac:dyDescent="0.25">
      <c r="A386" t="s">
        <v>172</v>
      </c>
      <c r="B386" t="s">
        <v>222</v>
      </c>
      <c r="C386">
        <v>2117.7768030000002</v>
      </c>
    </row>
    <row r="387" spans="1:3" x14ac:dyDescent="0.25">
      <c r="A387" t="s">
        <v>173</v>
      </c>
      <c r="B387" t="s">
        <v>222</v>
      </c>
      <c r="C387">
        <v>2132.7513159999999</v>
      </c>
    </row>
    <row r="388" spans="1:3" x14ac:dyDescent="0.25">
      <c r="A388" t="s">
        <v>174</v>
      </c>
      <c r="B388" t="s">
        <v>222</v>
      </c>
      <c r="C388">
        <v>2133.771718</v>
      </c>
    </row>
    <row r="389" spans="1:3" x14ac:dyDescent="0.25">
      <c r="A389" t="s">
        <v>175</v>
      </c>
      <c r="B389" t="s">
        <v>222</v>
      </c>
      <c r="C389">
        <v>2141.7880359999999</v>
      </c>
    </row>
    <row r="390" spans="1:3" x14ac:dyDescent="0.25">
      <c r="A390" t="s">
        <v>176</v>
      </c>
      <c r="B390" t="s">
        <v>222</v>
      </c>
      <c r="C390">
        <v>2142.8084370000001</v>
      </c>
    </row>
    <row r="391" spans="1:3" x14ac:dyDescent="0.25">
      <c r="A391" t="s">
        <v>177</v>
      </c>
      <c r="B391" t="s">
        <v>222</v>
      </c>
      <c r="C391">
        <v>2149.7666330000002</v>
      </c>
    </row>
    <row r="392" spans="1:3" x14ac:dyDescent="0.25">
      <c r="A392" t="s">
        <v>178</v>
      </c>
      <c r="B392" t="s">
        <v>222</v>
      </c>
      <c r="C392">
        <v>2157.7829510000001</v>
      </c>
    </row>
    <row r="393" spans="1:3" x14ac:dyDescent="0.25">
      <c r="A393" t="s">
        <v>179</v>
      </c>
      <c r="B393" t="s">
        <v>222</v>
      </c>
      <c r="C393">
        <v>2157.7829499999998</v>
      </c>
    </row>
    <row r="394" spans="1:3" x14ac:dyDescent="0.25">
      <c r="A394" t="s">
        <v>180</v>
      </c>
      <c r="B394" t="s">
        <v>222</v>
      </c>
      <c r="C394">
        <v>2158.8033519999999</v>
      </c>
    </row>
    <row r="395" spans="1:3" x14ac:dyDescent="0.25">
      <c r="A395" t="s">
        <v>181</v>
      </c>
      <c r="B395" t="s">
        <v>222</v>
      </c>
      <c r="C395">
        <v>2174.7982670000001</v>
      </c>
    </row>
    <row r="396" spans="1:3" x14ac:dyDescent="0.25">
      <c r="A396" t="s">
        <v>182</v>
      </c>
      <c r="B396" t="s">
        <v>222</v>
      </c>
      <c r="C396">
        <v>2188.73981</v>
      </c>
    </row>
    <row r="397" spans="1:3" x14ac:dyDescent="0.25">
      <c r="A397" t="s">
        <v>183</v>
      </c>
      <c r="B397" t="s">
        <v>222</v>
      </c>
      <c r="C397">
        <v>2190.7931819999999</v>
      </c>
    </row>
    <row r="398" spans="1:3" x14ac:dyDescent="0.25">
      <c r="A398" t="s">
        <v>184</v>
      </c>
      <c r="B398" t="s">
        <v>222</v>
      </c>
      <c r="C398">
        <v>2204.7724459999999</v>
      </c>
    </row>
    <row r="399" spans="1:3" x14ac:dyDescent="0.25">
      <c r="A399" t="s">
        <v>185</v>
      </c>
      <c r="B399" t="s">
        <v>222</v>
      </c>
      <c r="C399">
        <v>2205.7928470000002</v>
      </c>
    </row>
    <row r="400" spans="1:3" x14ac:dyDescent="0.25">
      <c r="A400" t="s">
        <v>186</v>
      </c>
      <c r="B400" t="s">
        <v>222</v>
      </c>
      <c r="C400">
        <v>2206.8132479999999</v>
      </c>
    </row>
    <row r="401" spans="1:3" x14ac:dyDescent="0.25">
      <c r="A401" t="s">
        <v>187</v>
      </c>
      <c r="B401" t="s">
        <v>222</v>
      </c>
      <c r="C401">
        <v>2215.8248159999998</v>
      </c>
    </row>
    <row r="402" spans="1:3" x14ac:dyDescent="0.25">
      <c r="A402" t="s">
        <v>188</v>
      </c>
      <c r="B402" t="s">
        <v>222</v>
      </c>
      <c r="C402">
        <v>2220.7673599999998</v>
      </c>
    </row>
    <row r="403" spans="1:3" x14ac:dyDescent="0.25">
      <c r="A403" t="s">
        <v>189</v>
      </c>
      <c r="B403" t="s">
        <v>222</v>
      </c>
      <c r="C403">
        <v>2221.787761</v>
      </c>
    </row>
    <row r="404" spans="1:3" x14ac:dyDescent="0.25">
      <c r="A404" t="s">
        <v>190</v>
      </c>
      <c r="B404" t="s">
        <v>222</v>
      </c>
      <c r="C404">
        <v>2221.7877619999999</v>
      </c>
    </row>
    <row r="405" spans="1:3" x14ac:dyDescent="0.25">
      <c r="A405" t="s">
        <v>191</v>
      </c>
      <c r="B405" t="s">
        <v>222</v>
      </c>
      <c r="C405">
        <v>2222.8081630000001</v>
      </c>
    </row>
    <row r="406" spans="1:3" x14ac:dyDescent="0.25">
      <c r="A406" t="s">
        <v>192</v>
      </c>
      <c r="B406" t="s">
        <v>222</v>
      </c>
      <c r="C406">
        <v>2236.7622740000002</v>
      </c>
    </row>
    <row r="407" spans="1:3" x14ac:dyDescent="0.25">
      <c r="A407" t="s">
        <v>193</v>
      </c>
      <c r="B407" t="s">
        <v>222</v>
      </c>
      <c r="C407">
        <v>2237.7826759999998</v>
      </c>
    </row>
    <row r="408" spans="1:3" x14ac:dyDescent="0.25">
      <c r="A408" t="s">
        <v>194</v>
      </c>
      <c r="B408" t="s">
        <v>222</v>
      </c>
      <c r="C408">
        <v>2237.7826770000001</v>
      </c>
    </row>
    <row r="409" spans="1:3" x14ac:dyDescent="0.25">
      <c r="A409" t="s">
        <v>195</v>
      </c>
      <c r="B409" t="s">
        <v>222</v>
      </c>
      <c r="C409">
        <v>2238.8030779999999</v>
      </c>
    </row>
    <row r="410" spans="1:3" x14ac:dyDescent="0.25">
      <c r="A410" t="s">
        <v>196</v>
      </c>
      <c r="B410" t="s">
        <v>222</v>
      </c>
      <c r="C410">
        <v>2245.7989950000001</v>
      </c>
    </row>
    <row r="411" spans="1:3" x14ac:dyDescent="0.25">
      <c r="A411" t="s">
        <v>197</v>
      </c>
      <c r="B411" t="s">
        <v>222</v>
      </c>
      <c r="C411">
        <v>2246.8193959999999</v>
      </c>
    </row>
    <row r="412" spans="1:3" x14ac:dyDescent="0.25">
      <c r="A412" t="s">
        <v>198</v>
      </c>
      <c r="B412" t="s">
        <v>222</v>
      </c>
      <c r="C412">
        <v>2256.851365</v>
      </c>
    </row>
    <row r="413" spans="1:3" x14ac:dyDescent="0.25">
      <c r="A413" t="s">
        <v>199</v>
      </c>
      <c r="B413" t="s">
        <v>222</v>
      </c>
      <c r="C413">
        <v>2261.793909</v>
      </c>
    </row>
    <row r="414" spans="1:3" x14ac:dyDescent="0.25">
      <c r="A414" t="s">
        <v>200</v>
      </c>
      <c r="B414" t="s">
        <v>222</v>
      </c>
      <c r="C414">
        <v>2262.8143110000001</v>
      </c>
    </row>
    <row r="415" spans="1:3" x14ac:dyDescent="0.25">
      <c r="A415" t="s">
        <v>201</v>
      </c>
      <c r="B415" t="s">
        <v>222</v>
      </c>
      <c r="C415">
        <v>2262.8143100000002</v>
      </c>
    </row>
    <row r="416" spans="1:3" x14ac:dyDescent="0.25">
      <c r="A416" t="s">
        <v>202</v>
      </c>
      <c r="B416" t="s">
        <v>222</v>
      </c>
      <c r="C416">
        <v>2263.8347119999999</v>
      </c>
    </row>
    <row r="417" spans="1:3" x14ac:dyDescent="0.25">
      <c r="A417" t="s">
        <v>203</v>
      </c>
      <c r="B417" t="s">
        <v>222</v>
      </c>
      <c r="C417">
        <v>2272.8462800000002</v>
      </c>
    </row>
    <row r="418" spans="1:3" x14ac:dyDescent="0.25">
      <c r="A418" t="s">
        <v>204</v>
      </c>
      <c r="B418" t="s">
        <v>222</v>
      </c>
      <c r="C418">
        <v>2277.7888229999999</v>
      </c>
    </row>
    <row r="419" spans="1:3" x14ac:dyDescent="0.25">
      <c r="A419" t="s">
        <v>205</v>
      </c>
      <c r="B419" t="s">
        <v>222</v>
      </c>
      <c r="C419">
        <v>2278.809225</v>
      </c>
    </row>
    <row r="420" spans="1:3" x14ac:dyDescent="0.25">
      <c r="A420" t="s">
        <v>206</v>
      </c>
      <c r="B420" t="s">
        <v>222</v>
      </c>
      <c r="C420">
        <v>2278.8092259999999</v>
      </c>
    </row>
    <row r="421" spans="1:3" x14ac:dyDescent="0.25">
      <c r="A421" t="s">
        <v>207</v>
      </c>
      <c r="B421" t="s">
        <v>222</v>
      </c>
      <c r="C421">
        <v>2279.8296270000001</v>
      </c>
    </row>
    <row r="422" spans="1:3" x14ac:dyDescent="0.25">
      <c r="A422" t="s">
        <v>208</v>
      </c>
      <c r="B422" t="s">
        <v>222</v>
      </c>
      <c r="C422">
        <v>2287.845945</v>
      </c>
    </row>
    <row r="423" spans="1:3" x14ac:dyDescent="0.25">
      <c r="A423" t="s">
        <v>209</v>
      </c>
      <c r="B423" t="s">
        <v>222</v>
      </c>
      <c r="C423">
        <v>2294.8041400000002</v>
      </c>
    </row>
    <row r="424" spans="1:3" x14ac:dyDescent="0.25">
      <c r="A424" t="s">
        <v>210</v>
      </c>
      <c r="B424" t="s">
        <v>222</v>
      </c>
      <c r="C424">
        <v>2295.8245419999998</v>
      </c>
    </row>
    <row r="425" spans="1:3" x14ac:dyDescent="0.25">
      <c r="A425" t="s">
        <v>211</v>
      </c>
      <c r="B425" t="s">
        <v>222</v>
      </c>
      <c r="C425">
        <v>2303.8408589999999</v>
      </c>
    </row>
    <row r="426" spans="1:3" x14ac:dyDescent="0.25">
      <c r="A426" t="s">
        <v>212</v>
      </c>
      <c r="B426" t="s">
        <v>222</v>
      </c>
      <c r="C426">
        <v>2311.8194570000001</v>
      </c>
    </row>
    <row r="427" spans="1:3" x14ac:dyDescent="0.25">
      <c r="A427" t="s">
        <v>213</v>
      </c>
      <c r="B427" t="s">
        <v>222</v>
      </c>
      <c r="C427">
        <v>2313.8728289999999</v>
      </c>
    </row>
    <row r="428" spans="1:3" x14ac:dyDescent="0.25">
      <c r="A428" t="s">
        <v>214</v>
      </c>
      <c r="B428" t="s">
        <v>222</v>
      </c>
      <c r="C428">
        <v>2320.8561759999998</v>
      </c>
    </row>
    <row r="429" spans="1:3" x14ac:dyDescent="0.25">
      <c r="A429" t="s">
        <v>215</v>
      </c>
      <c r="B429" t="s">
        <v>222</v>
      </c>
      <c r="C429">
        <v>2336.851091</v>
      </c>
    </row>
    <row r="430" spans="1:3" x14ac:dyDescent="0.25">
      <c r="A430" t="s">
        <v>216</v>
      </c>
      <c r="B430" t="s">
        <v>222</v>
      </c>
      <c r="C430">
        <v>2350.7926339999999</v>
      </c>
    </row>
    <row r="431" spans="1:3" x14ac:dyDescent="0.25">
      <c r="A431" t="s">
        <v>217</v>
      </c>
      <c r="B431" t="s">
        <v>222</v>
      </c>
      <c r="C431">
        <v>2350.8303550000001</v>
      </c>
    </row>
    <row r="432" spans="1:3" x14ac:dyDescent="0.25">
      <c r="A432" t="s">
        <v>218</v>
      </c>
      <c r="B432" t="s">
        <v>222</v>
      </c>
      <c r="C432">
        <v>2352.8460060000002</v>
      </c>
    </row>
    <row r="433" spans="1:3" x14ac:dyDescent="0.25">
      <c r="A433" t="s">
        <v>219</v>
      </c>
      <c r="B433" t="s">
        <v>222</v>
      </c>
      <c r="C433">
        <v>2361.8827249999999</v>
      </c>
    </row>
    <row r="434" spans="1:3" x14ac:dyDescent="0.25">
      <c r="A434" t="s">
        <v>220</v>
      </c>
      <c r="B434" t="s">
        <v>222</v>
      </c>
      <c r="C434">
        <v>2366.8252689999999</v>
      </c>
    </row>
    <row r="435" spans="1:3" x14ac:dyDescent="0.25">
      <c r="A435" t="s">
        <v>221</v>
      </c>
      <c r="B435" t="s">
        <v>222</v>
      </c>
      <c r="C435">
        <v>2382.8201829999998</v>
      </c>
    </row>
    <row r="436" spans="1:3" x14ac:dyDescent="0.25">
      <c r="B436" t="s">
        <v>222</v>
      </c>
      <c r="C436">
        <v>2391.8569040000002</v>
      </c>
    </row>
    <row r="437" spans="1:3" x14ac:dyDescent="0.25">
      <c r="B437" t="s">
        <v>222</v>
      </c>
      <c r="C437">
        <v>2393.8725549999999</v>
      </c>
    </row>
    <row r="438" spans="1:3" x14ac:dyDescent="0.25">
      <c r="B438" t="s">
        <v>222</v>
      </c>
      <c r="C438">
        <v>2407.851819</v>
      </c>
    </row>
    <row r="439" spans="1:3" x14ac:dyDescent="0.25">
      <c r="B439" t="s">
        <v>222</v>
      </c>
      <c r="C439">
        <v>2407.8518180000001</v>
      </c>
    </row>
    <row r="440" spans="1:3" x14ac:dyDescent="0.25">
      <c r="B440" t="s">
        <v>222</v>
      </c>
      <c r="C440">
        <v>2423.846732</v>
      </c>
    </row>
    <row r="441" spans="1:3" x14ac:dyDescent="0.25">
      <c r="B441" t="s">
        <v>222</v>
      </c>
      <c r="C441">
        <v>2423.8467329999999</v>
      </c>
    </row>
    <row r="442" spans="1:3" x14ac:dyDescent="0.25">
      <c r="B442" t="s">
        <v>222</v>
      </c>
      <c r="C442">
        <v>2424.867135</v>
      </c>
    </row>
    <row r="443" spans="1:3" x14ac:dyDescent="0.25">
      <c r="B443" t="s">
        <v>222</v>
      </c>
      <c r="C443">
        <v>2425.8875360000002</v>
      </c>
    </row>
    <row r="444" spans="1:3" x14ac:dyDescent="0.25">
      <c r="B444" t="s">
        <v>222</v>
      </c>
      <c r="C444">
        <v>2432.8834529999999</v>
      </c>
    </row>
    <row r="445" spans="1:3" x14ac:dyDescent="0.25">
      <c r="B445" t="s">
        <v>222</v>
      </c>
      <c r="C445">
        <v>2434.8991040000001</v>
      </c>
    </row>
    <row r="446" spans="1:3" x14ac:dyDescent="0.25">
      <c r="B446" t="s">
        <v>222</v>
      </c>
      <c r="C446">
        <v>2439.8416470000002</v>
      </c>
    </row>
    <row r="447" spans="1:3" x14ac:dyDescent="0.25">
      <c r="B447" t="s">
        <v>222</v>
      </c>
      <c r="C447">
        <v>2440.8620489999998</v>
      </c>
    </row>
    <row r="448" spans="1:3" x14ac:dyDescent="0.25">
      <c r="B448" t="s">
        <v>222</v>
      </c>
      <c r="C448">
        <v>2448.8783669999998</v>
      </c>
    </row>
    <row r="449" spans="2:3" x14ac:dyDescent="0.25">
      <c r="B449" t="s">
        <v>222</v>
      </c>
      <c r="C449">
        <v>2457.8773660000002</v>
      </c>
    </row>
    <row r="450" spans="2:3" x14ac:dyDescent="0.25">
      <c r="B450" t="s">
        <v>222</v>
      </c>
      <c r="C450">
        <v>2459.930738</v>
      </c>
    </row>
    <row r="451" spans="2:3" x14ac:dyDescent="0.25">
      <c r="B451" t="s">
        <v>222</v>
      </c>
      <c r="C451">
        <v>2464.8732810000001</v>
      </c>
    </row>
    <row r="452" spans="2:3" x14ac:dyDescent="0.25">
      <c r="B452" t="s">
        <v>222</v>
      </c>
      <c r="C452">
        <v>2475.9256529999998</v>
      </c>
    </row>
    <row r="453" spans="2:3" x14ac:dyDescent="0.25">
      <c r="B453" t="s">
        <v>222</v>
      </c>
      <c r="C453">
        <v>2482.9090000000001</v>
      </c>
    </row>
    <row r="454" spans="2:3" x14ac:dyDescent="0.25">
      <c r="B454" t="s">
        <v>222</v>
      </c>
      <c r="C454">
        <v>2498.9039149999999</v>
      </c>
    </row>
    <row r="455" spans="2:3" x14ac:dyDescent="0.25">
      <c r="B455" t="s">
        <v>222</v>
      </c>
      <c r="C455">
        <v>2539.930464</v>
      </c>
    </row>
    <row r="456" spans="2:3" x14ac:dyDescent="0.25">
      <c r="B456" t="s">
        <v>222</v>
      </c>
      <c r="C456">
        <v>2553.9097280000001</v>
      </c>
    </row>
    <row r="457" spans="2:3" x14ac:dyDescent="0.25">
      <c r="B457" t="s">
        <v>222</v>
      </c>
      <c r="C457">
        <v>2555.9253789999998</v>
      </c>
    </row>
    <row r="458" spans="2:3" x14ac:dyDescent="0.25">
      <c r="B458" t="s">
        <v>222</v>
      </c>
      <c r="C458">
        <v>2569.904642</v>
      </c>
    </row>
    <row r="459" spans="2:3" x14ac:dyDescent="0.25">
      <c r="B459" t="s">
        <v>222</v>
      </c>
      <c r="C459">
        <v>2569.9046429999999</v>
      </c>
    </row>
    <row r="460" spans="2:3" x14ac:dyDescent="0.25">
      <c r="B460" t="s">
        <v>222</v>
      </c>
      <c r="C460">
        <v>2570.9250440000001</v>
      </c>
    </row>
    <row r="461" spans="2:3" x14ac:dyDescent="0.25">
      <c r="B461" t="s">
        <v>222</v>
      </c>
      <c r="C461">
        <v>2580.9570130000002</v>
      </c>
    </row>
    <row r="462" spans="2:3" x14ac:dyDescent="0.25">
      <c r="B462" t="s">
        <v>222</v>
      </c>
      <c r="C462">
        <v>2585.8995559999998</v>
      </c>
    </row>
    <row r="463" spans="2:3" x14ac:dyDescent="0.25">
      <c r="B463" t="s">
        <v>222</v>
      </c>
      <c r="C463">
        <v>2585.8995570000002</v>
      </c>
    </row>
    <row r="464" spans="2:3" x14ac:dyDescent="0.25">
      <c r="B464" t="s">
        <v>222</v>
      </c>
      <c r="C464">
        <v>2586.9199589999998</v>
      </c>
    </row>
    <row r="465" spans="2:3" x14ac:dyDescent="0.25">
      <c r="B465" t="s">
        <v>222</v>
      </c>
      <c r="C465">
        <v>2586.919958</v>
      </c>
    </row>
    <row r="466" spans="2:3" x14ac:dyDescent="0.25">
      <c r="B466" t="s">
        <v>222</v>
      </c>
      <c r="C466">
        <v>2596.951928</v>
      </c>
    </row>
    <row r="467" spans="2:3" x14ac:dyDescent="0.25">
      <c r="B467" t="s">
        <v>222</v>
      </c>
      <c r="C467">
        <v>2601.8944710000001</v>
      </c>
    </row>
    <row r="468" spans="2:3" x14ac:dyDescent="0.25">
      <c r="B468" t="s">
        <v>222</v>
      </c>
      <c r="C468">
        <v>2619.93019</v>
      </c>
    </row>
    <row r="469" spans="2:3" x14ac:dyDescent="0.25">
      <c r="B469" t="s">
        <v>222</v>
      </c>
      <c r="C469">
        <v>2621.9835619999999</v>
      </c>
    </row>
    <row r="470" spans="2:3" x14ac:dyDescent="0.25">
      <c r="B470" t="s">
        <v>222</v>
      </c>
      <c r="C470">
        <v>2628.9669090000002</v>
      </c>
    </row>
    <row r="471" spans="2:3" x14ac:dyDescent="0.25">
      <c r="B471" t="s">
        <v>222</v>
      </c>
      <c r="C471">
        <v>2642.9461729999998</v>
      </c>
    </row>
    <row r="472" spans="2:3" x14ac:dyDescent="0.25">
      <c r="B472" t="s">
        <v>222</v>
      </c>
      <c r="C472">
        <v>2351.8507559999998</v>
      </c>
    </row>
    <row r="473" spans="2:3" x14ac:dyDescent="0.25">
      <c r="B473" t="s">
        <v>222</v>
      </c>
      <c r="C473">
        <v>2643.9414230000002</v>
      </c>
    </row>
    <row r="474" spans="2:3" x14ac:dyDescent="0.25">
      <c r="B474" t="s">
        <v>222</v>
      </c>
      <c r="C474">
        <v>2658.9410870000002</v>
      </c>
    </row>
    <row r="475" spans="2:3" x14ac:dyDescent="0.25">
      <c r="B475" t="s">
        <v>222</v>
      </c>
      <c r="C475">
        <v>2659.9363370000001</v>
      </c>
    </row>
    <row r="476" spans="2:3" x14ac:dyDescent="0.25">
      <c r="B476" t="s">
        <v>222</v>
      </c>
      <c r="C476">
        <v>2674.936001</v>
      </c>
    </row>
    <row r="477" spans="2:3" x14ac:dyDescent="0.25">
      <c r="B477" t="s">
        <v>222</v>
      </c>
      <c r="C477">
        <v>2676.951654</v>
      </c>
    </row>
    <row r="478" spans="2:3" x14ac:dyDescent="0.25">
      <c r="B478" t="s">
        <v>222</v>
      </c>
      <c r="C478">
        <v>2701.9832879999999</v>
      </c>
    </row>
    <row r="479" spans="2:3" x14ac:dyDescent="0.25">
      <c r="B479" t="s">
        <v>222</v>
      </c>
      <c r="C479">
        <v>2715.962552</v>
      </c>
    </row>
    <row r="480" spans="2:3" x14ac:dyDescent="0.25">
      <c r="B480" t="s">
        <v>222</v>
      </c>
      <c r="C480">
        <v>2716.9829530000002</v>
      </c>
    </row>
    <row r="481" spans="2:3" x14ac:dyDescent="0.25">
      <c r="B481" t="s">
        <v>222</v>
      </c>
      <c r="C481">
        <v>2717.9782030000001</v>
      </c>
    </row>
    <row r="482" spans="2:3" x14ac:dyDescent="0.25">
      <c r="B482" t="s">
        <v>222</v>
      </c>
      <c r="C482">
        <v>2731.9574659999998</v>
      </c>
    </row>
    <row r="483" spans="2:3" x14ac:dyDescent="0.25">
      <c r="B483" t="s">
        <v>222</v>
      </c>
      <c r="C483">
        <v>2732.9778670000001</v>
      </c>
    </row>
    <row r="484" spans="2:3" x14ac:dyDescent="0.25">
      <c r="B484" t="s">
        <v>222</v>
      </c>
      <c r="C484">
        <v>2747.9523800000002</v>
      </c>
    </row>
    <row r="485" spans="2:3" x14ac:dyDescent="0.25">
      <c r="B485" t="s">
        <v>222</v>
      </c>
      <c r="C485">
        <v>2759.0047519999998</v>
      </c>
    </row>
    <row r="486" spans="2:3" x14ac:dyDescent="0.25">
      <c r="B486" t="s">
        <v>222</v>
      </c>
      <c r="C486">
        <v>2481.8885989999999</v>
      </c>
    </row>
    <row r="487" spans="2:3" x14ac:dyDescent="0.25">
      <c r="B487" t="s">
        <v>222</v>
      </c>
      <c r="C487">
        <v>2772.9840159999999</v>
      </c>
    </row>
    <row r="488" spans="2:3" x14ac:dyDescent="0.25">
      <c r="B488" t="s">
        <v>222</v>
      </c>
      <c r="C488">
        <v>2788.9789300000002</v>
      </c>
    </row>
    <row r="489" spans="2:3" x14ac:dyDescent="0.25">
      <c r="B489" t="s">
        <v>222</v>
      </c>
      <c r="C489">
        <v>2789.9993319999999</v>
      </c>
    </row>
    <row r="490" spans="2:3" x14ac:dyDescent="0.25">
      <c r="B490" t="s">
        <v>222</v>
      </c>
      <c r="C490">
        <v>2800.031301</v>
      </c>
    </row>
    <row r="491" spans="2:3" x14ac:dyDescent="0.25">
      <c r="B491" t="s">
        <v>222</v>
      </c>
      <c r="C491">
        <v>2804.9738440000001</v>
      </c>
    </row>
    <row r="492" spans="2:3" x14ac:dyDescent="0.25">
      <c r="B492" t="s">
        <v>222</v>
      </c>
      <c r="C492">
        <v>2805.9942460000002</v>
      </c>
    </row>
    <row r="493" spans="2:3" x14ac:dyDescent="0.25">
      <c r="B493" t="s">
        <v>222</v>
      </c>
      <c r="C493">
        <v>2805.9942470000001</v>
      </c>
    </row>
    <row r="494" spans="2:3" x14ac:dyDescent="0.25">
      <c r="B494" t="s">
        <v>222</v>
      </c>
      <c r="C494">
        <v>2861.0000599999998</v>
      </c>
    </row>
    <row r="495" spans="2:3" x14ac:dyDescent="0.25">
      <c r="B495" t="s">
        <v>222</v>
      </c>
      <c r="C495">
        <v>2864.0361119999998</v>
      </c>
    </row>
    <row r="496" spans="2:3" x14ac:dyDescent="0.25">
      <c r="B496" t="s">
        <v>222</v>
      </c>
      <c r="C496">
        <v>2876.9949740000002</v>
      </c>
    </row>
    <row r="497" spans="2:3" x14ac:dyDescent="0.25">
      <c r="B497" t="s">
        <v>222</v>
      </c>
      <c r="C497">
        <v>2878.0153759999998</v>
      </c>
    </row>
    <row r="498" spans="2:3" x14ac:dyDescent="0.25">
      <c r="B498" t="s">
        <v>222</v>
      </c>
      <c r="C498">
        <v>2892.9898880000001</v>
      </c>
    </row>
    <row r="499" spans="2:3" x14ac:dyDescent="0.25">
      <c r="B499" t="s">
        <v>222</v>
      </c>
      <c r="C499">
        <v>2894.0102900000002</v>
      </c>
    </row>
    <row r="500" spans="2:3" x14ac:dyDescent="0.25">
      <c r="B500" t="s">
        <v>222</v>
      </c>
      <c r="C500">
        <v>2896.051093</v>
      </c>
    </row>
    <row r="501" spans="2:3" x14ac:dyDescent="0.25">
      <c r="B501" t="s">
        <v>222</v>
      </c>
      <c r="C501">
        <v>2908.9848019999999</v>
      </c>
    </row>
    <row r="502" spans="2:3" x14ac:dyDescent="0.25">
      <c r="B502" t="s">
        <v>222</v>
      </c>
      <c r="C502">
        <v>2910.005204</v>
      </c>
    </row>
    <row r="503" spans="2:3" x14ac:dyDescent="0.25">
      <c r="B503" t="s">
        <v>222</v>
      </c>
      <c r="C503">
        <v>2919.041925</v>
      </c>
    </row>
    <row r="504" spans="2:3" x14ac:dyDescent="0.25">
      <c r="B504" t="s">
        <v>222</v>
      </c>
      <c r="C504">
        <v>2627.946508</v>
      </c>
    </row>
    <row r="505" spans="2:3" x14ac:dyDescent="0.25">
      <c r="B505" t="s">
        <v>222</v>
      </c>
      <c r="C505">
        <v>2921.0575760000002</v>
      </c>
    </row>
    <row r="506" spans="2:3" x14ac:dyDescent="0.25">
      <c r="B506" t="s">
        <v>222</v>
      </c>
      <c r="C506">
        <v>2935.0368389999999</v>
      </c>
    </row>
    <row r="507" spans="2:3" x14ac:dyDescent="0.25">
      <c r="B507" t="s">
        <v>222</v>
      </c>
      <c r="C507">
        <v>2935.0368400000002</v>
      </c>
    </row>
    <row r="508" spans="2:3" x14ac:dyDescent="0.25">
      <c r="B508" t="s">
        <v>222</v>
      </c>
      <c r="C508">
        <v>2937.0776420000002</v>
      </c>
    </row>
    <row r="509" spans="2:3" x14ac:dyDescent="0.25">
      <c r="B509" t="s">
        <v>222</v>
      </c>
      <c r="C509">
        <v>2946.0892100000001</v>
      </c>
    </row>
    <row r="510" spans="2:3" x14ac:dyDescent="0.25">
      <c r="B510" t="s">
        <v>222</v>
      </c>
      <c r="C510">
        <v>2951.0317540000001</v>
      </c>
    </row>
    <row r="511" spans="2:3" x14ac:dyDescent="0.25">
      <c r="B511" t="s">
        <v>222</v>
      </c>
      <c r="C511">
        <v>2951.0317530000002</v>
      </c>
    </row>
    <row r="512" spans="2:3" x14ac:dyDescent="0.25">
      <c r="B512" t="s">
        <v>222</v>
      </c>
      <c r="C512">
        <v>2952.0521560000002</v>
      </c>
    </row>
    <row r="513" spans="2:3" x14ac:dyDescent="0.25">
      <c r="B513" t="s">
        <v>222</v>
      </c>
      <c r="C513">
        <v>2967.026668</v>
      </c>
    </row>
    <row r="514" spans="2:3" x14ac:dyDescent="0.25">
      <c r="B514" t="s">
        <v>222</v>
      </c>
      <c r="C514">
        <v>3007.057969</v>
      </c>
    </row>
    <row r="515" spans="2:3" x14ac:dyDescent="0.25">
      <c r="B515" t="s">
        <v>222</v>
      </c>
      <c r="C515">
        <v>3009.0736200000001</v>
      </c>
    </row>
    <row r="516" spans="2:3" x14ac:dyDescent="0.25">
      <c r="B516" t="s">
        <v>222</v>
      </c>
      <c r="C516">
        <v>3023.0528829999998</v>
      </c>
    </row>
    <row r="517" spans="2:3" x14ac:dyDescent="0.25">
      <c r="B517" t="s">
        <v>222</v>
      </c>
      <c r="C517">
        <v>3025.068534</v>
      </c>
    </row>
    <row r="518" spans="2:3" x14ac:dyDescent="0.25">
      <c r="B518" t="s">
        <v>222</v>
      </c>
      <c r="C518">
        <v>3039.0477970000002</v>
      </c>
    </row>
    <row r="519" spans="2:3" x14ac:dyDescent="0.25">
      <c r="B519" t="s">
        <v>222</v>
      </c>
      <c r="C519">
        <v>2756.9891010000001</v>
      </c>
    </row>
    <row r="520" spans="2:3" x14ac:dyDescent="0.25">
      <c r="B520" t="s">
        <v>222</v>
      </c>
      <c r="C520">
        <v>2465.8936840000001</v>
      </c>
    </row>
    <row r="521" spans="2:3" x14ac:dyDescent="0.25">
      <c r="B521" t="s">
        <v>222</v>
      </c>
      <c r="C521">
        <v>3048.0845180000001</v>
      </c>
    </row>
    <row r="522" spans="2:3" x14ac:dyDescent="0.25">
      <c r="B522" t="s">
        <v>222</v>
      </c>
      <c r="C522">
        <v>3055.0427110000001</v>
      </c>
    </row>
    <row r="523" spans="2:3" x14ac:dyDescent="0.25">
      <c r="B523" t="s">
        <v>222</v>
      </c>
      <c r="C523">
        <v>2772.984015</v>
      </c>
    </row>
    <row r="524" spans="2:3" x14ac:dyDescent="0.25">
      <c r="B524" t="s">
        <v>222</v>
      </c>
      <c r="C524">
        <v>3064.079432</v>
      </c>
    </row>
    <row r="525" spans="2:3" x14ac:dyDescent="0.25">
      <c r="B525" t="s">
        <v>222</v>
      </c>
      <c r="C525">
        <v>3067.1154849999998</v>
      </c>
    </row>
    <row r="526" spans="2:3" x14ac:dyDescent="0.25">
      <c r="B526" t="s">
        <v>222</v>
      </c>
      <c r="C526">
        <v>3080.0743459999999</v>
      </c>
    </row>
    <row r="527" spans="2:3" x14ac:dyDescent="0.25">
      <c r="B527" t="s">
        <v>222</v>
      </c>
      <c r="C527">
        <v>3081.0947489999999</v>
      </c>
    </row>
    <row r="528" spans="2:3" x14ac:dyDescent="0.25">
      <c r="B528" t="s">
        <v>222</v>
      </c>
      <c r="C528">
        <v>3083.1104</v>
      </c>
    </row>
    <row r="529" spans="2:3" x14ac:dyDescent="0.25">
      <c r="B529" t="s">
        <v>222</v>
      </c>
      <c r="C529">
        <v>3083.1355509999999</v>
      </c>
    </row>
    <row r="530" spans="2:3" x14ac:dyDescent="0.25">
      <c r="B530" t="s">
        <v>222</v>
      </c>
      <c r="C530">
        <v>3096.0692600000002</v>
      </c>
    </row>
    <row r="531" spans="2:3" x14ac:dyDescent="0.25">
      <c r="B531" t="s">
        <v>222</v>
      </c>
      <c r="C531">
        <v>3147.1152109999998</v>
      </c>
    </row>
    <row r="532" spans="2:3" x14ac:dyDescent="0.25">
      <c r="B532" t="s">
        <v>222</v>
      </c>
      <c r="C532">
        <v>3165.1634979999999</v>
      </c>
    </row>
    <row r="533" spans="2:3" x14ac:dyDescent="0.25">
      <c r="B533" t="s">
        <v>222</v>
      </c>
      <c r="C533">
        <v>3210.137342</v>
      </c>
    </row>
    <row r="534" spans="2:3" x14ac:dyDescent="0.25">
      <c r="B534" t="s">
        <v>222</v>
      </c>
      <c r="C534">
        <v>3226.1322559999999</v>
      </c>
    </row>
    <row r="535" spans="2:3" x14ac:dyDescent="0.25">
      <c r="B535" t="s">
        <v>222</v>
      </c>
      <c r="C535">
        <v>3226.1322570000002</v>
      </c>
    </row>
    <row r="536" spans="2:3" x14ac:dyDescent="0.25">
      <c r="B536" t="s">
        <v>222</v>
      </c>
      <c r="C536">
        <v>3228.1730590000002</v>
      </c>
    </row>
    <row r="537" spans="2:3" x14ac:dyDescent="0.25">
      <c r="B537" t="s">
        <v>222</v>
      </c>
      <c r="C537">
        <v>3229.1683090000001</v>
      </c>
    </row>
    <row r="538" spans="2:3" x14ac:dyDescent="0.25">
      <c r="B538" t="s">
        <v>222</v>
      </c>
      <c r="C538">
        <v>3242.1271710000001</v>
      </c>
    </row>
    <row r="539" spans="2:3" x14ac:dyDescent="0.25">
      <c r="B539" t="s">
        <v>222</v>
      </c>
      <c r="C539">
        <v>3242.1271700000002</v>
      </c>
    </row>
    <row r="540" spans="2:3" x14ac:dyDescent="0.25">
      <c r="B540" t="s">
        <v>222</v>
      </c>
      <c r="C540">
        <v>3244.1679730000001</v>
      </c>
    </row>
    <row r="541" spans="2:3" x14ac:dyDescent="0.25">
      <c r="B541" t="s">
        <v>222</v>
      </c>
      <c r="C541">
        <v>3258.1220840000001</v>
      </c>
    </row>
    <row r="542" spans="2:3" x14ac:dyDescent="0.25">
      <c r="B542" t="s">
        <v>222</v>
      </c>
      <c r="C542">
        <v>3276.1578039999999</v>
      </c>
    </row>
    <row r="543" spans="2:3" x14ac:dyDescent="0.25">
      <c r="B543" t="s">
        <v>222</v>
      </c>
      <c r="C543">
        <v>3284.1741219999999</v>
      </c>
    </row>
    <row r="544" spans="2:3" x14ac:dyDescent="0.25">
      <c r="B544" t="s">
        <v>222</v>
      </c>
      <c r="C544">
        <v>3292.1527179999998</v>
      </c>
    </row>
    <row r="545" spans="2:3" x14ac:dyDescent="0.25">
      <c r="B545" t="s">
        <v>222</v>
      </c>
      <c r="C545">
        <v>3372.1901659999999</v>
      </c>
    </row>
    <row r="546" spans="2:3" x14ac:dyDescent="0.25">
      <c r="B546" t="s">
        <v>222</v>
      </c>
      <c r="C546">
        <v>3405.2003970000001</v>
      </c>
    </row>
    <row r="547" spans="2:3" x14ac:dyDescent="0.25">
      <c r="B547" t="s">
        <v>222</v>
      </c>
      <c r="C547">
        <v>3421.1953109999999</v>
      </c>
    </row>
    <row r="548" spans="2:3" x14ac:dyDescent="0.25">
      <c r="B548" t="s">
        <v>222</v>
      </c>
      <c r="C548">
        <v>3432.2476820000002</v>
      </c>
    </row>
    <row r="549" spans="2:3" x14ac:dyDescent="0.25">
      <c r="B549" t="s">
        <v>222</v>
      </c>
      <c r="C549">
        <v>3155.1315289999998</v>
      </c>
    </row>
    <row r="550" spans="2:3" x14ac:dyDescent="0.25">
      <c r="B550" t="s">
        <v>222</v>
      </c>
      <c r="C550">
        <v>3446.2269460000002</v>
      </c>
    </row>
    <row r="551" spans="2:3" x14ac:dyDescent="0.25">
      <c r="B551" t="s">
        <v>222</v>
      </c>
      <c r="C551">
        <v>3448.2425969999999</v>
      </c>
    </row>
    <row r="552" spans="2:3" x14ac:dyDescent="0.25">
      <c r="B552" t="s">
        <v>222</v>
      </c>
      <c r="C552">
        <v>3462.2218600000001</v>
      </c>
    </row>
    <row r="553" spans="2:3" x14ac:dyDescent="0.25">
      <c r="B553" t="s">
        <v>222</v>
      </c>
      <c r="C553">
        <v>3478.216774</v>
      </c>
    </row>
    <row r="554" spans="2:3" x14ac:dyDescent="0.25">
      <c r="B554" t="s">
        <v>222</v>
      </c>
      <c r="C554">
        <v>3517.2276740000002</v>
      </c>
    </row>
    <row r="555" spans="2:3" x14ac:dyDescent="0.25">
      <c r="B555" t="s">
        <v>222</v>
      </c>
      <c r="C555">
        <v>3533.2225880000001</v>
      </c>
    </row>
    <row r="556" spans="2:3" x14ac:dyDescent="0.25">
      <c r="B556" t="s">
        <v>222</v>
      </c>
      <c r="C556">
        <v>3549.217502</v>
      </c>
    </row>
    <row r="557" spans="2:3" x14ac:dyDescent="0.25">
      <c r="B557" t="s">
        <v>222</v>
      </c>
      <c r="C557">
        <v>3575.2695389999999</v>
      </c>
    </row>
    <row r="558" spans="2:3" x14ac:dyDescent="0.25">
      <c r="B558" t="s">
        <v>222</v>
      </c>
      <c r="C558">
        <v>3591.2644529999998</v>
      </c>
    </row>
    <row r="559" spans="2:3" x14ac:dyDescent="0.25">
      <c r="B559" t="s">
        <v>222</v>
      </c>
      <c r="C559">
        <v>3594.300506</v>
      </c>
    </row>
    <row r="560" spans="2:3" x14ac:dyDescent="0.25">
      <c r="B560" t="s">
        <v>222</v>
      </c>
      <c r="C560">
        <v>3607.2593670000001</v>
      </c>
    </row>
    <row r="561" spans="2:3" x14ac:dyDescent="0.25">
      <c r="B561" t="s">
        <v>222</v>
      </c>
      <c r="C561">
        <v>3663.2855829999999</v>
      </c>
    </row>
    <row r="562" spans="2:3" x14ac:dyDescent="0.25">
      <c r="B562" t="s">
        <v>222</v>
      </c>
      <c r="C562">
        <v>3679.2804970000002</v>
      </c>
    </row>
    <row r="563" spans="2:3" x14ac:dyDescent="0.25">
      <c r="B563" t="s">
        <v>222</v>
      </c>
      <c r="C563">
        <v>3704.312132</v>
      </c>
    </row>
    <row r="564" spans="2:3" x14ac:dyDescent="0.25">
      <c r="B564" t="s">
        <v>222</v>
      </c>
      <c r="C564">
        <v>3720.3070459999999</v>
      </c>
    </row>
    <row r="565" spans="2:3" x14ac:dyDescent="0.25">
      <c r="B565" t="s">
        <v>222</v>
      </c>
      <c r="C565">
        <v>3737.3223630000002</v>
      </c>
    </row>
    <row r="566" spans="2:3" x14ac:dyDescent="0.25">
      <c r="B566" t="s">
        <v>222</v>
      </c>
      <c r="C566">
        <v>3753.3172770000001</v>
      </c>
    </row>
    <row r="567" spans="2:3" x14ac:dyDescent="0.25">
      <c r="B567" t="s">
        <v>222</v>
      </c>
      <c r="C567">
        <v>3769.312191</v>
      </c>
    </row>
    <row r="568" spans="2:3" x14ac:dyDescent="0.25">
      <c r="B568" t="s">
        <v>222</v>
      </c>
      <c r="C568">
        <v>3785.3071049999999</v>
      </c>
    </row>
    <row r="569" spans="2:3" x14ac:dyDescent="0.25">
      <c r="B569" t="s">
        <v>222</v>
      </c>
      <c r="C569">
        <v>3797.3798790000001</v>
      </c>
    </row>
    <row r="570" spans="2:3" x14ac:dyDescent="0.25">
      <c r="B570" t="s">
        <v>222</v>
      </c>
      <c r="C570">
        <v>3866.3649559999999</v>
      </c>
    </row>
    <row r="571" spans="2:3" x14ac:dyDescent="0.25">
      <c r="B571" t="s">
        <v>222</v>
      </c>
      <c r="C571">
        <v>4028.4177800000002</v>
      </c>
    </row>
    <row r="572" spans="2:3" x14ac:dyDescent="0.25">
      <c r="B572" t="s">
        <v>222</v>
      </c>
      <c r="C572">
        <v>4102.4545600000001</v>
      </c>
    </row>
    <row r="573" spans="2:3" x14ac:dyDescent="0.25">
      <c r="B573" t="s">
        <v>222</v>
      </c>
      <c r="C573">
        <v>4118.449474</v>
      </c>
    </row>
    <row r="574" spans="2:3" x14ac:dyDescent="0.25">
      <c r="B574" t="s">
        <v>222</v>
      </c>
      <c r="C574">
        <v>4134.4443879999999</v>
      </c>
    </row>
    <row r="575" spans="2:3" x14ac:dyDescent="0.25">
      <c r="B575" t="s">
        <v>222</v>
      </c>
      <c r="C575">
        <v>4307.5495840000003</v>
      </c>
    </row>
    <row r="576" spans="2:3" x14ac:dyDescent="0.25">
      <c r="B576" t="s">
        <v>222</v>
      </c>
      <c r="C576">
        <v>4323.5444980000002</v>
      </c>
    </row>
    <row r="577" spans="2:3" x14ac:dyDescent="0.25">
      <c r="B577" t="s">
        <v>222</v>
      </c>
      <c r="C577">
        <v>4393.5499769999997</v>
      </c>
    </row>
    <row r="578" spans="2:3" x14ac:dyDescent="0.25">
      <c r="B578" t="s">
        <v>222</v>
      </c>
      <c r="C578">
        <v>4758.6821739999996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/>
  <dimension ref="A1:B434"/>
  <sheetViews>
    <sheetView workbookViewId="0">
      <pane ySplit="1" topLeftCell="A2" activePane="bottomLeft" state="frozen"/>
      <selection pane="bottomLeft" activeCell="A3" sqref="A3:B434"/>
    </sheetView>
  </sheetViews>
  <sheetFormatPr defaultRowHeight="15" x14ac:dyDescent="0.25"/>
  <cols>
    <col min="1" max="1" width="36.7109375" style="6" bestFit="1" customWidth="1"/>
    <col min="2" max="2" width="9.5703125" style="6" bestFit="1" customWidth="1"/>
  </cols>
  <sheetData>
    <row r="1" spans="1:2" x14ac:dyDescent="0.25">
      <c r="A1" s="10" t="s">
        <v>13</v>
      </c>
      <c r="B1" s="10" t="s">
        <v>18</v>
      </c>
    </row>
    <row r="2" spans="1:2" x14ac:dyDescent="0.25">
      <c r="A2" s="6" t="str">
        <f>CONCATENATE(CONCATENATE('Table of compositions'!$A$1,"(",'Table of compositions'!A2,")",'Table of compositions'!$B$1,"(",'Table of compositions'!B2,")"),IF('Table of compositions'!C2=0,"",CONCATENATE('Table of compositions'!C$1,"(",'Table of compositions'!C2,")")),IF('Table of compositions'!D2=0,"",CONCATENATE('Table of compositions'!D$1,"(",'Table of compositions'!D2,")")),IF('Table of compositions'!E2=0,"",CONCATENATE('Table of compositions'!E$1,"(",'Table of compositions'!E2,")")))</f>
        <v>HexNAc(1)Hex(0)</v>
      </c>
      <c r="B2" s="6" t="str">
        <f>'Table of compositions'!G2</f>
        <v>Core</v>
      </c>
    </row>
    <row r="3" spans="1:2" x14ac:dyDescent="0.25">
      <c r="A3" s="6" t="str">
        <f>CONCATENATE(CONCATENATE('Table of compositions'!$A$1,"(",'Table of compositions'!A3,")",'Table of compositions'!$B$1,"(",'Table of compositions'!B3,")"),IF('Table of compositions'!C3=0,"",CONCATENATE('Table of compositions'!C$1,"(",'Table of compositions'!C3,")")),IF('Table of compositions'!D3=0,"",CONCATENATE('Table of compositions'!D$1,"(",'Table of compositions'!D3,")")),IF('Table of compositions'!E3=0,"",CONCATENATE('Table of compositions'!E$1,"(",'Table of compositions'!E3,")")))</f>
        <v>HexNAc(1)Hex(0)Fuc(1)</v>
      </c>
      <c r="B3" s="6" t="str">
        <f>'Table of compositions'!G3</f>
        <v>Core</v>
      </c>
    </row>
    <row r="4" spans="1:2" x14ac:dyDescent="0.25">
      <c r="A4" s="6" t="str">
        <f>CONCATENATE(CONCATENATE('Table of compositions'!$A$1,"(",'Table of compositions'!A432,")",'Table of compositions'!$B$1,"(",'Table of compositions'!B432,")"),IF('Table of compositions'!C432=0,"",CONCATENATE('Table of compositions'!C$1,"(",'Table of compositions'!C432,")")),IF('Table of compositions'!D432=0,"",CONCATENATE('Table of compositions'!D$1,"(",'Table of compositions'!D432,")")),IF('Table of compositions'!E432=0,"",CONCATENATE('Table of compositions'!E$1,"(",'Table of compositions'!E432,")")))</f>
        <v>HexNAc(10)Hex(10)Fuc(1)</v>
      </c>
      <c r="B4" s="6" t="str">
        <f>'Table of compositions'!G432</f>
        <v>HexNAc(6+)(F)(x)</v>
      </c>
    </row>
    <row r="5" spans="1:2" x14ac:dyDescent="0.25">
      <c r="A5" s="6" t="str">
        <f>CONCATENATE(CONCATENATE('Table of compositions'!$A$1,"(",'Table of compositions'!A433,")",'Table of compositions'!$B$1,"(",'Table of compositions'!B433,")"),IF('Table of compositions'!C433=0,"",CONCATENATE('Table of compositions'!C$1,"(",'Table of compositions'!C433,")")),IF('Table of compositions'!D433=0,"",CONCATENATE('Table of compositions'!D$1,"(",'Table of compositions'!D433,")")),IF('Table of compositions'!E433=0,"",CONCATENATE('Table of compositions'!E$1,"(",'Table of compositions'!E433,")")))</f>
        <v>HexNAc(10)Hex(7)</v>
      </c>
      <c r="B5" s="6" t="str">
        <f>'Table of compositions'!G433</f>
        <v>HexNAc(6+)(x)</v>
      </c>
    </row>
    <row r="6" spans="1:2" x14ac:dyDescent="0.25">
      <c r="A6" s="6" t="str">
        <f>CONCATENATE(CONCATENATE('Table of compositions'!$A$1,"(",'Table of compositions'!A434,")",'Table of compositions'!$B$1,"(",'Table of compositions'!B434,")"),IF('Table of compositions'!C434=0,"",CONCATENATE('Table of compositions'!C$1,"(",'Table of compositions'!C434,")")),IF('Table of compositions'!D434=0,"",CONCATENATE('Table of compositions'!D$1,"(",'Table of compositions'!D434,")")),IF('Table of compositions'!E434=0,"",CONCATENATE('Table of compositions'!E$1,"(",'Table of compositions'!E434,")")))</f>
        <v>HexNAc(11)Hex(11)NeuAc/NeuGc(1)</v>
      </c>
      <c r="B6" s="6" t="str">
        <f>'Table of compositions'!G434</f>
        <v>HexNAc(6+)(x)</v>
      </c>
    </row>
    <row r="7" spans="1:2" x14ac:dyDescent="0.25">
      <c r="A7" s="6" t="str">
        <f>CONCATENATE(CONCATENATE('Table of compositions'!$A$1,"(",'Table of compositions'!A435,")",'Table of compositions'!$B$1,"(",'Table of compositions'!B435,")"),IF('Table of compositions'!C435=0,"",CONCATENATE('Table of compositions'!C$1,"(",'Table of compositions'!C435,")")),IF('Table of compositions'!D435=0,"",CONCATENATE('Table of compositions'!D$1,"(",'Table of compositions'!D435,")")),IF('Table of compositions'!E435=0,"",CONCATENATE('Table of compositions'!E$1,"(",'Table of compositions'!E435,")")))</f>
        <v>HexNAc(11)Hex(11)NeuAc/NeuGc(1)</v>
      </c>
      <c r="B7" s="6" t="str">
        <f>'Table of compositions'!G435</f>
        <v>HexNAc(6+)(x)</v>
      </c>
    </row>
    <row r="8" spans="1:2" x14ac:dyDescent="0.25">
      <c r="A8" s="6" t="str">
        <f>CONCATENATE(CONCATENATE('Table of compositions'!$A$1,"(",'Table of compositions'!A4,")",'Table of compositions'!$B$1,"(",'Table of compositions'!B4,")"),IF('Table of compositions'!C4=0,"",CONCATENATE('Table of compositions'!C$1,"(",'Table of compositions'!C4,")")),IF('Table of compositions'!D4=0,"",CONCATENATE('Table of compositions'!D$1,"(",'Table of compositions'!D4,")")),IF('Table of compositions'!E4=0,"",CONCATENATE('Table of compositions'!E$1,"(",'Table of compositions'!E4,")")))</f>
        <v>HexNAc(2)Hex(0)</v>
      </c>
      <c r="B8" s="6" t="str">
        <f>'Table of compositions'!G4</f>
        <v>Core</v>
      </c>
    </row>
    <row r="9" spans="1:2" x14ac:dyDescent="0.25">
      <c r="A9" s="6" t="str">
        <f>CONCATENATE(CONCATENATE('Table of compositions'!$A$1,"(",'Table of compositions'!A5,")",'Table of compositions'!$B$1,"(",'Table of compositions'!B5,")"),IF('Table of compositions'!C5=0,"",CONCATENATE('Table of compositions'!C$1,"(",'Table of compositions'!C5,")")),IF('Table of compositions'!D5=0,"",CONCATENATE('Table of compositions'!D$1,"(",'Table of compositions'!D5,")")),IF('Table of compositions'!E5=0,"",CONCATENATE('Table of compositions'!E$1,"(",'Table of compositions'!E5,")")))</f>
        <v>HexNAc(2)Hex(0)Fuc(1)</v>
      </c>
      <c r="B9" s="6" t="str">
        <f>'Table of compositions'!G5</f>
        <v>Core</v>
      </c>
    </row>
    <row r="10" spans="1:2" x14ac:dyDescent="0.25">
      <c r="A10" s="6" t="str">
        <f>CONCATENATE(CONCATENATE('Table of compositions'!$A$1,"(",'Table of compositions'!A6,")",'Table of compositions'!$B$1,"(",'Table of compositions'!B6,")"),IF('Table of compositions'!C6=0,"",CONCATENATE('Table of compositions'!C$1,"(",'Table of compositions'!C6,")")),IF('Table of compositions'!D6=0,"",CONCATENATE('Table of compositions'!D$1,"(",'Table of compositions'!D6,")")),IF('Table of compositions'!E6=0,"",CONCATENATE('Table of compositions'!E$1,"(",'Table of compositions'!E6,")")))</f>
        <v>HexNAc(2)Hex(1)</v>
      </c>
      <c r="B10" s="6" t="str">
        <f>'Table of compositions'!G6</f>
        <v>Core</v>
      </c>
    </row>
    <row r="11" spans="1:2" x14ac:dyDescent="0.25">
      <c r="A11" s="6" t="str">
        <f>CONCATENATE(CONCATENATE('Table of compositions'!$A$1,"(",'Table of compositions'!A7,")",'Table of compositions'!$B$1,"(",'Table of compositions'!B7,")"),IF('Table of compositions'!C7=0,"",CONCATENATE('Table of compositions'!C$1,"(",'Table of compositions'!C7,")")),IF('Table of compositions'!D7=0,"",CONCATENATE('Table of compositions'!D$1,"(",'Table of compositions'!D7,")")),IF('Table of compositions'!E7=0,"",CONCATENATE('Table of compositions'!E$1,"(",'Table of compositions'!E7,")")))</f>
        <v>HexNAc(2)Hex(1)Fuc(1)</v>
      </c>
      <c r="B11" s="6" t="str">
        <f>'Table of compositions'!G7</f>
        <v>Core</v>
      </c>
    </row>
    <row r="12" spans="1:2" x14ac:dyDescent="0.25">
      <c r="A12" s="6" t="str">
        <f>CONCATENATE(CONCATENATE('Table of compositions'!$A$1,"(",'Table of compositions'!A31,")",'Table of compositions'!$B$1,"(",'Table of compositions'!B31,")"),IF('Table of compositions'!C31=0,"",CONCATENATE('Table of compositions'!C$1,"(",'Table of compositions'!C31,")")),IF('Table of compositions'!D31=0,"",CONCATENATE('Table of compositions'!D$1,"(",'Table of compositions'!D31,")")),IF('Table of compositions'!E31=0,"",CONCATENATE('Table of compositions'!E$1,"(",'Table of compositions'!E31,")")))</f>
        <v>HexNAc(2)Hex(10)</v>
      </c>
      <c r="B12" s="6" t="str">
        <f>'Table of compositions'!G31</f>
        <v>M9GLC</v>
      </c>
    </row>
    <row r="13" spans="1:2" x14ac:dyDescent="0.25">
      <c r="A13" s="6" t="str">
        <f>CONCATENATE(CONCATENATE('Table of compositions'!$A$1,"(",'Table of compositions'!A32,")",'Table of compositions'!$B$1,"(",'Table of compositions'!B32,")"),IF('Table of compositions'!C32=0,"",CONCATENATE('Table of compositions'!C$1,"(",'Table of compositions'!C32,")")),IF('Table of compositions'!D32=0,"",CONCATENATE('Table of compositions'!D$1,"(",'Table of compositions'!D32,")")),IF('Table of compositions'!E32=0,"",CONCATENATE('Table of compositions'!E$1,"(",'Table of compositions'!E32,")")))</f>
        <v>HexNAc(2)Hex(10)SO4/Phospho(1)</v>
      </c>
      <c r="B13" s="6" t="str">
        <f>'Table of compositions'!G32</f>
        <v>M9GLC</v>
      </c>
    </row>
    <row r="14" spans="1:2" x14ac:dyDescent="0.25">
      <c r="A14" s="6" t="str">
        <f>CONCATENATE(CONCATENATE('Table of compositions'!$A$1,"(",'Table of compositions'!A33,")",'Table of compositions'!$B$1,"(",'Table of compositions'!B33,")"),IF('Table of compositions'!C33=0,"",CONCATENATE('Table of compositions'!C$1,"(",'Table of compositions'!C33,")")),IF('Table of compositions'!D33=0,"",CONCATENATE('Table of compositions'!D$1,"(",'Table of compositions'!D33,")")),IF('Table of compositions'!E33=0,"",CONCATENATE('Table of compositions'!E$1,"(",'Table of compositions'!E33,")")))</f>
        <v>HexNAc(2)Hex(10)SO4/Phospho(2)</v>
      </c>
      <c r="B14" s="6" t="str">
        <f>'Table of compositions'!G33</f>
        <v>M9GLC</v>
      </c>
    </row>
    <row r="15" spans="1:2" x14ac:dyDescent="0.25">
      <c r="A15" s="6" t="str">
        <f>CONCATENATE(CONCATENATE('Table of compositions'!$A$1,"(",'Table of compositions'!A34,")",'Table of compositions'!$B$1,"(",'Table of compositions'!B34,")"),IF('Table of compositions'!C34=0,"",CONCATENATE('Table of compositions'!C$1,"(",'Table of compositions'!C34,")")),IF('Table of compositions'!D34=0,"",CONCATENATE('Table of compositions'!D$1,"(",'Table of compositions'!D34,")")),IF('Table of compositions'!E34=0,"",CONCATENATE('Table of compositions'!E$1,"(",'Table of compositions'!E34,")")))</f>
        <v>HexNAc(2)Hex(10)SO4/Phospho(3)</v>
      </c>
      <c r="B15" s="6" t="str">
        <f>'Table of compositions'!G34</f>
        <v>M9GLC</v>
      </c>
    </row>
    <row r="16" spans="1:2" x14ac:dyDescent="0.25">
      <c r="A16" s="6" t="str">
        <f>CONCATENATE(CONCATENATE('Table of compositions'!$A$1,"(",'Table of compositions'!A8,")",'Table of compositions'!$B$1,"(",'Table of compositions'!B8,")"),IF('Table of compositions'!C8=0,"",CONCATENATE('Table of compositions'!C$1,"(",'Table of compositions'!C8,")")),IF('Table of compositions'!D8=0,"",CONCATENATE('Table of compositions'!D$1,"(",'Table of compositions'!D8,")")),IF('Table of compositions'!E8=0,"",CONCATENATE('Table of compositions'!E$1,"(",'Table of compositions'!E8,")")))</f>
        <v>HexNAc(2)Hex(11)</v>
      </c>
      <c r="B16" s="6" t="str">
        <f>'Table of compositions'!G8</f>
        <v>M9GLC</v>
      </c>
    </row>
    <row r="17" spans="1:2" x14ac:dyDescent="0.25">
      <c r="A17" s="6" t="str">
        <f>CONCATENATE(CONCATENATE('Table of compositions'!$A$1,"(",'Table of compositions'!A9,")",'Table of compositions'!$B$1,"(",'Table of compositions'!B9,")"),IF('Table of compositions'!C9=0,"",CONCATENATE('Table of compositions'!C$1,"(",'Table of compositions'!C9,")")),IF('Table of compositions'!D9=0,"",CONCATENATE('Table of compositions'!D$1,"(",'Table of compositions'!D9,")")),IF('Table of compositions'!E9=0,"",CONCATENATE('Table of compositions'!E$1,"(",'Table of compositions'!E9,")")))</f>
        <v>HexNAc(2)Hex(12)</v>
      </c>
      <c r="B17" s="6" t="str">
        <f>'Table of compositions'!G9</f>
        <v>M9GLC</v>
      </c>
    </row>
    <row r="18" spans="1:2" x14ac:dyDescent="0.25">
      <c r="A18" s="6" t="str">
        <f>CONCATENATE(CONCATENATE('Table of compositions'!$A$1,"(",'Table of compositions'!A10,")",'Table of compositions'!$B$1,"(",'Table of compositions'!B10,")"),IF('Table of compositions'!C10=0,"",CONCATENATE('Table of compositions'!C$1,"(",'Table of compositions'!C10,")")),IF('Table of compositions'!D10=0,"",CONCATENATE('Table of compositions'!D$1,"(",'Table of compositions'!D10,")")),IF('Table of compositions'!E10=0,"",CONCATENATE('Table of compositions'!E$1,"(",'Table of compositions'!E10,")")))</f>
        <v>HexNAc(2)Hex(2)</v>
      </c>
      <c r="B18" s="6" t="str">
        <f>'Table of compositions'!G10</f>
        <v>Core</v>
      </c>
    </row>
    <row r="19" spans="1:2" x14ac:dyDescent="0.25">
      <c r="A19" s="6" t="str">
        <f>CONCATENATE(CONCATENATE('Table of compositions'!$A$1,"(",'Table of compositions'!A11,")",'Table of compositions'!$B$1,"(",'Table of compositions'!B11,")"),IF('Table of compositions'!C11=0,"",CONCATENATE('Table of compositions'!C$1,"(",'Table of compositions'!C11,")")),IF('Table of compositions'!D11=0,"",CONCATENATE('Table of compositions'!D$1,"(",'Table of compositions'!D11,")")),IF('Table of compositions'!E11=0,"",CONCATENATE('Table of compositions'!E$1,"(",'Table of compositions'!E11,")")))</f>
        <v>HexNAc(2)Hex(2)Fuc(1)</v>
      </c>
      <c r="B19" s="6" t="str">
        <f>'Table of compositions'!G11</f>
        <v>Core</v>
      </c>
    </row>
    <row r="20" spans="1:2" x14ac:dyDescent="0.25">
      <c r="A20" s="6" t="str">
        <f>CONCATENATE(CONCATENATE('Table of compositions'!$A$1,"(",'Table of compositions'!A12,")",'Table of compositions'!$B$1,"(",'Table of compositions'!B12,")"),IF('Table of compositions'!C12=0,"",CONCATENATE('Table of compositions'!C$1,"(",'Table of compositions'!C12,")")),IF('Table of compositions'!D12=0,"",CONCATENATE('Table of compositions'!D$1,"(",'Table of compositions'!D12,")")),IF('Table of compositions'!E12=0,"",CONCATENATE('Table of compositions'!E$1,"(",'Table of compositions'!E12,")")))</f>
        <v>HexNAc(2)Hex(3)</v>
      </c>
      <c r="B20" s="6" t="str">
        <f>'Table of compositions'!G12</f>
        <v>M3</v>
      </c>
    </row>
    <row r="21" spans="1:2" x14ac:dyDescent="0.25">
      <c r="A21" s="6" t="str">
        <f>CONCATENATE(CONCATENATE('Table of compositions'!$A$1,"(",'Table of compositions'!A13,")",'Table of compositions'!$B$1,"(",'Table of compositions'!B13,")"),IF('Table of compositions'!C13=0,"",CONCATENATE('Table of compositions'!C$1,"(",'Table of compositions'!C13,")")),IF('Table of compositions'!D13=0,"",CONCATENATE('Table of compositions'!D$1,"(",'Table of compositions'!D13,")")),IF('Table of compositions'!E13=0,"",CONCATENATE('Table of compositions'!E$1,"(",'Table of compositions'!E13,")")))</f>
        <v>HexNAc(2)Hex(3)Fuc(1)</v>
      </c>
      <c r="B21" s="6" t="str">
        <f>'Table of compositions'!G13</f>
        <v>FM</v>
      </c>
    </row>
    <row r="22" spans="1:2" x14ac:dyDescent="0.25">
      <c r="A22" s="6" t="str">
        <f>CONCATENATE(CONCATENATE('Table of compositions'!$A$1,"(",'Table of compositions'!A14,")",'Table of compositions'!$B$1,"(",'Table of compositions'!B14,")"),IF('Table of compositions'!C14=0,"",CONCATENATE('Table of compositions'!C$1,"(",'Table of compositions'!C14,")")),IF('Table of compositions'!D14=0,"",CONCATENATE('Table of compositions'!D$1,"(",'Table of compositions'!D14,")")),IF('Table of compositions'!E14=0,"",CONCATENATE('Table of compositions'!E$1,"(",'Table of compositions'!E14,")")))</f>
        <v>HexNAc(2)Hex(3)Fuc(2)</v>
      </c>
      <c r="B22" s="6" t="str">
        <f>'Table of compositions'!G14</f>
        <v>FM</v>
      </c>
    </row>
    <row r="23" spans="1:2" x14ac:dyDescent="0.25">
      <c r="A23" s="6" t="str">
        <f>CONCATENATE(CONCATENATE('Table of compositions'!$A$1,"(",'Table of compositions'!A15,")",'Table of compositions'!$B$1,"(",'Table of compositions'!B15,")"),IF('Table of compositions'!C15=0,"",CONCATENATE('Table of compositions'!C$1,"(",'Table of compositions'!C15,")")),IF('Table of compositions'!D15=0,"",CONCATENATE('Table of compositions'!D$1,"(",'Table of compositions'!D15,")")),IF('Table of compositions'!E15=0,"",CONCATENATE('Table of compositions'!E$1,"(",'Table of compositions'!E15,")")))</f>
        <v>HexNAc(2)Hex(4)</v>
      </c>
      <c r="B23" s="6" t="str">
        <f>'Table of compositions'!G15</f>
        <v>M4</v>
      </c>
    </row>
    <row r="24" spans="1:2" x14ac:dyDescent="0.25">
      <c r="A24" s="6" t="str">
        <f>CONCATENATE(CONCATENATE('Table of compositions'!$A$1,"(",'Table of compositions'!A16,")",'Table of compositions'!$B$1,"(",'Table of compositions'!B16,")"),IF('Table of compositions'!C16=0,"",CONCATENATE('Table of compositions'!C$1,"(",'Table of compositions'!C16,")")),IF('Table of compositions'!D16=0,"",CONCATENATE('Table of compositions'!D$1,"(",'Table of compositions'!D16,")")),IF('Table of compositions'!E16=0,"",CONCATENATE('Table of compositions'!E$1,"(",'Table of compositions'!E16,")")))</f>
        <v>HexNAc(2)Hex(4)Fuc(1)</v>
      </c>
      <c r="B24" s="6" t="str">
        <f>'Table of compositions'!G16</f>
        <v>FM</v>
      </c>
    </row>
    <row r="25" spans="1:2" x14ac:dyDescent="0.25">
      <c r="A25" s="6" t="str">
        <f>CONCATENATE(CONCATENATE('Table of compositions'!$A$1,"(",'Table of compositions'!A17,")",'Table of compositions'!$B$1,"(",'Table of compositions'!B17,")"),IF('Table of compositions'!C17=0,"",CONCATENATE('Table of compositions'!C$1,"(",'Table of compositions'!C17,")")),IF('Table of compositions'!D17=0,"",CONCATENATE('Table of compositions'!D$1,"(",'Table of compositions'!D17,")")),IF('Table of compositions'!E17=0,"",CONCATENATE('Table of compositions'!E$1,"(",'Table of compositions'!E17,")")))</f>
        <v>HexNAc(2)Hex(5)</v>
      </c>
      <c r="B25" s="6" t="str">
        <f>'Table of compositions'!G17</f>
        <v>M5</v>
      </c>
    </row>
    <row r="26" spans="1:2" x14ac:dyDescent="0.25">
      <c r="A26" s="6" t="str">
        <f>CONCATENATE(CONCATENATE('Table of compositions'!$A$1,"(",'Table of compositions'!A18,")",'Table of compositions'!$B$1,"(",'Table of compositions'!B18,")"),IF('Table of compositions'!C18=0,"",CONCATENATE('Table of compositions'!C$1,"(",'Table of compositions'!C18,")")),IF('Table of compositions'!D18=0,"",CONCATENATE('Table of compositions'!D$1,"(",'Table of compositions'!D18,")")),IF('Table of compositions'!E18=0,"",CONCATENATE('Table of compositions'!E$1,"(",'Table of compositions'!E18,")")))</f>
        <v>HexNAc(2)Hex(5)Fuc(1)</v>
      </c>
      <c r="B26" s="6" t="str">
        <f>'Table of compositions'!G18</f>
        <v>FM</v>
      </c>
    </row>
    <row r="27" spans="1:2" x14ac:dyDescent="0.25">
      <c r="A27" s="6" t="str">
        <f>CONCATENATE(CONCATENATE('Table of compositions'!$A$1,"(",'Table of compositions'!A19,")",'Table of compositions'!$B$1,"(",'Table of compositions'!B19,")"),IF('Table of compositions'!C19=0,"",CONCATENATE('Table of compositions'!C$1,"(",'Table of compositions'!C19,")")),IF('Table of compositions'!D19=0,"",CONCATENATE('Table of compositions'!D$1,"(",'Table of compositions'!D19,")")),IF('Table of compositions'!E19=0,"",CONCATENATE('Table of compositions'!E$1,"(",'Table of compositions'!E19,")")))</f>
        <v>HexNAc(2)Hex(5)Fuc(1)SO4/Phospho(1)</v>
      </c>
      <c r="B27" s="6" t="str">
        <f>'Table of compositions'!G19</f>
        <v>FM</v>
      </c>
    </row>
    <row r="28" spans="1:2" x14ac:dyDescent="0.25">
      <c r="A28" s="6" t="str">
        <f>CONCATENATE(CONCATENATE('Table of compositions'!$A$1,"(",'Table of compositions'!A20,")",'Table of compositions'!$B$1,"(",'Table of compositions'!B20,")"),IF('Table of compositions'!C20=0,"",CONCATENATE('Table of compositions'!C$1,"(",'Table of compositions'!C20,")")),IF('Table of compositions'!D20=0,"",CONCATENATE('Table of compositions'!D$1,"(",'Table of compositions'!D20,")")),IF('Table of compositions'!E20=0,"",CONCATENATE('Table of compositions'!E$1,"(",'Table of compositions'!E20,")")))</f>
        <v>HexNAc(2)Hex(5)Fuc(1)SO4/Phospho(2)</v>
      </c>
      <c r="B28" s="6" t="str">
        <f>'Table of compositions'!G20</f>
        <v>FM</v>
      </c>
    </row>
    <row r="29" spans="1:2" x14ac:dyDescent="0.25">
      <c r="A29" s="6" t="str">
        <f>CONCATENATE(CONCATENATE('Table of compositions'!$A$1,"(",'Table of compositions'!A21,")",'Table of compositions'!$B$1,"(",'Table of compositions'!B21,")"),IF('Table of compositions'!C21=0,"",CONCATENATE('Table of compositions'!C$1,"(",'Table of compositions'!C21,")")),IF('Table of compositions'!D21=0,"",CONCATENATE('Table of compositions'!D$1,"(",'Table of compositions'!D21,")")),IF('Table of compositions'!E21=0,"",CONCATENATE('Table of compositions'!E$1,"(",'Table of compositions'!E21,")")))</f>
        <v>HexNAc(2)Hex(5)Fuc(1)SO4/Phospho(3)</v>
      </c>
      <c r="B29" s="6" t="str">
        <f>'Table of compositions'!G21</f>
        <v>FM</v>
      </c>
    </row>
    <row r="30" spans="1:2" x14ac:dyDescent="0.25">
      <c r="A30" s="6" t="str">
        <f>CONCATENATE(CONCATENATE('Table of compositions'!$A$1,"(",'Table of compositions'!A22,")",'Table of compositions'!$B$1,"(",'Table of compositions'!B22,")"),IF('Table of compositions'!C22=0,"",CONCATENATE('Table of compositions'!C$1,"(",'Table of compositions'!C22,")")),IF('Table of compositions'!D22=0,"",CONCATENATE('Table of compositions'!D$1,"(",'Table of compositions'!D22,")")),IF('Table of compositions'!E22=0,"",CONCATENATE('Table of compositions'!E$1,"(",'Table of compositions'!E22,")")))</f>
        <v>HexNAc(2)Hex(5)SO4/Phospho(1)</v>
      </c>
      <c r="B30" s="6" t="str">
        <f>'Table of compositions'!G22</f>
        <v>M5</v>
      </c>
    </row>
    <row r="31" spans="1:2" x14ac:dyDescent="0.25">
      <c r="A31" s="6" t="str">
        <f>CONCATENATE(CONCATENATE('Table of compositions'!$A$1,"(",'Table of compositions'!A23,")",'Table of compositions'!$B$1,"(",'Table of compositions'!B23,")"),IF('Table of compositions'!C23=0,"",CONCATENATE('Table of compositions'!C$1,"(",'Table of compositions'!C23,")")),IF('Table of compositions'!D23=0,"",CONCATENATE('Table of compositions'!D$1,"(",'Table of compositions'!D23,")")),IF('Table of compositions'!E23=0,"",CONCATENATE('Table of compositions'!E$1,"(",'Table of compositions'!E23,")")))</f>
        <v>HexNAc(2)Hex(6)</v>
      </c>
      <c r="B31" s="6" t="str">
        <f>'Table of compositions'!G23</f>
        <v>M6</v>
      </c>
    </row>
    <row r="32" spans="1:2" x14ac:dyDescent="0.25">
      <c r="A32" s="6" t="str">
        <f>CONCATENATE(CONCATENATE('Table of compositions'!$A$1,"(",'Table of compositions'!A24,")",'Table of compositions'!$B$1,"(",'Table of compositions'!B24,")"),IF('Table of compositions'!C24=0,"",CONCATENATE('Table of compositions'!C$1,"(",'Table of compositions'!C24,")")),IF('Table of compositions'!D24=0,"",CONCATENATE('Table of compositions'!D$1,"(",'Table of compositions'!D24,")")),IF('Table of compositions'!E24=0,"",CONCATENATE('Table of compositions'!E$1,"(",'Table of compositions'!E24,")")))</f>
        <v>HexNAc(2)Hex(6)SO4/Phospho(1)</v>
      </c>
      <c r="B32" s="6" t="str">
        <f>'Table of compositions'!G24</f>
        <v>M6</v>
      </c>
    </row>
    <row r="33" spans="1:2" x14ac:dyDescent="0.25">
      <c r="A33" s="6" t="str">
        <f>CONCATENATE(CONCATENATE('Table of compositions'!$A$1,"(",'Table of compositions'!A25,")",'Table of compositions'!$B$1,"(",'Table of compositions'!B25,")"),IF('Table of compositions'!C25=0,"",CONCATENATE('Table of compositions'!C$1,"(",'Table of compositions'!C25,")")),IF('Table of compositions'!D25=0,"",CONCATENATE('Table of compositions'!D$1,"(",'Table of compositions'!D25,")")),IF('Table of compositions'!E25=0,"",CONCATENATE('Table of compositions'!E$1,"(",'Table of compositions'!E25,")")))</f>
        <v>HexNAc(2)Hex(7)</v>
      </c>
      <c r="B33" s="6" t="str">
        <f>'Table of compositions'!G25</f>
        <v>M7</v>
      </c>
    </row>
    <row r="34" spans="1:2" x14ac:dyDescent="0.25">
      <c r="A34" s="6" t="str">
        <f>CONCATENATE(CONCATENATE('Table of compositions'!$A$1,"(",'Table of compositions'!A26,")",'Table of compositions'!$B$1,"(",'Table of compositions'!B26,")"),IF('Table of compositions'!C26=0,"",CONCATENATE('Table of compositions'!C$1,"(",'Table of compositions'!C26,")")),IF('Table of compositions'!D26=0,"",CONCATENATE('Table of compositions'!D$1,"(",'Table of compositions'!D26,")")),IF('Table of compositions'!E26=0,"",CONCATENATE('Table of compositions'!E$1,"(",'Table of compositions'!E26,")")))</f>
        <v>HexNAc(2)Hex(7)SO4/Phospho(1)</v>
      </c>
      <c r="B34" s="6" t="str">
        <f>'Table of compositions'!G26</f>
        <v>M7</v>
      </c>
    </row>
    <row r="35" spans="1:2" x14ac:dyDescent="0.25">
      <c r="A35" s="6" t="str">
        <f>CONCATENATE(CONCATENATE('Table of compositions'!$A$1,"(",'Table of compositions'!A27,")",'Table of compositions'!$B$1,"(",'Table of compositions'!B27,")"),IF('Table of compositions'!C27=0,"",CONCATENATE('Table of compositions'!C$1,"(",'Table of compositions'!C27,")")),IF('Table of compositions'!D27=0,"",CONCATENATE('Table of compositions'!D$1,"(",'Table of compositions'!D27,")")),IF('Table of compositions'!E27=0,"",CONCATENATE('Table of compositions'!E$1,"(",'Table of compositions'!E27,")")))</f>
        <v>HexNAc(2)Hex(8)</v>
      </c>
      <c r="B35" s="6" t="str">
        <f>'Table of compositions'!G27</f>
        <v>M8</v>
      </c>
    </row>
    <row r="36" spans="1:2" x14ac:dyDescent="0.25">
      <c r="A36" s="6" t="str">
        <f>CONCATENATE(CONCATENATE('Table of compositions'!$A$1,"(",'Table of compositions'!A28,")",'Table of compositions'!$B$1,"(",'Table of compositions'!B28,")"),IF('Table of compositions'!C28=0,"",CONCATENATE('Table of compositions'!C$1,"(",'Table of compositions'!C28,")")),IF('Table of compositions'!D28=0,"",CONCATENATE('Table of compositions'!D$1,"(",'Table of compositions'!D28,")")),IF('Table of compositions'!E28=0,"",CONCATENATE('Table of compositions'!E$1,"(",'Table of compositions'!E28,")")))</f>
        <v>HexNAc(2)Hex(8)SO4/Phospho(1)</v>
      </c>
      <c r="B36" s="6" t="str">
        <f>'Table of compositions'!G28</f>
        <v>M8</v>
      </c>
    </row>
    <row r="37" spans="1:2" x14ac:dyDescent="0.25">
      <c r="A37" s="6" t="str">
        <f>CONCATENATE(CONCATENATE('Table of compositions'!$A$1,"(",'Table of compositions'!A29,")",'Table of compositions'!$B$1,"(",'Table of compositions'!B29,")"),IF('Table of compositions'!C29=0,"",CONCATENATE('Table of compositions'!C$1,"(",'Table of compositions'!C29,")")),IF('Table of compositions'!D29=0,"",CONCATENATE('Table of compositions'!D$1,"(",'Table of compositions'!D29,")")),IF('Table of compositions'!E29=0,"",CONCATENATE('Table of compositions'!E$1,"(",'Table of compositions'!E29,")")))</f>
        <v>HexNAc(2)Hex(9)</v>
      </c>
      <c r="B37" s="6" t="str">
        <f>'Table of compositions'!G29</f>
        <v>M9</v>
      </c>
    </row>
    <row r="38" spans="1:2" x14ac:dyDescent="0.25">
      <c r="A38" s="6" t="str">
        <f>CONCATENATE(CONCATENATE('Table of compositions'!$A$1,"(",'Table of compositions'!A30,")",'Table of compositions'!$B$1,"(",'Table of compositions'!B30,")"),IF('Table of compositions'!C30=0,"",CONCATENATE('Table of compositions'!C$1,"(",'Table of compositions'!C30,")")),IF('Table of compositions'!D30=0,"",CONCATENATE('Table of compositions'!D$1,"(",'Table of compositions'!D30,")")),IF('Table of compositions'!E30=0,"",CONCATENATE('Table of compositions'!E$1,"(",'Table of compositions'!E30,")")))</f>
        <v>HexNAc(2)Hex(9)SO4/Phospho(1)</v>
      </c>
      <c r="B38" s="6" t="str">
        <f>'Table of compositions'!G30</f>
        <v>M9</v>
      </c>
    </row>
    <row r="39" spans="1:2" x14ac:dyDescent="0.25">
      <c r="A39" s="6" t="str">
        <f>CONCATENATE(CONCATENATE('Table of compositions'!$A$1,"(",'Table of compositions'!A35,")",'Table of compositions'!$B$1,"(",'Table of compositions'!B35,")"),IF('Table of compositions'!C35=0,"",CONCATENATE('Table of compositions'!C$1,"(",'Table of compositions'!C35,")")),IF('Table of compositions'!D35=0,"",CONCATENATE('Table of compositions'!D$1,"(",'Table of compositions'!D35,")")),IF('Table of compositions'!E35=0,"",CONCATENATE('Table of compositions'!E$1,"(",'Table of compositions'!E35,")")))</f>
        <v>HexNAc(3)Hex(3)</v>
      </c>
      <c r="B39" s="6" t="str">
        <f>'Table of compositions'!G35</f>
        <v>HexNAc(3)(x)</v>
      </c>
    </row>
    <row r="40" spans="1:2" x14ac:dyDescent="0.25">
      <c r="A40" s="6" t="str">
        <f>CONCATENATE(CONCATENATE('Table of compositions'!$A$1,"(",'Table of compositions'!A36,")",'Table of compositions'!$B$1,"(",'Table of compositions'!B36,")"),IF('Table of compositions'!C36=0,"",CONCATENATE('Table of compositions'!C$1,"(",'Table of compositions'!C36,")")),IF('Table of compositions'!D36=0,"",CONCATENATE('Table of compositions'!D$1,"(",'Table of compositions'!D36,")")),IF('Table of compositions'!E36=0,"",CONCATENATE('Table of compositions'!E$1,"(",'Table of compositions'!E36,")")))</f>
        <v>HexNAc(3)Hex(3)Fuc(1)</v>
      </c>
      <c r="B40" s="6" t="str">
        <f>'Table of compositions'!G36</f>
        <v>HexNAc(3)(F)(x)</v>
      </c>
    </row>
    <row r="41" spans="1:2" x14ac:dyDescent="0.25">
      <c r="A41" s="6" t="str">
        <f>CONCATENATE(CONCATENATE('Table of compositions'!$A$1,"(",'Table of compositions'!A37,")",'Table of compositions'!$B$1,"(",'Table of compositions'!B37,")"),IF('Table of compositions'!C37=0,"",CONCATENATE('Table of compositions'!C$1,"(",'Table of compositions'!C37,")")),IF('Table of compositions'!D37=0,"",CONCATENATE('Table of compositions'!D$1,"(",'Table of compositions'!D37,")")),IF('Table of compositions'!E37=0,"",CONCATENATE('Table of compositions'!E$1,"(",'Table of compositions'!E37,")")))</f>
        <v>HexNAc(3)Hex(3)Fuc(1)SO4/Phospho(1)</v>
      </c>
      <c r="B41" s="6" t="str">
        <f>'Table of compositions'!G37</f>
        <v>HexNAc(3)(F)(x)</v>
      </c>
    </row>
    <row r="42" spans="1:2" x14ac:dyDescent="0.25">
      <c r="A42" s="6" t="str">
        <f>CONCATENATE(CONCATENATE('Table of compositions'!$A$1,"(",'Table of compositions'!A38,")",'Table of compositions'!$B$1,"(",'Table of compositions'!B38,")"),IF('Table of compositions'!C38=0,"",CONCATENATE('Table of compositions'!C$1,"(",'Table of compositions'!C38,")")),IF('Table of compositions'!D38=0,"",CONCATENATE('Table of compositions'!D$1,"(",'Table of compositions'!D38,")")),IF('Table of compositions'!E38=0,"",CONCATENATE('Table of compositions'!E$1,"(",'Table of compositions'!E38,")")))</f>
        <v>HexNAc(3)Hex(3)Fuc(1)SO4/Phospho(2)</v>
      </c>
      <c r="B42" s="6" t="str">
        <f>'Table of compositions'!G38</f>
        <v>HexNAc(3)(F)(x)</v>
      </c>
    </row>
    <row r="43" spans="1:2" x14ac:dyDescent="0.25">
      <c r="A43" s="6" t="str">
        <f>CONCATENATE(CONCATENATE('Table of compositions'!$A$1,"(",'Table of compositions'!A39,")",'Table of compositions'!$B$1,"(",'Table of compositions'!B39,")"),IF('Table of compositions'!C39=0,"",CONCATENATE('Table of compositions'!C$1,"(",'Table of compositions'!C39,")")),IF('Table of compositions'!D39=0,"",CONCATENATE('Table of compositions'!D$1,"(",'Table of compositions'!D39,")")),IF('Table of compositions'!E39=0,"",CONCATENATE('Table of compositions'!E$1,"(",'Table of compositions'!E39,")")))</f>
        <v>HexNAc(3)Hex(3)Fuc(1)SO4/Phospho(3)</v>
      </c>
      <c r="B43" s="6" t="str">
        <f>'Table of compositions'!G39</f>
        <v>HexNAc(3)(F)(x)</v>
      </c>
    </row>
    <row r="44" spans="1:2" x14ac:dyDescent="0.25">
      <c r="A44" s="6" t="str">
        <f>CONCATENATE(CONCATENATE('Table of compositions'!$A$1,"(",'Table of compositions'!A40,")",'Table of compositions'!$B$1,"(",'Table of compositions'!B40,")"),IF('Table of compositions'!C40=0,"",CONCATENATE('Table of compositions'!C$1,"(",'Table of compositions'!C40,")")),IF('Table of compositions'!D40=0,"",CONCATENATE('Table of compositions'!D$1,"(",'Table of compositions'!D40,")")),IF('Table of compositions'!E40=0,"",CONCATENATE('Table of compositions'!E$1,"(",'Table of compositions'!E40,")")))</f>
        <v>HexNAc(3)Hex(3)Fuc(2)</v>
      </c>
      <c r="B44" s="6" t="str">
        <f>'Table of compositions'!G40</f>
        <v>HexNAc(3)(F)(x)</v>
      </c>
    </row>
    <row r="45" spans="1:2" x14ac:dyDescent="0.25">
      <c r="A45" s="6" t="str">
        <f>CONCATENATE(CONCATENATE('Table of compositions'!$A$1,"(",'Table of compositions'!A41,")",'Table of compositions'!$B$1,"(",'Table of compositions'!B41,")"),IF('Table of compositions'!C41=0,"",CONCATENATE('Table of compositions'!C$1,"(",'Table of compositions'!C41,")")),IF('Table of compositions'!D41=0,"",CONCATENATE('Table of compositions'!D$1,"(",'Table of compositions'!D41,")")),IF('Table of compositions'!E41=0,"",CONCATENATE('Table of compositions'!E$1,"(",'Table of compositions'!E41,")")))</f>
        <v>HexNAc(3)Hex(3)Fuc(2)SO4/Phospho(1)</v>
      </c>
      <c r="B45" s="6" t="str">
        <f>'Table of compositions'!G41</f>
        <v>HexNAc(3)(F)(x)</v>
      </c>
    </row>
    <row r="46" spans="1:2" x14ac:dyDescent="0.25">
      <c r="A46" s="6" t="str">
        <f>CONCATENATE(CONCATENATE('Table of compositions'!$A$1,"(",'Table of compositions'!A42,")",'Table of compositions'!$B$1,"(",'Table of compositions'!B42,")"),IF('Table of compositions'!C42=0,"",CONCATENATE('Table of compositions'!C$1,"(",'Table of compositions'!C42,")")),IF('Table of compositions'!D42=0,"",CONCATENATE('Table of compositions'!D$1,"(",'Table of compositions'!D42,")")),IF('Table of compositions'!E42=0,"",CONCATENATE('Table of compositions'!E$1,"(",'Table of compositions'!E42,")")))</f>
        <v>HexNAc(3)Hex(3)Fuc(2)SO4/Phospho(2)</v>
      </c>
      <c r="B46" s="6" t="str">
        <f>'Table of compositions'!G42</f>
        <v>HexNAc(3)(F)(x)</v>
      </c>
    </row>
    <row r="47" spans="1:2" x14ac:dyDescent="0.25">
      <c r="A47" s="6" t="str">
        <f>CONCATENATE(CONCATENATE('Table of compositions'!$A$1,"(",'Table of compositions'!A43,")",'Table of compositions'!$B$1,"(",'Table of compositions'!B43,")"),IF('Table of compositions'!C43=0,"",CONCATENATE('Table of compositions'!C$1,"(",'Table of compositions'!C43,")")),IF('Table of compositions'!D43=0,"",CONCATENATE('Table of compositions'!D$1,"(",'Table of compositions'!D43,")")),IF('Table of compositions'!E43=0,"",CONCATENATE('Table of compositions'!E$1,"(",'Table of compositions'!E43,")")))</f>
        <v>HexNAc(3)Hex(3)Fuc(2)SO4/Phospho(3)</v>
      </c>
      <c r="B47" s="6" t="str">
        <f>'Table of compositions'!G43</f>
        <v>HexNAc(3)(F)(x)</v>
      </c>
    </row>
    <row r="48" spans="1:2" x14ac:dyDescent="0.25">
      <c r="A48" s="6" t="str">
        <f>CONCATENATE(CONCATENATE('Table of compositions'!$A$1,"(",'Table of compositions'!A44,")",'Table of compositions'!$B$1,"(",'Table of compositions'!B44,")"),IF('Table of compositions'!C44=0,"",CONCATENATE('Table of compositions'!C$1,"(",'Table of compositions'!C44,")")),IF('Table of compositions'!D44=0,"",CONCATENATE('Table of compositions'!D$1,"(",'Table of compositions'!D44,")")),IF('Table of compositions'!E44=0,"",CONCATENATE('Table of compositions'!E$1,"(",'Table of compositions'!E44,")")))</f>
        <v>HexNAc(3)Hex(4)</v>
      </c>
      <c r="B48" s="6" t="str">
        <f>'Table of compositions'!G44</f>
        <v>HexNAc(3)(x)</v>
      </c>
    </row>
    <row r="49" spans="1:2" x14ac:dyDescent="0.25">
      <c r="A49" s="6" t="str">
        <f>CONCATENATE(CONCATENATE('Table of compositions'!$A$1,"(",'Table of compositions'!A45,")",'Table of compositions'!$B$1,"(",'Table of compositions'!B45,")"),IF('Table of compositions'!C45=0,"",CONCATENATE('Table of compositions'!C$1,"(",'Table of compositions'!C45,")")),IF('Table of compositions'!D45=0,"",CONCATENATE('Table of compositions'!D$1,"(",'Table of compositions'!D45,")")),IF('Table of compositions'!E45=0,"",CONCATENATE('Table of compositions'!E$1,"(",'Table of compositions'!E45,")")))</f>
        <v>HexNAc(3)Hex(4)Fuc(1)</v>
      </c>
      <c r="B49" s="6" t="str">
        <f>'Table of compositions'!G45</f>
        <v>HexNAc(3)(F)(x)</v>
      </c>
    </row>
    <row r="50" spans="1:2" x14ac:dyDescent="0.25">
      <c r="A50" s="6" t="str">
        <f>CONCATENATE(CONCATENATE('Table of compositions'!$A$1,"(",'Table of compositions'!A46,")",'Table of compositions'!$B$1,"(",'Table of compositions'!B46,")"),IF('Table of compositions'!C46=0,"",CONCATENATE('Table of compositions'!C$1,"(",'Table of compositions'!C46,")")),IF('Table of compositions'!D46=0,"",CONCATENATE('Table of compositions'!D$1,"(",'Table of compositions'!D46,")")),IF('Table of compositions'!E46=0,"",CONCATENATE('Table of compositions'!E$1,"(",'Table of compositions'!E46,")")))</f>
        <v>HexNAc(3)Hex(4)Fuc(1)NeuAc/NeuGc(1)</v>
      </c>
      <c r="B50" s="6" t="str">
        <f>'Table of compositions'!G46</f>
        <v>HexNAc(3)(F)(x)</v>
      </c>
    </row>
    <row r="51" spans="1:2" x14ac:dyDescent="0.25">
      <c r="A51" s="6" t="str">
        <f>CONCATENATE(CONCATENATE('Table of compositions'!$A$1,"(",'Table of compositions'!A47,")",'Table of compositions'!$B$1,"(",'Table of compositions'!B47,")"),IF('Table of compositions'!C47=0,"",CONCATENATE('Table of compositions'!C$1,"(",'Table of compositions'!C47,")")),IF('Table of compositions'!D47=0,"",CONCATENATE('Table of compositions'!D$1,"(",'Table of compositions'!D47,")")),IF('Table of compositions'!E47=0,"",CONCATENATE('Table of compositions'!E$1,"(",'Table of compositions'!E47,")")))</f>
        <v>HexNAc(3)Hex(4)Fuc(1)NeuAc/NeuGc(1)SO4/Phospho(1)</v>
      </c>
      <c r="B51" s="6" t="str">
        <f>'Table of compositions'!G47</f>
        <v>HexNAc(3)(F)(x)</v>
      </c>
    </row>
    <row r="52" spans="1:2" x14ac:dyDescent="0.25">
      <c r="A52" s="6" t="str">
        <f>CONCATENATE(CONCATENATE('Table of compositions'!$A$1,"(",'Table of compositions'!A48,")",'Table of compositions'!$B$1,"(",'Table of compositions'!B48,")"),IF('Table of compositions'!C48=0,"",CONCATENATE('Table of compositions'!C$1,"(",'Table of compositions'!C48,")")),IF('Table of compositions'!D48=0,"",CONCATENATE('Table of compositions'!D$1,"(",'Table of compositions'!D48,")")),IF('Table of compositions'!E48=0,"",CONCATENATE('Table of compositions'!E$1,"(",'Table of compositions'!E48,")")))</f>
        <v>HexNAc(3)Hex(4)Fuc(1)NeuAc/NeuGc(1)SO4/Phospho(2)</v>
      </c>
      <c r="B52" s="6" t="str">
        <f>'Table of compositions'!G48</f>
        <v>HexNAc(3)(F)(x)</v>
      </c>
    </row>
    <row r="53" spans="1:2" x14ac:dyDescent="0.25">
      <c r="A53" s="6" t="str">
        <f>CONCATENATE(CONCATENATE('Table of compositions'!$A$1,"(",'Table of compositions'!A49,")",'Table of compositions'!$B$1,"(",'Table of compositions'!B49,")"),IF('Table of compositions'!C49=0,"",CONCATENATE('Table of compositions'!C$1,"(",'Table of compositions'!C49,")")),IF('Table of compositions'!D49=0,"",CONCATENATE('Table of compositions'!D$1,"(",'Table of compositions'!D49,")")),IF('Table of compositions'!E49=0,"",CONCATENATE('Table of compositions'!E$1,"(",'Table of compositions'!E49,")")))</f>
        <v>HexNAc(3)Hex(4)Fuc(1)NeuAc/NeuGc(1)SO4/Phospho(3)</v>
      </c>
      <c r="B53" s="6" t="str">
        <f>'Table of compositions'!G49</f>
        <v>HexNAc(3)(F)(x)</v>
      </c>
    </row>
    <row r="54" spans="1:2" x14ac:dyDescent="0.25">
      <c r="A54" s="6" t="str">
        <f>CONCATENATE(CONCATENATE('Table of compositions'!$A$1,"(",'Table of compositions'!A50,")",'Table of compositions'!$B$1,"(",'Table of compositions'!B50,")"),IF('Table of compositions'!C50=0,"",CONCATENATE('Table of compositions'!C$1,"(",'Table of compositions'!C50,")")),IF('Table of compositions'!D50=0,"",CONCATENATE('Table of compositions'!D$1,"(",'Table of compositions'!D50,")")),IF('Table of compositions'!E50=0,"",CONCATENATE('Table of compositions'!E$1,"(",'Table of compositions'!E50,")")))</f>
        <v>HexNAc(3)Hex(4)Fuc(1)NeuAc/NeuGc(1)</v>
      </c>
      <c r="B54" s="6" t="str">
        <f>'Table of compositions'!G50</f>
        <v>HexNAc(3)(F)(x)</v>
      </c>
    </row>
    <row r="55" spans="1:2" x14ac:dyDescent="0.25">
      <c r="A55" s="6" t="str">
        <f>CONCATENATE(CONCATENATE('Table of compositions'!$A$1,"(",'Table of compositions'!A51,")",'Table of compositions'!$B$1,"(",'Table of compositions'!B51,")"),IF('Table of compositions'!C51=0,"",CONCATENATE('Table of compositions'!C$1,"(",'Table of compositions'!C51,")")),IF('Table of compositions'!D51=0,"",CONCATENATE('Table of compositions'!D$1,"(",'Table of compositions'!D51,")")),IF('Table of compositions'!E51=0,"",CONCATENATE('Table of compositions'!E$1,"(",'Table of compositions'!E51,")")))</f>
        <v>HexNAc(3)Hex(4)Fuc(1)SO4/Phospho(1)</v>
      </c>
      <c r="B55" s="6" t="str">
        <f>'Table of compositions'!G51</f>
        <v>M3</v>
      </c>
    </row>
    <row r="56" spans="1:2" x14ac:dyDescent="0.25">
      <c r="A56" s="6" t="str">
        <f>CONCATENATE(CONCATENATE('Table of compositions'!$A$1,"(",'Table of compositions'!A52,")",'Table of compositions'!$B$1,"(",'Table of compositions'!B52,")"),IF('Table of compositions'!C52=0,"",CONCATENATE('Table of compositions'!C$1,"(",'Table of compositions'!C52,")")),IF('Table of compositions'!D52=0,"",CONCATENATE('Table of compositions'!D$1,"(",'Table of compositions'!D52,")")),IF('Table of compositions'!E52=0,"",CONCATENATE('Table of compositions'!E$1,"(",'Table of compositions'!E52,")")))</f>
        <v>HexNAc(3)Hex(4)Fuc(1)SO4/Phospho(2)</v>
      </c>
      <c r="B56" s="6" t="str">
        <f>'Table of compositions'!G52</f>
        <v>FM</v>
      </c>
    </row>
    <row r="57" spans="1:2" x14ac:dyDescent="0.25">
      <c r="A57" s="6" t="str">
        <f>CONCATENATE(CONCATENATE('Table of compositions'!$A$1,"(",'Table of compositions'!A53,")",'Table of compositions'!$B$1,"(",'Table of compositions'!B53,")"),IF('Table of compositions'!C53=0,"",CONCATENATE('Table of compositions'!C$1,"(",'Table of compositions'!C53,")")),IF('Table of compositions'!D53=0,"",CONCATENATE('Table of compositions'!D$1,"(",'Table of compositions'!D53,")")),IF('Table of compositions'!E53=0,"",CONCATENATE('Table of compositions'!E$1,"(",'Table of compositions'!E53,")")))</f>
        <v>HexNAc(3)Hex(4)Fuc(1)SO4/Phospho(3)</v>
      </c>
      <c r="B57" s="6" t="str">
        <f>'Table of compositions'!G53</f>
        <v>HexNAc(3)(F)(x)</v>
      </c>
    </row>
    <row r="58" spans="1:2" x14ac:dyDescent="0.25">
      <c r="A58" s="6" t="str">
        <f>CONCATENATE(CONCATENATE('Table of compositions'!$A$1,"(",'Table of compositions'!A54,")",'Table of compositions'!$B$1,"(",'Table of compositions'!B54,")"),IF('Table of compositions'!C54=0,"",CONCATENATE('Table of compositions'!C$1,"(",'Table of compositions'!C54,")")),IF('Table of compositions'!D54=0,"",CONCATENATE('Table of compositions'!D$1,"(",'Table of compositions'!D54,")")),IF('Table of compositions'!E54=0,"",CONCATENATE('Table of compositions'!E$1,"(",'Table of compositions'!E54,")")))</f>
        <v>HexNAc(3)Hex(4)Fuc(2)</v>
      </c>
      <c r="B58" s="6" t="str">
        <f>'Table of compositions'!G54</f>
        <v>HexNAc(3)(F)(x)</v>
      </c>
    </row>
    <row r="59" spans="1:2" x14ac:dyDescent="0.25">
      <c r="A59" s="6" t="str">
        <f>CONCATENATE(CONCATENATE('Table of compositions'!$A$1,"(",'Table of compositions'!A55,")",'Table of compositions'!$B$1,"(",'Table of compositions'!B55,")"),IF('Table of compositions'!C55=0,"",CONCATENATE('Table of compositions'!C$1,"(",'Table of compositions'!C55,")")),IF('Table of compositions'!D55=0,"",CONCATENATE('Table of compositions'!D$1,"(",'Table of compositions'!D55,")")),IF('Table of compositions'!E55=0,"",CONCATENATE('Table of compositions'!E$1,"(",'Table of compositions'!E55,")")))</f>
        <v>HexNAc(3)Hex(4)Fuc(2)SO4/Phospho(1)</v>
      </c>
      <c r="B59" s="6" t="str">
        <f>'Table of compositions'!G55</f>
        <v>HexNAc(3)(F)(x)</v>
      </c>
    </row>
    <row r="60" spans="1:2" x14ac:dyDescent="0.25">
      <c r="A60" s="6" t="str">
        <f>CONCATENATE(CONCATENATE('Table of compositions'!$A$1,"(",'Table of compositions'!A56,")",'Table of compositions'!$B$1,"(",'Table of compositions'!B56,")"),IF('Table of compositions'!C56=0,"",CONCATENATE('Table of compositions'!C$1,"(",'Table of compositions'!C56,")")),IF('Table of compositions'!D56=0,"",CONCATENATE('Table of compositions'!D$1,"(",'Table of compositions'!D56,")")),IF('Table of compositions'!E56=0,"",CONCATENATE('Table of compositions'!E$1,"(",'Table of compositions'!E56,")")))</f>
        <v>HexNAc(3)Hex(4)Fuc(2)SO4/Phospho(2)</v>
      </c>
      <c r="B60" s="6" t="str">
        <f>'Table of compositions'!G56</f>
        <v>HexNAc(3)(F)(x)</v>
      </c>
    </row>
    <row r="61" spans="1:2" x14ac:dyDescent="0.25">
      <c r="A61" s="6" t="str">
        <f>CONCATENATE(CONCATENATE('Table of compositions'!$A$1,"(",'Table of compositions'!A57,")",'Table of compositions'!$B$1,"(",'Table of compositions'!B57,")"),IF('Table of compositions'!C57=0,"",CONCATENATE('Table of compositions'!C$1,"(",'Table of compositions'!C57,")")),IF('Table of compositions'!D57=0,"",CONCATENATE('Table of compositions'!D$1,"(",'Table of compositions'!D57,")")),IF('Table of compositions'!E57=0,"",CONCATENATE('Table of compositions'!E$1,"(",'Table of compositions'!E57,")")))</f>
        <v>HexNAc(3)Hex(4)Fuc(2)SO4/Phospho(3)</v>
      </c>
      <c r="B61" s="6" t="str">
        <f>'Table of compositions'!G57</f>
        <v>HexNAc(3)(F)(x)</v>
      </c>
    </row>
    <row r="62" spans="1:2" x14ac:dyDescent="0.25">
      <c r="A62" s="6" t="str">
        <f>CONCATENATE(CONCATENATE('Table of compositions'!$A$1,"(",'Table of compositions'!A58,")",'Table of compositions'!$B$1,"(",'Table of compositions'!B58,")"),IF('Table of compositions'!C58=0,"",CONCATENATE('Table of compositions'!C$1,"(",'Table of compositions'!C58,")")),IF('Table of compositions'!D58=0,"",CONCATENATE('Table of compositions'!D$1,"(",'Table of compositions'!D58,")")),IF('Table of compositions'!E58=0,"",CONCATENATE('Table of compositions'!E$1,"(",'Table of compositions'!E58,")")))</f>
        <v>HexNAc(3)Hex(4)NeuAc/NeuGc(1)</v>
      </c>
      <c r="B62" s="6" t="str">
        <f>'Table of compositions'!G58</f>
        <v>HexNAc(3)(x)</v>
      </c>
    </row>
    <row r="63" spans="1:2" x14ac:dyDescent="0.25">
      <c r="A63" s="6" t="str">
        <f>CONCATENATE(CONCATENATE('Table of compositions'!$A$1,"(",'Table of compositions'!A59,")",'Table of compositions'!$B$1,"(",'Table of compositions'!B59,")"),IF('Table of compositions'!C59=0,"",CONCATENATE('Table of compositions'!C$1,"(",'Table of compositions'!C59,")")),IF('Table of compositions'!D59=0,"",CONCATENATE('Table of compositions'!D$1,"(",'Table of compositions'!D59,")")),IF('Table of compositions'!E59=0,"",CONCATENATE('Table of compositions'!E$1,"(",'Table of compositions'!E59,")")))</f>
        <v>HexNAc(3)Hex(4)NeuAc/NeuGc(1)</v>
      </c>
      <c r="B63" s="6" t="str">
        <f>'Table of compositions'!G59</f>
        <v>HexNAc(3)(x)</v>
      </c>
    </row>
    <row r="64" spans="1:2" x14ac:dyDescent="0.25">
      <c r="A64" s="6" t="str">
        <f>CONCATENATE(CONCATENATE('Table of compositions'!$A$1,"(",'Table of compositions'!A60,")",'Table of compositions'!$B$1,"(",'Table of compositions'!B60,")"),IF('Table of compositions'!C60=0,"",CONCATENATE('Table of compositions'!C$1,"(",'Table of compositions'!C60,")")),IF('Table of compositions'!D60=0,"",CONCATENATE('Table of compositions'!D$1,"(",'Table of compositions'!D60,")")),IF('Table of compositions'!E60=0,"",CONCATENATE('Table of compositions'!E$1,"(",'Table of compositions'!E60,")")))</f>
        <v>HexNAc(3)Hex(4)SO4/Phospho(1)</v>
      </c>
      <c r="B64" s="6" t="str">
        <f>'Table of compositions'!G60</f>
        <v>HexNAc(3)(x)</v>
      </c>
    </row>
    <row r="65" spans="1:2" x14ac:dyDescent="0.25">
      <c r="A65" s="6" t="str">
        <f>CONCATENATE(CONCATENATE('Table of compositions'!$A$1,"(",'Table of compositions'!A61,")",'Table of compositions'!$B$1,"(",'Table of compositions'!B61,")"),IF('Table of compositions'!C61=0,"",CONCATENATE('Table of compositions'!C$1,"(",'Table of compositions'!C61,")")),IF('Table of compositions'!D61=0,"",CONCATENATE('Table of compositions'!D$1,"(",'Table of compositions'!D61,")")),IF('Table of compositions'!E61=0,"",CONCATENATE('Table of compositions'!E$1,"(",'Table of compositions'!E61,")")))</f>
        <v>HexNAc(3)Hex(4)SO4/Phospho(2)</v>
      </c>
      <c r="B65" s="6" t="str">
        <f>'Table of compositions'!G61</f>
        <v>HexNAc(3)(x)</v>
      </c>
    </row>
    <row r="66" spans="1:2" x14ac:dyDescent="0.25">
      <c r="A66" s="6" t="str">
        <f>CONCATENATE(CONCATENATE('Table of compositions'!$A$1,"(",'Table of compositions'!A62,")",'Table of compositions'!$B$1,"(",'Table of compositions'!B62,")"),IF('Table of compositions'!C62=0,"",CONCATENATE('Table of compositions'!C$1,"(",'Table of compositions'!C62,")")),IF('Table of compositions'!D62=0,"",CONCATENATE('Table of compositions'!D$1,"(",'Table of compositions'!D62,")")),IF('Table of compositions'!E62=0,"",CONCATENATE('Table of compositions'!E$1,"(",'Table of compositions'!E62,")")))</f>
        <v>HexNAc(3)Hex(4)SO4/Phospho(3)</v>
      </c>
      <c r="B66" s="6" t="str">
        <f>'Table of compositions'!G62</f>
        <v>HexNAc(3)(x)</v>
      </c>
    </row>
    <row r="67" spans="1:2" x14ac:dyDescent="0.25">
      <c r="A67" s="6" t="str">
        <f>CONCATENATE(CONCATENATE('Table of compositions'!$A$1,"(",'Table of compositions'!A63,")",'Table of compositions'!$B$1,"(",'Table of compositions'!B63,")"),IF('Table of compositions'!C63=0,"",CONCATENATE('Table of compositions'!C$1,"(",'Table of compositions'!C63,")")),IF('Table of compositions'!D63=0,"",CONCATENATE('Table of compositions'!D$1,"(",'Table of compositions'!D63,")")),IF('Table of compositions'!E63=0,"",CONCATENATE('Table of compositions'!E$1,"(",'Table of compositions'!E63,")")))</f>
        <v>HexNAc(3)Hex(5)</v>
      </c>
      <c r="B67" s="6" t="str">
        <f>'Table of compositions'!G63</f>
        <v>HYBRID</v>
      </c>
    </row>
    <row r="68" spans="1:2" x14ac:dyDescent="0.25">
      <c r="A68" s="6" t="str">
        <f>CONCATENATE(CONCATENATE('Table of compositions'!$A$1,"(",'Table of compositions'!A64,")",'Table of compositions'!$B$1,"(",'Table of compositions'!B64,")"),IF('Table of compositions'!C64=0,"",CONCATENATE('Table of compositions'!C$1,"(",'Table of compositions'!C64,")")),IF('Table of compositions'!D64=0,"",CONCATENATE('Table of compositions'!D$1,"(",'Table of compositions'!D64,")")),IF('Table of compositions'!E64=0,"",CONCATENATE('Table of compositions'!E$1,"(",'Table of compositions'!E64,")")))</f>
        <v>HexNAc(3)Hex(5)Fuc(1)</v>
      </c>
      <c r="B68" s="6" t="str">
        <f>'Table of compositions'!G64</f>
        <v>FHYBRID</v>
      </c>
    </row>
    <row r="69" spans="1:2" x14ac:dyDescent="0.25">
      <c r="A69" s="6" t="str">
        <f>CONCATENATE(CONCATENATE('Table of compositions'!$A$1,"(",'Table of compositions'!A66,")",'Table of compositions'!$B$1,"(",'Table of compositions'!B66,")"),IF('Table of compositions'!C66=0,"",CONCATENATE('Table of compositions'!C$1,"(",'Table of compositions'!C66,")")),IF('Table of compositions'!D66=0,"",CONCATENATE('Table of compositions'!D$1,"(",'Table of compositions'!D66,")")),IF('Table of compositions'!E66=0,"",CONCATENATE('Table of compositions'!E$1,"(",'Table of compositions'!E66,")")))</f>
        <v>HexNAc(3)Hex(5)Fuc(1)SO4/Phospho(1)</v>
      </c>
      <c r="B69" s="6" t="str">
        <f>'Table of compositions'!G66</f>
        <v>FHYBRID</v>
      </c>
    </row>
    <row r="70" spans="1:2" x14ac:dyDescent="0.25">
      <c r="A70" s="6" t="str">
        <f>CONCATENATE(CONCATENATE('Table of compositions'!$A$1,"(",'Table of compositions'!A67,")",'Table of compositions'!$B$1,"(",'Table of compositions'!B67,")"),IF('Table of compositions'!C67=0,"",CONCATENATE('Table of compositions'!C$1,"(",'Table of compositions'!C67,")")),IF('Table of compositions'!D67=0,"",CONCATENATE('Table of compositions'!D$1,"(",'Table of compositions'!D67,")")),IF('Table of compositions'!E67=0,"",CONCATENATE('Table of compositions'!E$1,"(",'Table of compositions'!E67,")")))</f>
        <v>HexNAc(3)Hex(5)Fuc(1)SO4/Phospho(2)</v>
      </c>
      <c r="B70" s="6" t="str">
        <f>'Table of compositions'!G67</f>
        <v>FHYBRID</v>
      </c>
    </row>
    <row r="71" spans="1:2" x14ac:dyDescent="0.25">
      <c r="A71" s="6" t="str">
        <f>CONCATENATE(CONCATENATE('Table of compositions'!$A$1,"(",'Table of compositions'!A68,")",'Table of compositions'!$B$1,"(",'Table of compositions'!B68,")"),IF('Table of compositions'!C68=0,"",CONCATENATE('Table of compositions'!C$1,"(",'Table of compositions'!C68,")")),IF('Table of compositions'!D68=0,"",CONCATENATE('Table of compositions'!D$1,"(",'Table of compositions'!D68,")")),IF('Table of compositions'!E68=0,"",CONCATENATE('Table of compositions'!E$1,"(",'Table of compositions'!E68,")")))</f>
        <v>HexNAc(3)Hex(5)Fuc(1)SO4/Phospho(3)</v>
      </c>
      <c r="B71" s="6" t="str">
        <f>'Table of compositions'!G68</f>
        <v>FHYBRID</v>
      </c>
    </row>
    <row r="72" spans="1:2" x14ac:dyDescent="0.25">
      <c r="A72" s="6" t="str">
        <f>CONCATENATE(CONCATENATE('Table of compositions'!$A$1,"(",'Table of compositions'!A69,")",'Table of compositions'!$B$1,"(",'Table of compositions'!B69,")"),IF('Table of compositions'!C69=0,"",CONCATENATE('Table of compositions'!C$1,"(",'Table of compositions'!C69,")")),IF('Table of compositions'!D69=0,"",CONCATENATE('Table of compositions'!D$1,"(",'Table of compositions'!D69,")")),IF('Table of compositions'!E69=0,"",CONCATENATE('Table of compositions'!E$1,"(",'Table of compositions'!E69,")")))</f>
        <v>HexNAc(3)Hex(5)NeuAc/NeuGc(1)</v>
      </c>
      <c r="B72" s="6" t="str">
        <f>'Table of compositions'!G69</f>
        <v>HYBRID</v>
      </c>
    </row>
    <row r="73" spans="1:2" x14ac:dyDescent="0.25">
      <c r="A73" s="6" t="str">
        <f>CONCATENATE(CONCATENATE('Table of compositions'!$A$1,"(",'Table of compositions'!A70,")",'Table of compositions'!$B$1,"(",'Table of compositions'!B70,")"),IF('Table of compositions'!C70=0,"",CONCATENATE('Table of compositions'!C$1,"(",'Table of compositions'!C70,")")),IF('Table of compositions'!D70=0,"",CONCATENATE('Table of compositions'!D$1,"(",'Table of compositions'!D70,")")),IF('Table of compositions'!E70=0,"",CONCATENATE('Table of compositions'!E$1,"(",'Table of compositions'!E70,")")))</f>
        <v>HexNAc(3)Hex(5)NeuAc/NeuGc(1)</v>
      </c>
      <c r="B73" s="6" t="str">
        <f>'Table of compositions'!G70</f>
        <v>HYBRID</v>
      </c>
    </row>
    <row r="74" spans="1:2" x14ac:dyDescent="0.25">
      <c r="A74" s="6" t="str">
        <f>CONCATENATE(CONCATENATE('Table of compositions'!$A$1,"(",'Table of compositions'!A71,")",'Table of compositions'!$B$1,"(",'Table of compositions'!B71,")"),IF('Table of compositions'!C71=0,"",CONCATENATE('Table of compositions'!C$1,"(",'Table of compositions'!C71,")")),IF('Table of compositions'!D71=0,"",CONCATENATE('Table of compositions'!D$1,"(",'Table of compositions'!D71,")")),IF('Table of compositions'!E71=0,"",CONCATENATE('Table of compositions'!E$1,"(",'Table of compositions'!E71,")")))</f>
        <v>HexNAc(3)Hex(6)</v>
      </c>
      <c r="B74" s="6" t="str">
        <f>'Table of compositions'!G71</f>
        <v>HYBRID</v>
      </c>
    </row>
    <row r="75" spans="1:2" x14ac:dyDescent="0.25">
      <c r="A75" s="6" t="str">
        <f>CONCATENATE(CONCATENATE('Table of compositions'!$A$1,"(",'Table of compositions'!A72,")",'Table of compositions'!$B$1,"(",'Table of compositions'!B72,")"),IF('Table of compositions'!C72=0,"",CONCATENATE('Table of compositions'!C$1,"(",'Table of compositions'!C72,")")),IF('Table of compositions'!D72=0,"",CONCATENATE('Table of compositions'!D$1,"(",'Table of compositions'!D72,")")),IF('Table of compositions'!E72=0,"",CONCATENATE('Table of compositions'!E$1,"(",'Table of compositions'!E72,")")))</f>
        <v>HexNAc(3)Hex(6)Fuc(1)</v>
      </c>
      <c r="B75" s="6" t="str">
        <f>'Table of compositions'!G72</f>
        <v>FHYBRID</v>
      </c>
    </row>
    <row r="76" spans="1:2" x14ac:dyDescent="0.25">
      <c r="A76" s="6" t="str">
        <f>CONCATENATE(CONCATENATE('Table of compositions'!$A$1,"(",'Table of compositions'!A73,")",'Table of compositions'!$B$1,"(",'Table of compositions'!B73,")"),IF('Table of compositions'!C73=0,"",CONCATENATE('Table of compositions'!C$1,"(",'Table of compositions'!C73,")")),IF('Table of compositions'!D73=0,"",CONCATENATE('Table of compositions'!D$1,"(",'Table of compositions'!D73,")")),IF('Table of compositions'!E73=0,"",CONCATENATE('Table of compositions'!E$1,"(",'Table of compositions'!E73,")")))</f>
        <v>HexNAc(3)Hex(6)Fuc(1)NeuAc/NeuGc(1)</v>
      </c>
      <c r="B76" s="6" t="str">
        <f>'Table of compositions'!G73</f>
        <v>FHYBRID</v>
      </c>
    </row>
    <row r="77" spans="1:2" x14ac:dyDescent="0.25">
      <c r="A77" s="6" t="str">
        <f>CONCATENATE(CONCATENATE('Table of compositions'!$A$1,"(",'Table of compositions'!A74,")",'Table of compositions'!$B$1,"(",'Table of compositions'!B74,")"),IF('Table of compositions'!C74=0,"",CONCATENATE('Table of compositions'!C$1,"(",'Table of compositions'!C74,")")),IF('Table of compositions'!D74=0,"",CONCATENATE('Table of compositions'!D$1,"(",'Table of compositions'!D74,")")),IF('Table of compositions'!E74=0,"",CONCATENATE('Table of compositions'!E$1,"(",'Table of compositions'!E74,")")))</f>
        <v>HexNAc(3)Hex(6)Fuc(1)NeuAc/NeuGc(1)</v>
      </c>
      <c r="B77" s="6" t="str">
        <f>'Table of compositions'!G74</f>
        <v>FHYBRID</v>
      </c>
    </row>
    <row r="78" spans="1:2" x14ac:dyDescent="0.25">
      <c r="A78" s="6" t="str">
        <f>CONCATENATE(CONCATENATE('Table of compositions'!$A$1,"(",'Table of compositions'!A75,")",'Table of compositions'!$B$1,"(",'Table of compositions'!B75,")"),IF('Table of compositions'!C75=0,"",CONCATENATE('Table of compositions'!C$1,"(",'Table of compositions'!C75,")")),IF('Table of compositions'!D75=0,"",CONCATENATE('Table of compositions'!D$1,"(",'Table of compositions'!D75,")")),IF('Table of compositions'!E75=0,"",CONCATENATE('Table of compositions'!E$1,"(",'Table of compositions'!E75,")")))</f>
        <v>HexNAc(3)Hex(6)Fuc(1)SO4/Phospho(1)</v>
      </c>
      <c r="B78" s="6" t="str">
        <f>'Table of compositions'!G75</f>
        <v>FHYBRID</v>
      </c>
    </row>
    <row r="79" spans="1:2" x14ac:dyDescent="0.25">
      <c r="A79" s="6" t="str">
        <f>CONCATENATE(CONCATENATE('Table of compositions'!$A$1,"(",'Table of compositions'!A76,")",'Table of compositions'!$B$1,"(",'Table of compositions'!B76,")"),IF('Table of compositions'!C76=0,"",CONCATENATE('Table of compositions'!C$1,"(",'Table of compositions'!C76,")")),IF('Table of compositions'!D76=0,"",CONCATENATE('Table of compositions'!D$1,"(",'Table of compositions'!D76,")")),IF('Table of compositions'!E76=0,"",CONCATENATE('Table of compositions'!E$1,"(",'Table of compositions'!E76,")")))</f>
        <v>HexNAc(3)Hex(6)Fuc(1)SO4/Phospho(2)</v>
      </c>
      <c r="B79" s="6" t="str">
        <f>'Table of compositions'!G76</f>
        <v>FHYBRID</v>
      </c>
    </row>
    <row r="80" spans="1:2" x14ac:dyDescent="0.25">
      <c r="A80" s="6" t="str">
        <f>CONCATENATE(CONCATENATE('Table of compositions'!$A$1,"(",'Table of compositions'!A77,")",'Table of compositions'!$B$1,"(",'Table of compositions'!B77,")"),IF('Table of compositions'!C77=0,"",CONCATENATE('Table of compositions'!C$1,"(",'Table of compositions'!C77,")")),IF('Table of compositions'!D77=0,"",CONCATENATE('Table of compositions'!D$1,"(",'Table of compositions'!D77,")")),IF('Table of compositions'!E77=0,"",CONCATENATE('Table of compositions'!E$1,"(",'Table of compositions'!E77,")")))</f>
        <v>HexNAc(3)Hex(6)Fuc(1)SO4/Phospho(3)</v>
      </c>
      <c r="B80" s="6" t="str">
        <f>'Table of compositions'!G77</f>
        <v>FHYBRID</v>
      </c>
    </row>
    <row r="81" spans="1:2" x14ac:dyDescent="0.25">
      <c r="A81" s="6" t="str">
        <f>CONCATENATE(CONCATENATE('Table of compositions'!$A$1,"(",'Table of compositions'!A78,")",'Table of compositions'!$B$1,"(",'Table of compositions'!B78,")"),IF('Table of compositions'!C78=0,"",CONCATENATE('Table of compositions'!C$1,"(",'Table of compositions'!C78,")")),IF('Table of compositions'!D78=0,"",CONCATENATE('Table of compositions'!D$1,"(",'Table of compositions'!D78,")")),IF('Table of compositions'!E78=0,"",CONCATENATE('Table of compositions'!E$1,"(",'Table of compositions'!E78,")")))</f>
        <v>HexNAc(3)Hex(6)NeuAc/NeuGc(1)</v>
      </c>
      <c r="B81" s="6" t="str">
        <f>'Table of compositions'!G78</f>
        <v>HYBRID</v>
      </c>
    </row>
    <row r="82" spans="1:2" x14ac:dyDescent="0.25">
      <c r="A82" s="6" t="str">
        <f>CONCATENATE(CONCATENATE('Table of compositions'!$A$1,"(",'Table of compositions'!A79,")",'Table of compositions'!$B$1,"(",'Table of compositions'!B79,")"),IF('Table of compositions'!C79=0,"",CONCATENATE('Table of compositions'!C$1,"(",'Table of compositions'!C79,")")),IF('Table of compositions'!D79=0,"",CONCATENATE('Table of compositions'!D$1,"(",'Table of compositions'!D79,")")),IF('Table of compositions'!E79=0,"",CONCATENATE('Table of compositions'!E$1,"(",'Table of compositions'!E79,")")))</f>
        <v>HexNAc(3)Hex(6)NeuAc/NeuGc(1)SO4/Phospho(1)</v>
      </c>
      <c r="B82" s="6" t="str">
        <f>'Table of compositions'!G79</f>
        <v>HYBRID</v>
      </c>
    </row>
    <row r="83" spans="1:2" x14ac:dyDescent="0.25">
      <c r="A83" s="6" t="str">
        <f>CONCATENATE(CONCATENATE('Table of compositions'!$A$1,"(",'Table of compositions'!A80,")",'Table of compositions'!$B$1,"(",'Table of compositions'!B80,")"),IF('Table of compositions'!C80=0,"",CONCATENATE('Table of compositions'!C$1,"(",'Table of compositions'!C80,")")),IF('Table of compositions'!D80=0,"",CONCATENATE('Table of compositions'!D$1,"(",'Table of compositions'!D80,")")),IF('Table of compositions'!E80=0,"",CONCATENATE('Table of compositions'!E$1,"(",'Table of compositions'!E80,")")))</f>
        <v>HexNAc(3)Hex(6)NeuAc/NeuGc(1)SO4/Phospho(2)</v>
      </c>
      <c r="B83" s="6" t="str">
        <f>'Table of compositions'!G80</f>
        <v>HYBRID</v>
      </c>
    </row>
    <row r="84" spans="1:2" x14ac:dyDescent="0.25">
      <c r="A84" s="6" t="str">
        <f>CONCATENATE(CONCATENATE('Table of compositions'!$A$1,"(",'Table of compositions'!A81,")",'Table of compositions'!$B$1,"(",'Table of compositions'!B81,")"),IF('Table of compositions'!C81=0,"",CONCATENATE('Table of compositions'!C$1,"(",'Table of compositions'!C81,")")),IF('Table of compositions'!D81=0,"",CONCATENATE('Table of compositions'!D$1,"(",'Table of compositions'!D81,")")),IF('Table of compositions'!E81=0,"",CONCATENATE('Table of compositions'!E$1,"(",'Table of compositions'!E81,")")))</f>
        <v>HexNAc(3)Hex(6)NeuAc/NeuGc(1)SO4/Phospho(3)</v>
      </c>
      <c r="B84" s="6" t="str">
        <f>'Table of compositions'!G81</f>
        <v>HYBRID</v>
      </c>
    </row>
    <row r="85" spans="1:2" x14ac:dyDescent="0.25">
      <c r="A85" s="6" t="str">
        <f>CONCATENATE(CONCATENATE('Table of compositions'!$A$1,"(",'Table of compositions'!A82,")",'Table of compositions'!$B$1,"(",'Table of compositions'!B82,")"),IF('Table of compositions'!C82=0,"",CONCATENATE('Table of compositions'!C$1,"(",'Table of compositions'!C82,")")),IF('Table of compositions'!D82=0,"",CONCATENATE('Table of compositions'!D$1,"(",'Table of compositions'!D82,")")),IF('Table of compositions'!E82=0,"",CONCATENATE('Table of compositions'!E$1,"(",'Table of compositions'!E82,")")))</f>
        <v>HexNAc(3)Hex(6)NeuAc/NeuGc(1)</v>
      </c>
      <c r="B85" s="6" t="str">
        <f>'Table of compositions'!G82</f>
        <v>HYBRID</v>
      </c>
    </row>
    <row r="86" spans="1:2" x14ac:dyDescent="0.25">
      <c r="A86" s="6" t="str">
        <f>CONCATENATE(CONCATENATE('Table of compositions'!$A$1,"(",'Table of compositions'!A83,")",'Table of compositions'!$B$1,"(",'Table of compositions'!B83,")"),IF('Table of compositions'!C83=0,"",CONCATENATE('Table of compositions'!C$1,"(",'Table of compositions'!C83,")")),IF('Table of compositions'!D83=0,"",CONCATENATE('Table of compositions'!D$1,"(",'Table of compositions'!D83,")")),IF('Table of compositions'!E83=0,"",CONCATENATE('Table of compositions'!E$1,"(",'Table of compositions'!E83,")")))</f>
        <v>HexNAc(3)Hex(6)SO4/Phospho(1)</v>
      </c>
      <c r="B86" s="6" t="str">
        <f>'Table of compositions'!G83</f>
        <v>HYBRID</v>
      </c>
    </row>
    <row r="87" spans="1:2" x14ac:dyDescent="0.25">
      <c r="A87" s="6" t="str">
        <f>CONCATENATE(CONCATENATE('Table of compositions'!$A$1,"(",'Table of compositions'!A84,")",'Table of compositions'!$B$1,"(",'Table of compositions'!B84,")"),IF('Table of compositions'!C84=0,"",CONCATENATE('Table of compositions'!C$1,"(",'Table of compositions'!C84,")")),IF('Table of compositions'!D84=0,"",CONCATENATE('Table of compositions'!D$1,"(",'Table of compositions'!D84,")")),IF('Table of compositions'!E84=0,"",CONCATENATE('Table of compositions'!E$1,"(",'Table of compositions'!E84,")")))</f>
        <v>HexNAc(3)Hex(6)SO4/Phospho(2)</v>
      </c>
      <c r="B87" s="6" t="str">
        <f>'Table of compositions'!G84</f>
        <v>HYBRID</v>
      </c>
    </row>
    <row r="88" spans="1:2" x14ac:dyDescent="0.25">
      <c r="A88" s="6" t="str">
        <f>CONCATENATE(CONCATENATE('Table of compositions'!$A$1,"(",'Table of compositions'!A85,")",'Table of compositions'!$B$1,"(",'Table of compositions'!B85,")"),IF('Table of compositions'!C85=0,"",CONCATENATE('Table of compositions'!C$1,"(",'Table of compositions'!C85,")")),IF('Table of compositions'!D85=0,"",CONCATENATE('Table of compositions'!D$1,"(",'Table of compositions'!D85,")")),IF('Table of compositions'!E85=0,"",CONCATENATE('Table of compositions'!E$1,"(",'Table of compositions'!E85,")")))</f>
        <v>HexNAc(3)Hex(6)SO4/Phospho(3)</v>
      </c>
      <c r="B88" s="6" t="str">
        <f>'Table of compositions'!G85</f>
        <v>HYBRID</v>
      </c>
    </row>
    <row r="89" spans="1:2" x14ac:dyDescent="0.25">
      <c r="A89" s="6" t="str">
        <f>CONCATENATE(CONCATENATE('Table of compositions'!$A$1,"(",'Table of compositions'!A86,")",'Table of compositions'!$B$1,"(",'Table of compositions'!B86,")"),IF('Table of compositions'!C86=0,"",CONCATENATE('Table of compositions'!C$1,"(",'Table of compositions'!C86,")")),IF('Table of compositions'!D86=0,"",CONCATENATE('Table of compositions'!D$1,"(",'Table of compositions'!D86,")")),IF('Table of compositions'!E86=0,"",CONCATENATE('Table of compositions'!E$1,"(",'Table of compositions'!E86,")")))</f>
        <v>HexNAc(4)Hex(3)</v>
      </c>
      <c r="B89" s="6" t="str">
        <f>'Table of compositions'!G86</f>
        <v>HexNAc(4)(x)</v>
      </c>
    </row>
    <row r="90" spans="1:2" x14ac:dyDescent="0.25">
      <c r="A90" s="6" t="str">
        <f>CONCATENATE(CONCATENATE('Table of compositions'!$A$1,"(",'Table of compositions'!A87,")",'Table of compositions'!$B$1,"(",'Table of compositions'!B87,")"),IF('Table of compositions'!C87=0,"",CONCATENATE('Table of compositions'!C$1,"(",'Table of compositions'!C87,")")),IF('Table of compositions'!D87=0,"",CONCATENATE('Table of compositions'!D$1,"(",'Table of compositions'!D87,")")),IF('Table of compositions'!E87=0,"",CONCATENATE('Table of compositions'!E$1,"(",'Table of compositions'!E87,")")))</f>
        <v>HexNAc(4)Hex(3)Fuc(1)</v>
      </c>
      <c r="B90" s="6" t="str">
        <f>'Table of compositions'!G87</f>
        <v>HexNAc(4)(F)(x)</v>
      </c>
    </row>
    <row r="91" spans="1:2" x14ac:dyDescent="0.25">
      <c r="A91" s="6" t="str">
        <f>CONCATENATE(CONCATENATE('Table of compositions'!$A$1,"(",'Table of compositions'!A88,")",'Table of compositions'!$B$1,"(",'Table of compositions'!B88,")"),IF('Table of compositions'!C88=0,"",CONCATENATE('Table of compositions'!C$1,"(",'Table of compositions'!C88,")")),IF('Table of compositions'!D88=0,"",CONCATENATE('Table of compositions'!D$1,"(",'Table of compositions'!D88,")")),IF('Table of compositions'!E88=0,"",CONCATENATE('Table of compositions'!E$1,"(",'Table of compositions'!E88,")")))</f>
        <v>HexNAc(4)Hex(3)Fuc(2)</v>
      </c>
      <c r="B91" s="6" t="str">
        <f>'Table of compositions'!G88</f>
        <v>HexNAc(4)(F)(x)</v>
      </c>
    </row>
    <row r="92" spans="1:2" x14ac:dyDescent="0.25">
      <c r="A92" s="6" t="str">
        <f>CONCATENATE(CONCATENATE('Table of compositions'!$A$1,"(",'Table of compositions'!A89,")",'Table of compositions'!$B$1,"(",'Table of compositions'!B89,")"),IF('Table of compositions'!C89=0,"",CONCATENATE('Table of compositions'!C$1,"(",'Table of compositions'!C89,")")),IF('Table of compositions'!D89=0,"",CONCATENATE('Table of compositions'!D$1,"(",'Table of compositions'!D89,")")),IF('Table of compositions'!E89=0,"",CONCATENATE('Table of compositions'!E$1,"(",'Table of compositions'!E89,")")))</f>
        <v>HexNAc(4)Hex(3)Fuc(3)</v>
      </c>
      <c r="B92" s="6" t="str">
        <f>'Table of compositions'!G89</f>
        <v>HexNAc(4)(F)(x)</v>
      </c>
    </row>
    <row r="93" spans="1:2" x14ac:dyDescent="0.25">
      <c r="A93" s="6" t="str">
        <f>CONCATENATE(CONCATENATE('Table of compositions'!$A$1,"(",'Table of compositions'!A90,")",'Table of compositions'!$B$1,"(",'Table of compositions'!B90,")"),IF('Table of compositions'!C90=0,"",CONCATENATE('Table of compositions'!C$1,"(",'Table of compositions'!C90,")")),IF('Table of compositions'!D90=0,"",CONCATENATE('Table of compositions'!D$1,"(",'Table of compositions'!D90,")")),IF('Table of compositions'!E90=0,"",CONCATENATE('Table of compositions'!E$1,"(",'Table of compositions'!E90,")")))</f>
        <v>HexNAc(4)Hex(3)NeuAc/NeuGc(1)</v>
      </c>
      <c r="B93" s="6" t="str">
        <f>'Table of compositions'!G90</f>
        <v>HexNAc(4)(x)</v>
      </c>
    </row>
    <row r="94" spans="1:2" x14ac:dyDescent="0.25">
      <c r="A94" s="6" t="str">
        <f>CONCATENATE(CONCATENATE('Table of compositions'!$A$1,"(",'Table of compositions'!A91,")",'Table of compositions'!$B$1,"(",'Table of compositions'!B91,")"),IF('Table of compositions'!C91=0,"",CONCATENATE('Table of compositions'!C$1,"(",'Table of compositions'!C91,")")),IF('Table of compositions'!D91=0,"",CONCATENATE('Table of compositions'!D$1,"(",'Table of compositions'!D91,")")),IF('Table of compositions'!E91=0,"",CONCATENATE('Table of compositions'!E$1,"(",'Table of compositions'!E91,")")))</f>
        <v>HexNAc(4)Hex(3)NeuAc/NeuGc(1)</v>
      </c>
      <c r="B94" s="6" t="str">
        <f>'Table of compositions'!G91</f>
        <v>HexNAc(4)(x)</v>
      </c>
    </row>
    <row r="95" spans="1:2" x14ac:dyDescent="0.25">
      <c r="A95" s="6" t="str">
        <f>CONCATENATE(CONCATENATE('Table of compositions'!$A$1,"(",'Table of compositions'!A92,")",'Table of compositions'!$B$1,"(",'Table of compositions'!B92,")"),IF('Table of compositions'!C92=0,"",CONCATENATE('Table of compositions'!C$1,"(",'Table of compositions'!C92,")")),IF('Table of compositions'!D92=0,"",CONCATENATE('Table of compositions'!D$1,"(",'Table of compositions'!D92,")")),IF('Table of compositions'!E92=0,"",CONCATENATE('Table of compositions'!E$1,"(",'Table of compositions'!E92,")")))</f>
        <v>HexNAc(4)Hex(3)SO4/Phospho(1)</v>
      </c>
      <c r="B95" s="6" t="str">
        <f>'Table of compositions'!G92</f>
        <v>HexNAc(4)(x)</v>
      </c>
    </row>
    <row r="96" spans="1:2" x14ac:dyDescent="0.25">
      <c r="A96" s="6" t="str">
        <f>CONCATENATE(CONCATENATE('Table of compositions'!$A$1,"(",'Table of compositions'!A93,")",'Table of compositions'!$B$1,"(",'Table of compositions'!B93,")"),IF('Table of compositions'!C93=0,"",CONCATENATE('Table of compositions'!C$1,"(",'Table of compositions'!C93,")")),IF('Table of compositions'!D93=0,"",CONCATENATE('Table of compositions'!D$1,"(",'Table of compositions'!D93,")")),IF('Table of compositions'!E93=0,"",CONCATENATE('Table of compositions'!E$1,"(",'Table of compositions'!E93,")")))</f>
        <v>HexNAc(4)Hex(3)SO4/Phospho(2)</v>
      </c>
      <c r="B96" s="6" t="str">
        <f>'Table of compositions'!G93</f>
        <v>HexNAc(4)(x)</v>
      </c>
    </row>
    <row r="97" spans="1:2" x14ac:dyDescent="0.25">
      <c r="A97" s="6" t="str">
        <f>CONCATENATE(CONCATENATE('Table of compositions'!$A$1,"(",'Table of compositions'!A94,")",'Table of compositions'!$B$1,"(",'Table of compositions'!B94,")"),IF('Table of compositions'!C94=0,"",CONCATENATE('Table of compositions'!C$1,"(",'Table of compositions'!C94,")")),IF('Table of compositions'!D94=0,"",CONCATENATE('Table of compositions'!D$1,"(",'Table of compositions'!D94,")")),IF('Table of compositions'!E94=0,"",CONCATENATE('Table of compositions'!E$1,"(",'Table of compositions'!E94,")")))</f>
        <v>HexNAc(4)Hex(3)SO4/Phospho(3)</v>
      </c>
      <c r="B97" s="6" t="str">
        <f>'Table of compositions'!G94</f>
        <v>HexNAc(4)(x)</v>
      </c>
    </row>
    <row r="98" spans="1:2" x14ac:dyDescent="0.25">
      <c r="A98" s="6" t="str">
        <f>CONCATENATE(CONCATENATE('Table of compositions'!$A$1,"(",'Table of compositions'!A95,")",'Table of compositions'!$B$1,"(",'Table of compositions'!B95,")"),IF('Table of compositions'!C95=0,"",CONCATENATE('Table of compositions'!C$1,"(",'Table of compositions'!C95,")")),IF('Table of compositions'!D95=0,"",CONCATENATE('Table of compositions'!D$1,"(",'Table of compositions'!D95,")")),IF('Table of compositions'!E95=0,"",CONCATENATE('Table of compositions'!E$1,"(",'Table of compositions'!E95,")")))</f>
        <v>HexNAc(4)Hex(4)</v>
      </c>
      <c r="B98" s="6" t="str">
        <f>'Table of compositions'!G95</f>
        <v>HexNAc(4)(x)</v>
      </c>
    </row>
    <row r="99" spans="1:2" x14ac:dyDescent="0.25">
      <c r="A99" s="6" t="str">
        <f>CONCATENATE(CONCATENATE('Table of compositions'!$A$1,"(",'Table of compositions'!A96,")",'Table of compositions'!$B$1,"(",'Table of compositions'!B96,")"),IF('Table of compositions'!C96=0,"",CONCATENATE('Table of compositions'!C$1,"(",'Table of compositions'!C96,")")),IF('Table of compositions'!D96=0,"",CONCATENATE('Table of compositions'!D$1,"(",'Table of compositions'!D96,")")),IF('Table of compositions'!E96=0,"",CONCATENATE('Table of compositions'!E$1,"(",'Table of compositions'!E96,")")))</f>
        <v>HexNAc(4)Hex(4)Fuc(1)</v>
      </c>
      <c r="B99" s="6" t="str">
        <f>'Table of compositions'!G96</f>
        <v>HexNAc(4)(F)(x)</v>
      </c>
    </row>
    <row r="100" spans="1:2" x14ac:dyDescent="0.25">
      <c r="A100" s="6" t="str">
        <f>CONCATENATE(CONCATENATE('Table of compositions'!$A$1,"(",'Table of compositions'!A97,")",'Table of compositions'!$B$1,"(",'Table of compositions'!B97,")"),IF('Table of compositions'!C97=0,"",CONCATENATE('Table of compositions'!C$1,"(",'Table of compositions'!C97,")")),IF('Table of compositions'!D97=0,"",CONCATENATE('Table of compositions'!D$1,"(",'Table of compositions'!D97,")")),IF('Table of compositions'!E97=0,"",CONCATENATE('Table of compositions'!E$1,"(",'Table of compositions'!E97,")")))</f>
        <v>HexNAc(4)Hex(4)Fuc(1)NeuAc/NeuGc(1)</v>
      </c>
      <c r="B100" s="6" t="str">
        <f>'Table of compositions'!G97</f>
        <v>HexNAc(4)(F)(x)</v>
      </c>
    </row>
    <row r="101" spans="1:2" x14ac:dyDescent="0.25">
      <c r="A101" s="6" t="str">
        <f>CONCATENATE(CONCATENATE('Table of compositions'!$A$1,"(",'Table of compositions'!A98,")",'Table of compositions'!$B$1,"(",'Table of compositions'!B98,")"),IF('Table of compositions'!C98=0,"",CONCATENATE('Table of compositions'!C$1,"(",'Table of compositions'!C98,")")),IF('Table of compositions'!D98=0,"",CONCATENATE('Table of compositions'!D$1,"(",'Table of compositions'!D98,")")),IF('Table of compositions'!E98=0,"",CONCATENATE('Table of compositions'!E$1,"(",'Table of compositions'!E98,")")))</f>
        <v>HexNAc(4)Hex(4)Fuc(1)NeuAc/NeuGc(1)</v>
      </c>
      <c r="B101" s="6" t="str">
        <f>'Table of compositions'!G98</f>
        <v>HexNAc(4)(F)(x)</v>
      </c>
    </row>
    <row r="102" spans="1:2" x14ac:dyDescent="0.25">
      <c r="A102" s="6" t="str">
        <f>CONCATENATE(CONCATENATE('Table of compositions'!$A$1,"(",'Table of compositions'!A99,")",'Table of compositions'!$B$1,"(",'Table of compositions'!B99,")"),IF('Table of compositions'!C99=0,"",CONCATENATE('Table of compositions'!C$1,"(",'Table of compositions'!C99,")")),IF('Table of compositions'!D99=0,"",CONCATENATE('Table of compositions'!D$1,"(",'Table of compositions'!D99,")")),IF('Table of compositions'!E99=0,"",CONCATENATE('Table of compositions'!E$1,"(",'Table of compositions'!E99,")")))</f>
        <v>HexNAc(4)Hex(4)Fuc(1)SO4/Phospho(1)</v>
      </c>
      <c r="B102" s="6" t="str">
        <f>'Table of compositions'!G99</f>
        <v>HexNAc(4)(F)(x)</v>
      </c>
    </row>
    <row r="103" spans="1:2" x14ac:dyDescent="0.25">
      <c r="A103" s="6" t="str">
        <f>CONCATENATE(CONCATENATE('Table of compositions'!$A$1,"(",'Table of compositions'!A100,")",'Table of compositions'!$B$1,"(",'Table of compositions'!B100,")"),IF('Table of compositions'!C100=0,"",CONCATENATE('Table of compositions'!C$1,"(",'Table of compositions'!C100,")")),IF('Table of compositions'!D100=0,"",CONCATENATE('Table of compositions'!D$1,"(",'Table of compositions'!D100,")")),IF('Table of compositions'!E100=0,"",CONCATENATE('Table of compositions'!E$1,"(",'Table of compositions'!E100,")")))</f>
        <v>HexNAc(4)Hex(4)Fuc(1)SO4/Phospho(2)</v>
      </c>
      <c r="B103" s="6" t="str">
        <f>'Table of compositions'!G100</f>
        <v>HexNAc(4)(F)(x)</v>
      </c>
    </row>
    <row r="104" spans="1:2" x14ac:dyDescent="0.25">
      <c r="A104" s="6" t="str">
        <f>CONCATENATE(CONCATENATE('Table of compositions'!$A$1,"(",'Table of compositions'!A101,")",'Table of compositions'!$B$1,"(",'Table of compositions'!B101,")"),IF('Table of compositions'!C101=0,"",CONCATENATE('Table of compositions'!C$1,"(",'Table of compositions'!C101,")")),IF('Table of compositions'!D101=0,"",CONCATENATE('Table of compositions'!D$1,"(",'Table of compositions'!D101,")")),IF('Table of compositions'!E101=0,"",CONCATENATE('Table of compositions'!E$1,"(",'Table of compositions'!E101,")")))</f>
        <v>HexNAc(4)Hex(4)Fuc(1)SO4/Phospho(3)</v>
      </c>
      <c r="B104" s="6" t="str">
        <f>'Table of compositions'!G101</f>
        <v>HexNAc(4)(F)(x)</v>
      </c>
    </row>
    <row r="105" spans="1:2" x14ac:dyDescent="0.25">
      <c r="A105" s="6" t="str">
        <f>CONCATENATE(CONCATENATE('Table of compositions'!$A$1,"(",'Table of compositions'!A102,")",'Table of compositions'!$B$1,"(",'Table of compositions'!B102,")"),IF('Table of compositions'!C102=0,"",CONCATENATE('Table of compositions'!C$1,"(",'Table of compositions'!C102,")")),IF('Table of compositions'!D102=0,"",CONCATENATE('Table of compositions'!D$1,"(",'Table of compositions'!D102,")")),IF('Table of compositions'!E102=0,"",CONCATENATE('Table of compositions'!E$1,"(",'Table of compositions'!E102,")")))</f>
        <v>HexNAc(4)Hex(4)Fuc(2)</v>
      </c>
      <c r="B105" s="6" t="str">
        <f>'Table of compositions'!G102</f>
        <v>HexNAc(4)(F)(x)</v>
      </c>
    </row>
    <row r="106" spans="1:2" x14ac:dyDescent="0.25">
      <c r="A106" s="6" t="str">
        <f>CONCATENATE(CONCATENATE('Table of compositions'!$A$1,"(",'Table of compositions'!A103,")",'Table of compositions'!$B$1,"(",'Table of compositions'!B103,")"),IF('Table of compositions'!C103=0,"",CONCATENATE('Table of compositions'!C$1,"(",'Table of compositions'!C103,")")),IF('Table of compositions'!D103=0,"",CONCATENATE('Table of compositions'!D$1,"(",'Table of compositions'!D103,")")),IF('Table of compositions'!E103=0,"",CONCATENATE('Table of compositions'!E$1,"(",'Table of compositions'!E103,")")))</f>
        <v>HexNAc(4)Hex(4)Fuc(2)NeuAc/NeuGc(1)</v>
      </c>
      <c r="B106" s="6" t="str">
        <f>'Table of compositions'!G103</f>
        <v>HexNAc(4)(F)(x)</v>
      </c>
    </row>
    <row r="107" spans="1:2" x14ac:dyDescent="0.25">
      <c r="A107" s="6" t="str">
        <f>CONCATENATE(CONCATENATE('Table of compositions'!$A$1,"(",'Table of compositions'!A104,")",'Table of compositions'!$B$1,"(",'Table of compositions'!B104,")"),IF('Table of compositions'!C104=0,"",CONCATENATE('Table of compositions'!C$1,"(",'Table of compositions'!C104,")")),IF('Table of compositions'!D104=0,"",CONCATENATE('Table of compositions'!D$1,"(",'Table of compositions'!D104,")")),IF('Table of compositions'!E104=0,"",CONCATENATE('Table of compositions'!E$1,"(",'Table of compositions'!E104,")")))</f>
        <v>HexNAc(4)Hex(4)Fuc(2)NeuAc/NeuGc(1)</v>
      </c>
      <c r="B107" s="6" t="str">
        <f>'Table of compositions'!G104</f>
        <v>HexNAc(4)(F)(x)</v>
      </c>
    </row>
    <row r="108" spans="1:2" x14ac:dyDescent="0.25">
      <c r="A108" s="6" t="str">
        <f>CONCATENATE(CONCATENATE('Table of compositions'!$A$1,"(",'Table of compositions'!A105,")",'Table of compositions'!$B$1,"(",'Table of compositions'!B105,")"),IF('Table of compositions'!C105=0,"",CONCATENATE('Table of compositions'!C$1,"(",'Table of compositions'!C105,")")),IF('Table of compositions'!D105=0,"",CONCATENATE('Table of compositions'!D$1,"(",'Table of compositions'!D105,")")),IF('Table of compositions'!E105=0,"",CONCATENATE('Table of compositions'!E$1,"(",'Table of compositions'!E105,")")))</f>
        <v>HexNAc(4)Hex(4)Fuc(2)SO4/Phospho(1)</v>
      </c>
      <c r="B108" s="6" t="str">
        <f>'Table of compositions'!G105</f>
        <v>HexNAc(4)(F)(x)</v>
      </c>
    </row>
    <row r="109" spans="1:2" x14ac:dyDescent="0.25">
      <c r="A109" s="6" t="str">
        <f>CONCATENATE(CONCATENATE('Table of compositions'!$A$1,"(",'Table of compositions'!A106,")",'Table of compositions'!$B$1,"(",'Table of compositions'!B106,")"),IF('Table of compositions'!C106=0,"",CONCATENATE('Table of compositions'!C$1,"(",'Table of compositions'!C106,")")),IF('Table of compositions'!D106=0,"",CONCATENATE('Table of compositions'!D$1,"(",'Table of compositions'!D106,")")),IF('Table of compositions'!E106=0,"",CONCATENATE('Table of compositions'!E$1,"(",'Table of compositions'!E106,")")))</f>
        <v>HexNAc(4)Hex(4)Fuc(2)SO4/Phospho(2)</v>
      </c>
      <c r="B109" s="6" t="str">
        <f>'Table of compositions'!G106</f>
        <v>HexNAc(4)(F)(x)</v>
      </c>
    </row>
    <row r="110" spans="1:2" x14ac:dyDescent="0.25">
      <c r="A110" s="6" t="str">
        <f>CONCATENATE(CONCATENATE('Table of compositions'!$A$1,"(",'Table of compositions'!A107,")",'Table of compositions'!$B$1,"(",'Table of compositions'!B107,")"),IF('Table of compositions'!C107=0,"",CONCATENATE('Table of compositions'!C$1,"(",'Table of compositions'!C107,")")),IF('Table of compositions'!D107=0,"",CONCATENATE('Table of compositions'!D$1,"(",'Table of compositions'!D107,")")),IF('Table of compositions'!E107=0,"",CONCATENATE('Table of compositions'!E$1,"(",'Table of compositions'!E107,")")))</f>
        <v>HexNAc(4)Hex(4)Fuc(2)SO4/Phospho(3)</v>
      </c>
      <c r="B110" s="6" t="str">
        <f>'Table of compositions'!G107</f>
        <v>HexNAc(4)(F)(x)</v>
      </c>
    </row>
    <row r="111" spans="1:2" x14ac:dyDescent="0.25">
      <c r="A111" s="6" t="str">
        <f>CONCATENATE(CONCATENATE('Table of compositions'!$A$1,"(",'Table of compositions'!A108,")",'Table of compositions'!$B$1,"(",'Table of compositions'!B108,")"),IF('Table of compositions'!C108=0,"",CONCATENATE('Table of compositions'!C$1,"(",'Table of compositions'!C108,")")),IF('Table of compositions'!D108=0,"",CONCATENATE('Table of compositions'!D$1,"(",'Table of compositions'!D108,")")),IF('Table of compositions'!E108=0,"",CONCATENATE('Table of compositions'!E$1,"(",'Table of compositions'!E108,")")))</f>
        <v>HexNAc(4)Hex(4)NeuAc/NeuGc(1)</v>
      </c>
      <c r="B111" s="6" t="str">
        <f>'Table of compositions'!G108</f>
        <v>HexNAc(4)(x)</v>
      </c>
    </row>
    <row r="112" spans="1:2" x14ac:dyDescent="0.25">
      <c r="A112" s="6" t="str">
        <f>CONCATENATE(CONCATENATE('Table of compositions'!$A$1,"(",'Table of compositions'!A109,")",'Table of compositions'!$B$1,"(",'Table of compositions'!B109,")"),IF('Table of compositions'!C109=0,"",CONCATENATE('Table of compositions'!C$1,"(",'Table of compositions'!C109,")")),IF('Table of compositions'!D109=0,"",CONCATENATE('Table of compositions'!D$1,"(",'Table of compositions'!D109,")")),IF('Table of compositions'!E109=0,"",CONCATENATE('Table of compositions'!E$1,"(",'Table of compositions'!E109,")")))</f>
        <v>HexNAc(4)Hex(4)NeuAc/NeuGc(1)</v>
      </c>
      <c r="B112" s="6" t="str">
        <f>'Table of compositions'!G109</f>
        <v>HexNAc(4)(x)</v>
      </c>
    </row>
    <row r="113" spans="1:2" x14ac:dyDescent="0.25">
      <c r="A113" s="6" t="str">
        <f>CONCATENATE(CONCATENATE('Table of compositions'!$A$1,"(",'Table of compositions'!A110,")",'Table of compositions'!$B$1,"(",'Table of compositions'!B110,")"),IF('Table of compositions'!C110=0,"",CONCATENATE('Table of compositions'!C$1,"(",'Table of compositions'!C110,")")),IF('Table of compositions'!D110=0,"",CONCATENATE('Table of compositions'!D$1,"(",'Table of compositions'!D110,")")),IF('Table of compositions'!E110=0,"",CONCATENATE('Table of compositions'!E$1,"(",'Table of compositions'!E110,")")))</f>
        <v>HexNAc(4)Hex(5)</v>
      </c>
      <c r="B113" s="6" t="str">
        <f>'Table of compositions'!G110</f>
        <v>HexNAc(4)(x)</v>
      </c>
    </row>
    <row r="114" spans="1:2" x14ac:dyDescent="0.25">
      <c r="A114" s="6" t="str">
        <f>CONCATENATE(CONCATENATE('Table of compositions'!$A$1,"(",'Table of compositions'!A111,")",'Table of compositions'!$B$1,"(",'Table of compositions'!B111,")"),IF('Table of compositions'!C111=0,"",CONCATENATE('Table of compositions'!C$1,"(",'Table of compositions'!C111,")")),IF('Table of compositions'!D111=0,"",CONCATENATE('Table of compositions'!D$1,"(",'Table of compositions'!D111,")")),IF('Table of compositions'!E111=0,"",CONCATENATE('Table of compositions'!E$1,"(",'Table of compositions'!E111,")")))</f>
        <v>HexNAc(4)Hex(5)Fuc(1)</v>
      </c>
      <c r="B114" s="6" t="str">
        <f>'Table of compositions'!G111</f>
        <v>HexNAc(4)(F)(x)</v>
      </c>
    </row>
    <row r="115" spans="1:2" x14ac:dyDescent="0.25">
      <c r="A115" s="6" t="str">
        <f>CONCATENATE(CONCATENATE('Table of compositions'!$A$1,"(",'Table of compositions'!A112,")",'Table of compositions'!$B$1,"(",'Table of compositions'!B112,")"),IF('Table of compositions'!C112=0,"",CONCATENATE('Table of compositions'!C$1,"(",'Table of compositions'!C112,")")),IF('Table of compositions'!D112=0,"",CONCATENATE('Table of compositions'!D$1,"(",'Table of compositions'!D112,")")),IF('Table of compositions'!E112=0,"",CONCATENATE('Table of compositions'!E$1,"(",'Table of compositions'!E112,")")))</f>
        <v>HexNAc(4)Hex(5)Fuc(1)NeuAc/NeuGc(1)</v>
      </c>
      <c r="B115" s="6" t="str">
        <f>'Table of compositions'!G112</f>
        <v>HexNAc(4)(F)(x)</v>
      </c>
    </row>
    <row r="116" spans="1:2" x14ac:dyDescent="0.25">
      <c r="A116" s="6" t="str">
        <f>CONCATENATE(CONCATENATE('Table of compositions'!$A$1,"(",'Table of compositions'!A113,")",'Table of compositions'!$B$1,"(",'Table of compositions'!B113,")"),IF('Table of compositions'!C113=0,"",CONCATENATE('Table of compositions'!C$1,"(",'Table of compositions'!C113,")")),IF('Table of compositions'!D113=0,"",CONCATENATE('Table of compositions'!D$1,"(",'Table of compositions'!D113,")")),IF('Table of compositions'!E113=0,"",CONCATENATE('Table of compositions'!E$1,"(",'Table of compositions'!E113,")")))</f>
        <v>HexNAc(4)Hex(5)Fuc(1)NeuAc/NeuGc(2)</v>
      </c>
      <c r="B116" s="6" t="str">
        <f>'Table of compositions'!G113</f>
        <v>HexNAc(4)(F)(x)</v>
      </c>
    </row>
    <row r="117" spans="1:2" x14ac:dyDescent="0.25">
      <c r="A117" s="6" t="str">
        <f>CONCATENATE(CONCATENATE('Table of compositions'!$A$1,"(",'Table of compositions'!A114,")",'Table of compositions'!$B$1,"(",'Table of compositions'!B114,")"),IF('Table of compositions'!C114=0,"",CONCATENATE('Table of compositions'!C$1,"(",'Table of compositions'!C114,")")),IF('Table of compositions'!D114=0,"",CONCATENATE('Table of compositions'!D$1,"(",'Table of compositions'!D114,")")),IF('Table of compositions'!E114=0,"",CONCATENATE('Table of compositions'!E$1,"(",'Table of compositions'!E114,")")))</f>
        <v>HexNAc(4)Hex(5)Fuc(1)NeuAc/NeuGc(2)</v>
      </c>
      <c r="B117" s="6" t="str">
        <f>'Table of compositions'!G114</f>
        <v>HexNAc(4)(F)(x)</v>
      </c>
    </row>
    <row r="118" spans="1:2" x14ac:dyDescent="0.25">
      <c r="A118" s="6" t="str">
        <f>CONCATENATE(CONCATENATE('Table of compositions'!$A$1,"(",'Table of compositions'!A115,")",'Table of compositions'!$B$1,"(",'Table of compositions'!B115,")"),IF('Table of compositions'!C115=0,"",CONCATENATE('Table of compositions'!C$1,"(",'Table of compositions'!C115,")")),IF('Table of compositions'!D115=0,"",CONCATENATE('Table of compositions'!D$1,"(",'Table of compositions'!D115,")")),IF('Table of compositions'!E115=0,"",CONCATENATE('Table of compositions'!E$1,"(",'Table of compositions'!E115,")")))</f>
        <v>HexNAc(4)Hex(5)Fuc(1)NeuAc/NeuGc(1)</v>
      </c>
      <c r="B118" s="6" t="str">
        <f>'Table of compositions'!G115</f>
        <v>HexNAc(4)(F)(x)</v>
      </c>
    </row>
    <row r="119" spans="1:2" x14ac:dyDescent="0.25">
      <c r="A119" s="6" t="str">
        <f>CONCATENATE(CONCATENATE('Table of compositions'!$A$1,"(",'Table of compositions'!A116,")",'Table of compositions'!$B$1,"(",'Table of compositions'!B116,")"),IF('Table of compositions'!C116=0,"",CONCATENATE('Table of compositions'!C$1,"(",'Table of compositions'!C116,")")),IF('Table of compositions'!D116=0,"",CONCATENATE('Table of compositions'!D$1,"(",'Table of compositions'!D116,")")),IF('Table of compositions'!E116=0,"",CONCATENATE('Table of compositions'!E$1,"(",'Table of compositions'!E116,")")))</f>
        <v>HexNAc(4)Hex(5)Fuc(1)NeuAc/NeuGc(2)</v>
      </c>
      <c r="B119" s="6" t="str">
        <f>'Table of compositions'!G116</f>
        <v>HexNAc(4)(F)(x)</v>
      </c>
    </row>
    <row r="120" spans="1:2" x14ac:dyDescent="0.25">
      <c r="A120" s="6" t="str">
        <f>CONCATENATE(CONCATENATE('Table of compositions'!$A$1,"(",'Table of compositions'!A117,")",'Table of compositions'!$B$1,"(",'Table of compositions'!B117,")"),IF('Table of compositions'!C117=0,"",CONCATENATE('Table of compositions'!C$1,"(",'Table of compositions'!C117,")")),IF('Table of compositions'!D117=0,"",CONCATENATE('Table of compositions'!D$1,"(",'Table of compositions'!D117,")")),IF('Table of compositions'!E117=0,"",CONCATENATE('Table of compositions'!E$1,"(",'Table of compositions'!E117,")")))</f>
        <v>HexNAc(4)Hex(5)Fuc(2)</v>
      </c>
      <c r="B120" s="6" t="str">
        <f>'Table of compositions'!G117</f>
        <v>HexNAc(4)(F)(x)</v>
      </c>
    </row>
    <row r="121" spans="1:2" x14ac:dyDescent="0.25">
      <c r="A121" s="6" t="str">
        <f>CONCATENATE(CONCATENATE('Table of compositions'!$A$1,"(",'Table of compositions'!A118,")",'Table of compositions'!$B$1,"(",'Table of compositions'!B118,")"),IF('Table of compositions'!C118=0,"",CONCATENATE('Table of compositions'!C$1,"(",'Table of compositions'!C118,")")),IF('Table of compositions'!D118=0,"",CONCATENATE('Table of compositions'!D$1,"(",'Table of compositions'!D118,")")),IF('Table of compositions'!E118=0,"",CONCATENATE('Table of compositions'!E$1,"(",'Table of compositions'!E118,")")))</f>
        <v>HexNAc(4)Hex(5)Fuc(2)NeuAc/NeuGc(1)</v>
      </c>
      <c r="B121" s="6" t="str">
        <f>'Table of compositions'!G118</f>
        <v>HexNAc(4)(F)(x)</v>
      </c>
    </row>
    <row r="122" spans="1:2" x14ac:dyDescent="0.25">
      <c r="A122" s="6" t="str">
        <f>CONCATENATE(CONCATENATE('Table of compositions'!$A$1,"(",'Table of compositions'!A119,")",'Table of compositions'!$B$1,"(",'Table of compositions'!B119,")"),IF('Table of compositions'!C119=0,"",CONCATENATE('Table of compositions'!C$1,"(",'Table of compositions'!C119,")")),IF('Table of compositions'!D119=0,"",CONCATENATE('Table of compositions'!D$1,"(",'Table of compositions'!D119,")")),IF('Table of compositions'!E119=0,"",CONCATENATE('Table of compositions'!E$1,"(",'Table of compositions'!E119,")")))</f>
        <v>HexNAc(4)Hex(5)Fuc(2)NeuAc/NeuGc(1)SO4/Phospho(1)</v>
      </c>
      <c r="B122" s="6" t="str">
        <f>'Table of compositions'!G119</f>
        <v>HexNAc(4)(F)(x)</v>
      </c>
    </row>
    <row r="123" spans="1:2" x14ac:dyDescent="0.25">
      <c r="A123" s="6" t="str">
        <f>CONCATENATE(CONCATENATE('Table of compositions'!$A$1,"(",'Table of compositions'!A120,")",'Table of compositions'!$B$1,"(",'Table of compositions'!B120,")"),IF('Table of compositions'!C120=0,"",CONCATENATE('Table of compositions'!C$1,"(",'Table of compositions'!C120,")")),IF('Table of compositions'!D120=0,"",CONCATENATE('Table of compositions'!D$1,"(",'Table of compositions'!D120,")")),IF('Table of compositions'!E120=0,"",CONCATENATE('Table of compositions'!E$1,"(",'Table of compositions'!E120,")")))</f>
        <v>HexNAc(4)Hex(5)Fuc(2)NeuAc/NeuGc(1)SO4/Phospho(2)</v>
      </c>
      <c r="B123" s="6" t="str">
        <f>'Table of compositions'!G120</f>
        <v>HexNAc(4)(F)(x)</v>
      </c>
    </row>
    <row r="124" spans="1:2" x14ac:dyDescent="0.25">
      <c r="A124" s="6" t="str">
        <f>CONCATENATE(CONCATENATE('Table of compositions'!$A$1,"(",'Table of compositions'!A121,")",'Table of compositions'!$B$1,"(",'Table of compositions'!B121,")"),IF('Table of compositions'!C121=0,"",CONCATENATE('Table of compositions'!C$1,"(",'Table of compositions'!C121,")")),IF('Table of compositions'!D121=0,"",CONCATENATE('Table of compositions'!D$1,"(",'Table of compositions'!D121,")")),IF('Table of compositions'!E121=0,"",CONCATENATE('Table of compositions'!E$1,"(",'Table of compositions'!E121,")")))</f>
        <v>HexNAc(4)Hex(5)Fuc(2)NeuAc/NeuGc(1)SO4/Phospho(3)</v>
      </c>
      <c r="B124" s="6" t="str">
        <f>'Table of compositions'!G121</f>
        <v>HexNAc(4)(F)(x)</v>
      </c>
    </row>
    <row r="125" spans="1:2" x14ac:dyDescent="0.25">
      <c r="A125" s="6" t="str">
        <f>CONCATENATE(CONCATENATE('Table of compositions'!$A$1,"(",'Table of compositions'!A122,")",'Table of compositions'!$B$1,"(",'Table of compositions'!B122,")"),IF('Table of compositions'!C122=0,"",CONCATENATE('Table of compositions'!C$1,"(",'Table of compositions'!C122,")")),IF('Table of compositions'!D122=0,"",CONCATENATE('Table of compositions'!D$1,"(",'Table of compositions'!D122,")")),IF('Table of compositions'!E122=0,"",CONCATENATE('Table of compositions'!E$1,"(",'Table of compositions'!E122,")")))</f>
        <v>HexNAc(4)Hex(5)Fuc(2)NeuAc/NeuGc(1)</v>
      </c>
      <c r="B125" s="6" t="str">
        <f>'Table of compositions'!G122</f>
        <v>HexNAc(4)(F)(x)</v>
      </c>
    </row>
    <row r="126" spans="1:2" x14ac:dyDescent="0.25">
      <c r="A126" s="6" t="str">
        <f>CONCATENATE(CONCATENATE('Table of compositions'!$A$1,"(",'Table of compositions'!A123,")",'Table of compositions'!$B$1,"(",'Table of compositions'!B123,")"),IF('Table of compositions'!C123=0,"",CONCATENATE('Table of compositions'!C$1,"(",'Table of compositions'!C123,")")),IF('Table of compositions'!D123=0,"",CONCATENATE('Table of compositions'!D$1,"(",'Table of compositions'!D123,")")),IF('Table of compositions'!E123=0,"",CONCATENATE('Table of compositions'!E$1,"(",'Table of compositions'!E123,")")))</f>
        <v>HexNAc(4)Hex(5)Fuc(3)</v>
      </c>
      <c r="B126" s="6" t="str">
        <f>'Table of compositions'!G123</f>
        <v>HexNAc(4)(F)(x)</v>
      </c>
    </row>
    <row r="127" spans="1:2" x14ac:dyDescent="0.25">
      <c r="A127" s="6" t="str">
        <f>CONCATENATE(CONCATENATE('Table of compositions'!$A$1,"(",'Table of compositions'!A124,")",'Table of compositions'!$B$1,"(",'Table of compositions'!B124,")"),IF('Table of compositions'!C124=0,"",CONCATENATE('Table of compositions'!C$1,"(",'Table of compositions'!C124,")")),IF('Table of compositions'!D124=0,"",CONCATENATE('Table of compositions'!D$1,"(",'Table of compositions'!D124,")")),IF('Table of compositions'!E124=0,"",CONCATENATE('Table of compositions'!E$1,"(",'Table of compositions'!E124,")")))</f>
        <v>HexNAc(4)Hex(5)Fuc(3)NeuAc/NeuGc(1)</v>
      </c>
      <c r="B127" s="6" t="str">
        <f>'Table of compositions'!G124</f>
        <v>HexNAc(4)(F)(x)</v>
      </c>
    </row>
    <row r="128" spans="1:2" x14ac:dyDescent="0.25">
      <c r="A128" s="6" t="str">
        <f>CONCATENATE(CONCATENATE('Table of compositions'!$A$1,"(",'Table of compositions'!A125,")",'Table of compositions'!$B$1,"(",'Table of compositions'!B125,")"),IF('Table of compositions'!C125=0,"",CONCATENATE('Table of compositions'!C$1,"(",'Table of compositions'!C125,")")),IF('Table of compositions'!D125=0,"",CONCATENATE('Table of compositions'!D$1,"(",'Table of compositions'!D125,")")),IF('Table of compositions'!E125=0,"",CONCATENATE('Table of compositions'!E$1,"(",'Table of compositions'!E125,")")))</f>
        <v>HexNAc(4)Hex(5)Fuc(3)NeuAc/NeuGc(2)</v>
      </c>
      <c r="B128" s="6" t="str">
        <f>'Table of compositions'!G125</f>
        <v>HexNAc(4)(F)(x)</v>
      </c>
    </row>
    <row r="129" spans="1:2" x14ac:dyDescent="0.25">
      <c r="A129" s="6" t="str">
        <f>CONCATENATE(CONCATENATE('Table of compositions'!$A$1,"(",'Table of compositions'!A126,")",'Table of compositions'!$B$1,"(",'Table of compositions'!B126,")"),IF('Table of compositions'!C126=0,"",CONCATENATE('Table of compositions'!C$1,"(",'Table of compositions'!C126,")")),IF('Table of compositions'!D126=0,"",CONCATENATE('Table of compositions'!D$1,"(",'Table of compositions'!D126,")")),IF('Table of compositions'!E126=0,"",CONCATENATE('Table of compositions'!E$1,"(",'Table of compositions'!E126,")")))</f>
        <v>HexNAc(4)Hex(5)Fuc(3)NeuAc/NeuGc(2)</v>
      </c>
      <c r="B129" s="6" t="str">
        <f>'Table of compositions'!G126</f>
        <v>HexNAc(4)(F)(x)</v>
      </c>
    </row>
    <row r="130" spans="1:2" x14ac:dyDescent="0.25">
      <c r="A130" s="6" t="str">
        <f>CONCATENATE(CONCATENATE('Table of compositions'!$A$1,"(",'Table of compositions'!A127,")",'Table of compositions'!$B$1,"(",'Table of compositions'!B127,")"),IF('Table of compositions'!C127=0,"",CONCATENATE('Table of compositions'!C$1,"(",'Table of compositions'!C127,")")),IF('Table of compositions'!D127=0,"",CONCATENATE('Table of compositions'!D$1,"(",'Table of compositions'!D127,")")),IF('Table of compositions'!E127=0,"",CONCATENATE('Table of compositions'!E$1,"(",'Table of compositions'!E127,")")))</f>
        <v>HexNAc(4)Hex(5)Fuc(3)NeuAc/NeuGc(2)</v>
      </c>
      <c r="B130" s="6" t="str">
        <f>'Table of compositions'!G127</f>
        <v>HexNAc(4)(F)(x)</v>
      </c>
    </row>
    <row r="131" spans="1:2" x14ac:dyDescent="0.25">
      <c r="A131" s="6" t="str">
        <f>CONCATENATE(CONCATENATE('Table of compositions'!$A$1,"(",'Table of compositions'!A128,")",'Table of compositions'!$B$1,"(",'Table of compositions'!B128,")"),IF('Table of compositions'!C128=0,"",CONCATENATE('Table of compositions'!C$1,"(",'Table of compositions'!C128,")")),IF('Table of compositions'!D128=0,"",CONCATENATE('Table of compositions'!D$1,"(",'Table of compositions'!D128,")")),IF('Table of compositions'!E128=0,"",CONCATENATE('Table of compositions'!E$1,"(",'Table of compositions'!E128,")")))</f>
        <v>HexNAc(4)Hex(5)Fuc(3)SO4/Phospho(1)</v>
      </c>
      <c r="B131" s="6" t="str">
        <f>'Table of compositions'!G128</f>
        <v>HexNAc(4)(F)(x)</v>
      </c>
    </row>
    <row r="132" spans="1:2" x14ac:dyDescent="0.25">
      <c r="A132" s="6" t="str">
        <f>CONCATENATE(CONCATENATE('Table of compositions'!$A$1,"(",'Table of compositions'!A129,")",'Table of compositions'!$B$1,"(",'Table of compositions'!B129,")"),IF('Table of compositions'!C129=0,"",CONCATENATE('Table of compositions'!C$1,"(",'Table of compositions'!C129,")")),IF('Table of compositions'!D129=0,"",CONCATENATE('Table of compositions'!D$1,"(",'Table of compositions'!D129,")")),IF('Table of compositions'!E129=0,"",CONCATENATE('Table of compositions'!E$1,"(",'Table of compositions'!E129,")")))</f>
        <v>HexNAc(4)Hex(5)Fuc(3)SO4/Phospho(2)</v>
      </c>
      <c r="B132" s="6" t="str">
        <f>'Table of compositions'!G129</f>
        <v>HexNAc(4)(F)(x)</v>
      </c>
    </row>
    <row r="133" spans="1:2" x14ac:dyDescent="0.25">
      <c r="A133" s="6" t="str">
        <f>CONCATENATE(CONCATENATE('Table of compositions'!$A$1,"(",'Table of compositions'!A130,")",'Table of compositions'!$B$1,"(",'Table of compositions'!B130,")"),IF('Table of compositions'!C130=0,"",CONCATENATE('Table of compositions'!C$1,"(",'Table of compositions'!C130,")")),IF('Table of compositions'!D130=0,"",CONCATENATE('Table of compositions'!D$1,"(",'Table of compositions'!D130,")")),IF('Table of compositions'!E130=0,"",CONCATENATE('Table of compositions'!E$1,"(",'Table of compositions'!E130,")")))</f>
        <v>HexNAc(4)Hex(5)Fuc(3)SO4/Phospho(3)</v>
      </c>
      <c r="B133" s="6" t="str">
        <f>'Table of compositions'!G130</f>
        <v>HexNAc(4)(F)(x)</v>
      </c>
    </row>
    <row r="134" spans="1:2" x14ac:dyDescent="0.25">
      <c r="A134" s="6" t="str">
        <f>CONCATENATE(CONCATENATE('Table of compositions'!$A$1,"(",'Table of compositions'!A131,")",'Table of compositions'!$B$1,"(",'Table of compositions'!B131,")"),IF('Table of compositions'!C131=0,"",CONCATENATE('Table of compositions'!C$1,"(",'Table of compositions'!C131,")")),IF('Table of compositions'!D131=0,"",CONCATENATE('Table of compositions'!D$1,"(",'Table of compositions'!D131,")")),IF('Table of compositions'!E131=0,"",CONCATENATE('Table of compositions'!E$1,"(",'Table of compositions'!E131,")")))</f>
        <v>HexNAc(4)Hex(5)Fuc(4)</v>
      </c>
      <c r="B134" s="6" t="str">
        <f>'Table of compositions'!G131</f>
        <v>HexNAc(4)(F)(x)</v>
      </c>
    </row>
    <row r="135" spans="1:2" x14ac:dyDescent="0.25">
      <c r="A135" s="6" t="str">
        <f>CONCATENATE(CONCATENATE('Table of compositions'!$A$1,"(",'Table of compositions'!A132,")",'Table of compositions'!$B$1,"(",'Table of compositions'!B132,")"),IF('Table of compositions'!C132=0,"",CONCATENATE('Table of compositions'!C$1,"(",'Table of compositions'!C132,")")),IF('Table of compositions'!D132=0,"",CONCATENATE('Table of compositions'!D$1,"(",'Table of compositions'!D132,")")),IF('Table of compositions'!E132=0,"",CONCATENATE('Table of compositions'!E$1,"(",'Table of compositions'!E132,")")))</f>
        <v>HexNAc(4)Hex(5)NeuAc/NeuGc(1)</v>
      </c>
      <c r="B135" s="6" t="str">
        <f>'Table of compositions'!G132</f>
        <v>HexNAc(4)(x)</v>
      </c>
    </row>
    <row r="136" spans="1:2" x14ac:dyDescent="0.25">
      <c r="A136" s="6" t="str">
        <f>CONCATENATE(CONCATENATE('Table of compositions'!$A$1,"(",'Table of compositions'!A133,")",'Table of compositions'!$B$1,"(",'Table of compositions'!B133,")"),IF('Table of compositions'!C133=0,"",CONCATENATE('Table of compositions'!C$1,"(",'Table of compositions'!C133,")")),IF('Table of compositions'!D133=0,"",CONCATENATE('Table of compositions'!D$1,"(",'Table of compositions'!D133,")")),IF('Table of compositions'!E133=0,"",CONCATENATE('Table of compositions'!E$1,"(",'Table of compositions'!E133,")")))</f>
        <v>HexNAc(4)Hex(5)NeuAc/NeuGc(2)</v>
      </c>
      <c r="B136" s="6" t="str">
        <f>'Table of compositions'!G133</f>
        <v>HexNAc(4)(x)</v>
      </c>
    </row>
    <row r="137" spans="1:2" x14ac:dyDescent="0.25">
      <c r="A137" s="6" t="str">
        <f>CONCATENATE(CONCATENATE('Table of compositions'!$A$1,"(",'Table of compositions'!A134,")",'Table of compositions'!$B$1,"(",'Table of compositions'!B134,")"),IF('Table of compositions'!C134=0,"",CONCATENATE('Table of compositions'!C$1,"(",'Table of compositions'!C134,")")),IF('Table of compositions'!D134=0,"",CONCATENATE('Table of compositions'!D$1,"(",'Table of compositions'!D134,")")),IF('Table of compositions'!E134=0,"",CONCATENATE('Table of compositions'!E$1,"(",'Table of compositions'!E134,")")))</f>
        <v>HexNAc(4)Hex(5)NeuAc/NeuGc(2)</v>
      </c>
      <c r="B137" s="6" t="str">
        <f>'Table of compositions'!G134</f>
        <v>HexNAc(4)(x)</v>
      </c>
    </row>
    <row r="138" spans="1:2" x14ac:dyDescent="0.25">
      <c r="A138" s="6" t="str">
        <f>CONCATENATE(CONCATENATE('Table of compositions'!$A$1,"(",'Table of compositions'!A135,")",'Table of compositions'!$B$1,"(",'Table of compositions'!B135,")"),IF('Table of compositions'!C135=0,"",CONCATENATE('Table of compositions'!C$1,"(",'Table of compositions'!C135,")")),IF('Table of compositions'!D135=0,"",CONCATENATE('Table of compositions'!D$1,"(",'Table of compositions'!D135,")")),IF('Table of compositions'!E135=0,"",CONCATENATE('Table of compositions'!E$1,"(",'Table of compositions'!E135,")")))</f>
        <v>HexNAc(4)Hex(5)NeuAc/NeuGc(1)</v>
      </c>
      <c r="B138" s="6" t="str">
        <f>'Table of compositions'!G135</f>
        <v>HexNAc(4)(x)</v>
      </c>
    </row>
    <row r="139" spans="1:2" x14ac:dyDescent="0.25">
      <c r="A139" s="6" t="str">
        <f>CONCATENATE(CONCATENATE('Table of compositions'!$A$1,"(",'Table of compositions'!A136,")",'Table of compositions'!$B$1,"(",'Table of compositions'!B136,")"),IF('Table of compositions'!C136=0,"",CONCATENATE('Table of compositions'!C$1,"(",'Table of compositions'!C136,")")),IF('Table of compositions'!D136=0,"",CONCATENATE('Table of compositions'!D$1,"(",'Table of compositions'!D136,")")),IF('Table of compositions'!E136=0,"",CONCATENATE('Table of compositions'!E$1,"(",'Table of compositions'!E136,")")))</f>
        <v>HexNAc(4)Hex(5)NeuAc/NeuGc(2)</v>
      </c>
      <c r="B139" s="6" t="str">
        <f>'Table of compositions'!G136</f>
        <v>HexNAc(4)(x)</v>
      </c>
    </row>
    <row r="140" spans="1:2" x14ac:dyDescent="0.25">
      <c r="A140" s="6" t="str">
        <f>CONCATENATE(CONCATENATE('Table of compositions'!$A$1,"(",'Table of compositions'!A137,")",'Table of compositions'!$B$1,"(",'Table of compositions'!B137,")"),IF('Table of compositions'!C137=0,"",CONCATENATE('Table of compositions'!C$1,"(",'Table of compositions'!C137,")")),IF('Table of compositions'!D137=0,"",CONCATENATE('Table of compositions'!D$1,"(",'Table of compositions'!D137,")")),IF('Table of compositions'!E137=0,"",CONCATENATE('Table of compositions'!E$1,"(",'Table of compositions'!E137,")")))</f>
        <v>HexNAc(4)Hex(5)SO4/Phospho(1)</v>
      </c>
      <c r="B140" s="6" t="str">
        <f>'Table of compositions'!G137</f>
        <v>HexNAc(4)(x)</v>
      </c>
    </row>
    <row r="141" spans="1:2" x14ac:dyDescent="0.25">
      <c r="A141" s="6" t="str">
        <f>CONCATENATE(CONCATENATE('Table of compositions'!$A$1,"(",'Table of compositions'!A138,")",'Table of compositions'!$B$1,"(",'Table of compositions'!B138,")"),IF('Table of compositions'!C138=0,"",CONCATENATE('Table of compositions'!C$1,"(",'Table of compositions'!C138,")")),IF('Table of compositions'!D138=0,"",CONCATENATE('Table of compositions'!D$1,"(",'Table of compositions'!D138,")")),IF('Table of compositions'!E138=0,"",CONCATENATE('Table of compositions'!E$1,"(",'Table of compositions'!E138,")")))</f>
        <v>HexNAc(4)Hex(5)SO4/Phospho(2)</v>
      </c>
      <c r="B141" s="6" t="str">
        <f>'Table of compositions'!G138</f>
        <v>HexNAc(4)(x)</v>
      </c>
    </row>
    <row r="142" spans="1:2" x14ac:dyDescent="0.25">
      <c r="A142" s="6" t="str">
        <f>CONCATENATE(CONCATENATE('Table of compositions'!$A$1,"(",'Table of compositions'!A139,")",'Table of compositions'!$B$1,"(",'Table of compositions'!B139,")"),IF('Table of compositions'!C139=0,"",CONCATENATE('Table of compositions'!C$1,"(",'Table of compositions'!C139,")")),IF('Table of compositions'!D139=0,"",CONCATENATE('Table of compositions'!D$1,"(",'Table of compositions'!D139,")")),IF('Table of compositions'!E139=0,"",CONCATENATE('Table of compositions'!E$1,"(",'Table of compositions'!E139,")")))</f>
        <v>HexNAc(4)Hex(5)SO4/Phospho(3)</v>
      </c>
      <c r="B142" s="6" t="str">
        <f>'Table of compositions'!G139</f>
        <v>HexNAc(4)(x)</v>
      </c>
    </row>
    <row r="143" spans="1:2" x14ac:dyDescent="0.25">
      <c r="A143" s="6" t="str">
        <f>CONCATENATE(CONCATENATE('Table of compositions'!$A$1,"(",'Table of compositions'!A140,")",'Table of compositions'!$B$1,"(",'Table of compositions'!B140,")"),IF('Table of compositions'!C140=0,"",CONCATENATE('Table of compositions'!C$1,"(",'Table of compositions'!C140,")")),IF('Table of compositions'!D140=0,"",CONCATENATE('Table of compositions'!D$1,"(",'Table of compositions'!D140,")")),IF('Table of compositions'!E140=0,"",CONCATENATE('Table of compositions'!E$1,"(",'Table of compositions'!E140,")")))</f>
        <v>HexNAc(4)Hex(6)</v>
      </c>
      <c r="B143" s="6" t="str">
        <f>'Table of compositions'!G140</f>
        <v>HexNAc(4)(x)</v>
      </c>
    </row>
    <row r="144" spans="1:2" x14ac:dyDescent="0.25">
      <c r="A144" s="6" t="str">
        <f>CONCATENATE(CONCATENATE('Table of compositions'!$A$1,"(",'Table of compositions'!A141,")",'Table of compositions'!$B$1,"(",'Table of compositions'!B141,")"),IF('Table of compositions'!C141=0,"",CONCATENATE('Table of compositions'!C$1,"(",'Table of compositions'!C141,")")),IF('Table of compositions'!D141=0,"",CONCATENATE('Table of compositions'!D$1,"(",'Table of compositions'!D141,")")),IF('Table of compositions'!E141=0,"",CONCATENATE('Table of compositions'!E$1,"(",'Table of compositions'!E141,")")))</f>
        <v>HexNAc(4)Hex(6)Fuc(1)</v>
      </c>
      <c r="B144" s="6" t="str">
        <f>'Table of compositions'!G141</f>
        <v>HexNAc(4)(F)(x)</v>
      </c>
    </row>
    <row r="145" spans="1:2" x14ac:dyDescent="0.25">
      <c r="A145" s="6" t="str">
        <f>CONCATENATE(CONCATENATE('Table of compositions'!$A$1,"(",'Table of compositions'!A142,")",'Table of compositions'!$B$1,"(",'Table of compositions'!B142,")"),IF('Table of compositions'!C142=0,"",CONCATENATE('Table of compositions'!C$1,"(",'Table of compositions'!C142,")")),IF('Table of compositions'!D142=0,"",CONCATENATE('Table of compositions'!D$1,"(",'Table of compositions'!D142,")")),IF('Table of compositions'!E142=0,"",CONCATENATE('Table of compositions'!E$1,"(",'Table of compositions'!E142,")")))</f>
        <v>HexNAc(4)Hex(6)Fuc(1)NeuAc/NeuGc(1)</v>
      </c>
      <c r="B145" s="6" t="str">
        <f>'Table of compositions'!G142</f>
        <v>HexNAc(4)(F)(x)</v>
      </c>
    </row>
    <row r="146" spans="1:2" x14ac:dyDescent="0.25">
      <c r="A146" s="6" t="str">
        <f>CONCATENATE(CONCATENATE('Table of compositions'!$A$1,"(",'Table of compositions'!A143,")",'Table of compositions'!$B$1,"(",'Table of compositions'!B143,")"),IF('Table of compositions'!C143=0,"",CONCATENATE('Table of compositions'!C$1,"(",'Table of compositions'!C143,")")),IF('Table of compositions'!D143=0,"",CONCATENATE('Table of compositions'!D$1,"(",'Table of compositions'!D143,")")),IF('Table of compositions'!E143=0,"",CONCATENATE('Table of compositions'!E$1,"(",'Table of compositions'!E143,")")))</f>
        <v>HexNAc(4)Hex(6)Fuc(1)NeuAc/NeuGc(1)</v>
      </c>
      <c r="B146" s="6" t="str">
        <f>'Table of compositions'!G143</f>
        <v>HexNAc(4)(F)(x)</v>
      </c>
    </row>
    <row r="147" spans="1:2" x14ac:dyDescent="0.25">
      <c r="A147" s="6" t="str">
        <f>CONCATENATE(CONCATENATE('Table of compositions'!$A$1,"(",'Table of compositions'!A144,")",'Table of compositions'!$B$1,"(",'Table of compositions'!B144,")"),IF('Table of compositions'!C144=0,"",CONCATENATE('Table of compositions'!C$1,"(",'Table of compositions'!C144,")")),IF('Table of compositions'!D144=0,"",CONCATENATE('Table of compositions'!D$1,"(",'Table of compositions'!D144,")")),IF('Table of compositions'!E144=0,"",CONCATENATE('Table of compositions'!E$1,"(",'Table of compositions'!E144,")")))</f>
        <v>HexNAc(4)Hex(6)Fuc(1)SO4/Phospho(1)</v>
      </c>
      <c r="B147" s="6" t="str">
        <f>'Table of compositions'!G144</f>
        <v>HexNAc(4)(F)(x)</v>
      </c>
    </row>
    <row r="148" spans="1:2" x14ac:dyDescent="0.25">
      <c r="A148" s="6" t="str">
        <f>CONCATENATE(CONCATENATE('Table of compositions'!$A$1,"(",'Table of compositions'!A145,")",'Table of compositions'!$B$1,"(",'Table of compositions'!B145,")"),IF('Table of compositions'!C145=0,"",CONCATENATE('Table of compositions'!C$1,"(",'Table of compositions'!C145,")")),IF('Table of compositions'!D145=0,"",CONCATENATE('Table of compositions'!D$1,"(",'Table of compositions'!D145,")")),IF('Table of compositions'!E145=0,"",CONCATENATE('Table of compositions'!E$1,"(",'Table of compositions'!E145,")")))</f>
        <v>HexNAc(4)Hex(6)Fuc(1)SO4/Phospho(2)</v>
      </c>
      <c r="B148" s="6" t="str">
        <f>'Table of compositions'!G145</f>
        <v>HexNAc(4)(F)(x)</v>
      </c>
    </row>
    <row r="149" spans="1:2" x14ac:dyDescent="0.25">
      <c r="A149" s="6" t="str">
        <f>CONCATENATE(CONCATENATE('Table of compositions'!$A$1,"(",'Table of compositions'!A146,")",'Table of compositions'!$B$1,"(",'Table of compositions'!B146,")"),IF('Table of compositions'!C146=0,"",CONCATENATE('Table of compositions'!C$1,"(",'Table of compositions'!C146,")")),IF('Table of compositions'!D146=0,"",CONCATENATE('Table of compositions'!D$1,"(",'Table of compositions'!D146,")")),IF('Table of compositions'!E146=0,"",CONCATENATE('Table of compositions'!E$1,"(",'Table of compositions'!E146,")")))</f>
        <v>HexNAc(4)Hex(6)Fuc(1)SO4/Phospho(3)</v>
      </c>
      <c r="B149" s="6" t="str">
        <f>'Table of compositions'!G146</f>
        <v>HexNAc(4)(F)(x)</v>
      </c>
    </row>
    <row r="150" spans="1:2" x14ac:dyDescent="0.25">
      <c r="A150" s="6" t="str">
        <f>CONCATENATE(CONCATENATE('Table of compositions'!$A$1,"(",'Table of compositions'!A147,")",'Table of compositions'!$B$1,"(",'Table of compositions'!B147,")"),IF('Table of compositions'!C147=0,"",CONCATENATE('Table of compositions'!C$1,"(",'Table of compositions'!C147,")")),IF('Table of compositions'!D147=0,"",CONCATENATE('Table of compositions'!D$1,"(",'Table of compositions'!D147,")")),IF('Table of compositions'!E147=0,"",CONCATENATE('Table of compositions'!E$1,"(",'Table of compositions'!E147,")")))</f>
        <v>HexNAc(4)Hex(6)Fuc(2)</v>
      </c>
      <c r="B150" s="6" t="str">
        <f>'Table of compositions'!G147</f>
        <v>HexNAc(4)(F)(x)</v>
      </c>
    </row>
    <row r="151" spans="1:2" x14ac:dyDescent="0.25">
      <c r="A151" s="6" t="str">
        <f>CONCATENATE(CONCATENATE('Table of compositions'!$A$1,"(",'Table of compositions'!A148,")",'Table of compositions'!$B$1,"(",'Table of compositions'!B148,")"),IF('Table of compositions'!C148=0,"",CONCATENATE('Table of compositions'!C$1,"(",'Table of compositions'!C148,")")),IF('Table of compositions'!D148=0,"",CONCATENATE('Table of compositions'!D$1,"(",'Table of compositions'!D148,")")),IF('Table of compositions'!E148=0,"",CONCATENATE('Table of compositions'!E$1,"(",'Table of compositions'!E148,")")))</f>
        <v>HexNAc(4)Hex(6)Fuc(3)</v>
      </c>
      <c r="B151" s="6" t="str">
        <f>'Table of compositions'!G148</f>
        <v>HexNAc(4)(F)(x)</v>
      </c>
    </row>
    <row r="152" spans="1:2" x14ac:dyDescent="0.25">
      <c r="A152" s="6" t="str">
        <f>CONCATENATE(CONCATENATE('Table of compositions'!$A$1,"(",'Table of compositions'!A149,")",'Table of compositions'!$B$1,"(",'Table of compositions'!B149,")"),IF('Table of compositions'!C149=0,"",CONCATENATE('Table of compositions'!C$1,"(",'Table of compositions'!C149,")")),IF('Table of compositions'!D149=0,"",CONCATENATE('Table of compositions'!D$1,"(",'Table of compositions'!D149,")")),IF('Table of compositions'!E149=0,"",CONCATENATE('Table of compositions'!E$1,"(",'Table of compositions'!E149,")")))</f>
        <v>HexNAc(4)Hex(6)NeuAc/NeuGc(1)</v>
      </c>
      <c r="B152" s="6" t="str">
        <f>'Table of compositions'!G149</f>
        <v>HexNAc(4)(x)</v>
      </c>
    </row>
    <row r="153" spans="1:2" x14ac:dyDescent="0.25">
      <c r="A153" s="6" t="str">
        <f>CONCATENATE(CONCATENATE('Table of compositions'!$A$1,"(",'Table of compositions'!A150,")",'Table of compositions'!$B$1,"(",'Table of compositions'!B150,")"),IF('Table of compositions'!C150=0,"",CONCATENATE('Table of compositions'!C$1,"(",'Table of compositions'!C150,")")),IF('Table of compositions'!D150=0,"",CONCATENATE('Table of compositions'!D$1,"(",'Table of compositions'!D150,")")),IF('Table of compositions'!E150=0,"",CONCATENATE('Table of compositions'!E$1,"(",'Table of compositions'!E150,")")))</f>
        <v>HexNAc(4)Hex(6)NeuAc/NeuGc(1)</v>
      </c>
      <c r="B153" s="6" t="str">
        <f>'Table of compositions'!G150</f>
        <v>HexNAc(4)(x)</v>
      </c>
    </row>
    <row r="154" spans="1:2" x14ac:dyDescent="0.25">
      <c r="A154" s="6" t="str">
        <f>CONCATENATE(CONCATENATE('Table of compositions'!$A$1,"(",'Table of compositions'!A151,")",'Table of compositions'!$B$1,"(",'Table of compositions'!B151,")"),IF('Table of compositions'!C151=0,"",CONCATENATE('Table of compositions'!C$1,"(",'Table of compositions'!C151,")")),IF('Table of compositions'!D151=0,"",CONCATENATE('Table of compositions'!D$1,"(",'Table of compositions'!D151,")")),IF('Table of compositions'!E151=0,"",CONCATENATE('Table of compositions'!E$1,"(",'Table of compositions'!E151,")")))</f>
        <v>HexNAc(4)Hex(7)</v>
      </c>
      <c r="B154" s="6" t="str">
        <f>'Table of compositions'!G151</f>
        <v>HexNAc(4)(x)</v>
      </c>
    </row>
    <row r="155" spans="1:2" x14ac:dyDescent="0.25">
      <c r="A155" s="6" t="str">
        <f>CONCATENATE(CONCATENATE('Table of compositions'!$A$1,"(",'Table of compositions'!A152,")",'Table of compositions'!$B$1,"(",'Table of compositions'!B152,")"),IF('Table of compositions'!C152=0,"",CONCATENATE('Table of compositions'!C$1,"(",'Table of compositions'!C152,")")),IF('Table of compositions'!D152=0,"",CONCATENATE('Table of compositions'!D$1,"(",'Table of compositions'!D152,")")),IF('Table of compositions'!E152=0,"",CONCATENATE('Table of compositions'!E$1,"(",'Table of compositions'!E152,")")))</f>
        <v>HexNAc(4)Hex(7)Fuc(1)</v>
      </c>
      <c r="B155" s="6" t="str">
        <f>'Table of compositions'!G152</f>
        <v>HexNAc(4)(F)(x)</v>
      </c>
    </row>
    <row r="156" spans="1:2" x14ac:dyDescent="0.25">
      <c r="A156" s="6" t="str">
        <f>CONCATENATE(CONCATENATE('Table of compositions'!$A$1,"(",'Table of compositions'!A153,")",'Table of compositions'!$B$1,"(",'Table of compositions'!B153,")"),IF('Table of compositions'!C153=0,"",CONCATENATE('Table of compositions'!C$1,"(",'Table of compositions'!C153,")")),IF('Table of compositions'!D153=0,"",CONCATENATE('Table of compositions'!D$1,"(",'Table of compositions'!D153,")")),IF('Table of compositions'!E153=0,"",CONCATENATE('Table of compositions'!E$1,"(",'Table of compositions'!E153,")")))</f>
        <v>HexNAc(4)Hex(7)Fuc(2)</v>
      </c>
      <c r="B156" s="6" t="str">
        <f>'Table of compositions'!G153</f>
        <v>HexNAc(4)(F)(x)</v>
      </c>
    </row>
    <row r="157" spans="1:2" x14ac:dyDescent="0.25">
      <c r="A157" s="6" t="str">
        <f>CONCATENATE(CONCATENATE('Table of compositions'!$A$1,"(",'Table of compositions'!A154,")",'Table of compositions'!$B$1,"(",'Table of compositions'!B154,")"),IF('Table of compositions'!C154=0,"",CONCATENATE('Table of compositions'!C$1,"(",'Table of compositions'!C154,")")),IF('Table of compositions'!D154=0,"",CONCATENATE('Table of compositions'!D$1,"(",'Table of compositions'!D154,")")),IF('Table of compositions'!E154=0,"",CONCATENATE('Table of compositions'!E$1,"(",'Table of compositions'!E154,")")))</f>
        <v>HexNAc(4)Hex(7)NeuAc/NeuGc(1)</v>
      </c>
      <c r="B157" s="6" t="str">
        <f>'Table of compositions'!G154</f>
        <v>HexNAc(4)(x)</v>
      </c>
    </row>
    <row r="158" spans="1:2" x14ac:dyDescent="0.25">
      <c r="A158" s="6" t="str">
        <f>CONCATENATE(CONCATENATE('Table of compositions'!$A$1,"(",'Table of compositions'!A155,")",'Table of compositions'!$B$1,"(",'Table of compositions'!B155,")"),IF('Table of compositions'!C155=0,"",CONCATENATE('Table of compositions'!C$1,"(",'Table of compositions'!C155,")")),IF('Table of compositions'!D155=0,"",CONCATENATE('Table of compositions'!D$1,"(",'Table of compositions'!D155,")")),IF('Table of compositions'!E155=0,"",CONCATENATE('Table of compositions'!E$1,"(",'Table of compositions'!E155,")")))</f>
        <v>HexNAc(4)Hex(7)SO4/Phospho(1)</v>
      </c>
      <c r="B158" s="6" t="str">
        <f>'Table of compositions'!G155</f>
        <v>HexNAc(4)(x)</v>
      </c>
    </row>
    <row r="159" spans="1:2" x14ac:dyDescent="0.25">
      <c r="A159" s="6" t="str">
        <f>CONCATENATE(CONCATENATE('Table of compositions'!$A$1,"(",'Table of compositions'!A156,")",'Table of compositions'!$B$1,"(",'Table of compositions'!B156,")"),IF('Table of compositions'!C156=0,"",CONCATENATE('Table of compositions'!C$1,"(",'Table of compositions'!C156,")")),IF('Table of compositions'!D156=0,"",CONCATENATE('Table of compositions'!D$1,"(",'Table of compositions'!D156,")")),IF('Table of compositions'!E156=0,"",CONCATENATE('Table of compositions'!E$1,"(",'Table of compositions'!E156,")")))</f>
        <v>HexNAc(4)Hex(7)SO4/Phospho(2)</v>
      </c>
      <c r="B159" s="6" t="str">
        <f>'Table of compositions'!G156</f>
        <v>HexNAc(4)(x)</v>
      </c>
    </row>
    <row r="160" spans="1:2" x14ac:dyDescent="0.25">
      <c r="A160" s="6" t="str">
        <f>CONCATENATE(CONCATENATE('Table of compositions'!$A$1,"(",'Table of compositions'!A157,")",'Table of compositions'!$B$1,"(",'Table of compositions'!B157,")"),IF('Table of compositions'!C157=0,"",CONCATENATE('Table of compositions'!C$1,"(",'Table of compositions'!C157,")")),IF('Table of compositions'!D157=0,"",CONCATENATE('Table of compositions'!D$1,"(",'Table of compositions'!D157,")")),IF('Table of compositions'!E157=0,"",CONCATENATE('Table of compositions'!E$1,"(",'Table of compositions'!E157,")")))</f>
        <v>HexNAc(4)Hex(7)SO4/Phospho(3)</v>
      </c>
      <c r="B160" s="6" t="str">
        <f>'Table of compositions'!G157</f>
        <v>HexNAc(4)(x)</v>
      </c>
    </row>
    <row r="161" spans="1:2" x14ac:dyDescent="0.25">
      <c r="A161" s="6" t="str">
        <f>CONCATENATE(CONCATENATE('Table of compositions'!$A$1,"(",'Table of compositions'!A158,")",'Table of compositions'!$B$1,"(",'Table of compositions'!B158,")"),IF('Table of compositions'!C158=0,"",CONCATENATE('Table of compositions'!C$1,"(",'Table of compositions'!C158,")")),IF('Table of compositions'!D158=0,"",CONCATENATE('Table of compositions'!D$1,"(",'Table of compositions'!D158,")")),IF('Table of compositions'!E158=0,"",CONCATENATE('Table of compositions'!E$1,"(",'Table of compositions'!E158,")")))</f>
        <v>HexNAc(5)Hex(3)</v>
      </c>
      <c r="B161" s="6" t="e">
        <f>'Table of compositions'!#REF!</f>
        <v>#REF!</v>
      </c>
    </row>
    <row r="162" spans="1:2" x14ac:dyDescent="0.25">
      <c r="A162" s="6" t="str">
        <f>CONCATENATE(CONCATENATE('Table of compositions'!$A$1,"(",'Table of compositions'!A159,")",'Table of compositions'!$B$1,"(",'Table of compositions'!B159,")"),IF('Table of compositions'!C159=0,"",CONCATENATE('Table of compositions'!C$1,"(",'Table of compositions'!C159,")")),IF('Table of compositions'!D159=0,"",CONCATENATE('Table of compositions'!D$1,"(",'Table of compositions'!D159,")")),IF('Table of compositions'!E159=0,"",CONCATENATE('Table of compositions'!E$1,"(",'Table of compositions'!E159,")")))</f>
        <v>HexNAc(5)Hex(3)Fuc(1)</v>
      </c>
      <c r="B162" s="6" t="e">
        <f>'Table of compositions'!#REF!</f>
        <v>#REF!</v>
      </c>
    </row>
    <row r="163" spans="1:2" x14ac:dyDescent="0.25">
      <c r="A163" s="6" t="str">
        <f>CONCATENATE(CONCATENATE('Table of compositions'!$A$1,"(",'Table of compositions'!A160,")",'Table of compositions'!$B$1,"(",'Table of compositions'!B160,")"),IF('Table of compositions'!C160=0,"",CONCATENATE('Table of compositions'!C$1,"(",'Table of compositions'!C160,")")),IF('Table of compositions'!D160=0,"",CONCATENATE('Table of compositions'!D$1,"(",'Table of compositions'!D160,")")),IF('Table of compositions'!E160=0,"",CONCATENATE('Table of compositions'!E$1,"(",'Table of compositions'!E160,")")))</f>
        <v>HexNAc(5)Hex(3)Fuc(1)NeuAc/NeuGc(1)</v>
      </c>
      <c r="B163" s="6" t="str">
        <f>'Table of compositions'!G160</f>
        <v>HexNAc(5)(F)(x)</v>
      </c>
    </row>
    <row r="164" spans="1:2" x14ac:dyDescent="0.25">
      <c r="A164" s="6" t="str">
        <f>CONCATENATE(CONCATENATE('Table of compositions'!$A$1,"(",'Table of compositions'!A161,")",'Table of compositions'!$B$1,"(",'Table of compositions'!B161,")"),IF('Table of compositions'!C161=0,"",CONCATENATE('Table of compositions'!C$1,"(",'Table of compositions'!C161,")")),IF('Table of compositions'!D161=0,"",CONCATENATE('Table of compositions'!D$1,"(",'Table of compositions'!D161,")")),IF('Table of compositions'!E161=0,"",CONCATENATE('Table of compositions'!E$1,"(",'Table of compositions'!E161,")")))</f>
        <v>HexNAc(5)Hex(3)Fuc(1)NeuAc/NeuGc(1)</v>
      </c>
      <c r="B164" s="6" t="str">
        <f>'Table of compositions'!G161</f>
        <v>HexNAc(5)(F)(x)</v>
      </c>
    </row>
    <row r="165" spans="1:2" x14ac:dyDescent="0.25">
      <c r="A165" s="6" t="str">
        <f>CONCATENATE(CONCATENATE('Table of compositions'!$A$1,"(",'Table of compositions'!A162,")",'Table of compositions'!$B$1,"(",'Table of compositions'!B162,")"),IF('Table of compositions'!C162=0,"",CONCATENATE('Table of compositions'!C$1,"(",'Table of compositions'!C162,")")),IF('Table of compositions'!D162=0,"",CONCATENATE('Table of compositions'!D$1,"(",'Table of compositions'!D162,")")),IF('Table of compositions'!E162=0,"",CONCATENATE('Table of compositions'!E$1,"(",'Table of compositions'!E162,")")))</f>
        <v>HexNAc(5)Hex(3)Fuc(1)SO4/Phospho(1)</v>
      </c>
      <c r="B165" s="6" t="str">
        <f>'Table of compositions'!G162</f>
        <v>HexNAc(5)(F)(x)</v>
      </c>
    </row>
    <row r="166" spans="1:2" x14ac:dyDescent="0.25">
      <c r="A166" s="6" t="str">
        <f>CONCATENATE(CONCATENATE('Table of compositions'!$A$1,"(",'Table of compositions'!A163,")",'Table of compositions'!$B$1,"(",'Table of compositions'!B163,")"),IF('Table of compositions'!C163=0,"",CONCATENATE('Table of compositions'!C$1,"(",'Table of compositions'!C163,")")),IF('Table of compositions'!D163=0,"",CONCATENATE('Table of compositions'!D$1,"(",'Table of compositions'!D163,")")),IF('Table of compositions'!E163=0,"",CONCATENATE('Table of compositions'!E$1,"(",'Table of compositions'!E163,")")))</f>
        <v>HexNAc(5)Hex(3)Fuc(1)SO4/Phospho(2)</v>
      </c>
      <c r="B166" s="6" t="str">
        <f>'Table of compositions'!G163</f>
        <v>HexNAc(5)(F)(x)</v>
      </c>
    </row>
    <row r="167" spans="1:2" x14ac:dyDescent="0.25">
      <c r="A167" s="6" t="str">
        <f>CONCATENATE(CONCATENATE('Table of compositions'!$A$1,"(",'Table of compositions'!A164,")",'Table of compositions'!$B$1,"(",'Table of compositions'!B164,")"),IF('Table of compositions'!C164=0,"",CONCATENATE('Table of compositions'!C$1,"(",'Table of compositions'!C164,")")),IF('Table of compositions'!D164=0,"",CONCATENATE('Table of compositions'!D$1,"(",'Table of compositions'!D164,")")),IF('Table of compositions'!E164=0,"",CONCATENATE('Table of compositions'!E$1,"(",'Table of compositions'!E164,")")))</f>
        <v>HexNAc(5)Hex(3)Fuc(1)SO4/Phospho(3)</v>
      </c>
      <c r="B167" s="6" t="str">
        <f>'Table of compositions'!G164</f>
        <v>HexNAc(5)(F)(x)</v>
      </c>
    </row>
    <row r="168" spans="1:2" x14ac:dyDescent="0.25">
      <c r="A168" s="6" t="str">
        <f>CONCATENATE(CONCATENATE('Table of compositions'!$A$1,"(",'Table of compositions'!A165,")",'Table of compositions'!$B$1,"(",'Table of compositions'!B165,")"),IF('Table of compositions'!C165=0,"",CONCATENATE('Table of compositions'!C$1,"(",'Table of compositions'!C165,")")),IF('Table of compositions'!D165=0,"",CONCATENATE('Table of compositions'!D$1,"(",'Table of compositions'!D165,")")),IF('Table of compositions'!E165=0,"",CONCATENATE('Table of compositions'!E$1,"(",'Table of compositions'!E165,")")))</f>
        <v>HexNAc(5)Hex(3)SO4/Phospho(1)</v>
      </c>
      <c r="B168" s="6" t="str">
        <f>'Table of compositions'!G165</f>
        <v>HexNAc(5)(x)</v>
      </c>
    </row>
    <row r="169" spans="1:2" x14ac:dyDescent="0.25">
      <c r="A169" s="6" t="str">
        <f>CONCATENATE(CONCATENATE('Table of compositions'!$A$1,"(",'Table of compositions'!A166,")",'Table of compositions'!$B$1,"(",'Table of compositions'!B166,")"),IF('Table of compositions'!C166=0,"",CONCATENATE('Table of compositions'!C$1,"(",'Table of compositions'!C166,")")),IF('Table of compositions'!D166=0,"",CONCATENATE('Table of compositions'!D$1,"(",'Table of compositions'!D166,")")),IF('Table of compositions'!E166=0,"",CONCATENATE('Table of compositions'!E$1,"(",'Table of compositions'!E166,")")))</f>
        <v>HexNAc(5)Hex(3)SO4/Phospho(2)</v>
      </c>
      <c r="B169" s="6" t="str">
        <f>'Table of compositions'!G166</f>
        <v>HexNAc(5)(x)</v>
      </c>
    </row>
    <row r="170" spans="1:2" x14ac:dyDescent="0.25">
      <c r="A170" s="6" t="str">
        <f>CONCATENATE(CONCATENATE('Table of compositions'!$A$1,"(",'Table of compositions'!A167,")",'Table of compositions'!$B$1,"(",'Table of compositions'!B167,")"),IF('Table of compositions'!C167=0,"",CONCATENATE('Table of compositions'!C$1,"(",'Table of compositions'!C167,")")),IF('Table of compositions'!D167=0,"",CONCATENATE('Table of compositions'!D$1,"(",'Table of compositions'!D167,")")),IF('Table of compositions'!E167=0,"",CONCATENATE('Table of compositions'!E$1,"(",'Table of compositions'!E167,")")))</f>
        <v>HexNAc(5)Hex(3)SO4/Phospho(3)</v>
      </c>
      <c r="B170" s="6" t="str">
        <f>'Table of compositions'!G167</f>
        <v>HexNAc(5)(x)</v>
      </c>
    </row>
    <row r="171" spans="1:2" x14ac:dyDescent="0.25">
      <c r="A171" s="6" t="str">
        <f>CONCATENATE(CONCATENATE('Table of compositions'!$A$1,"(",'Table of compositions'!A168,")",'Table of compositions'!$B$1,"(",'Table of compositions'!B168,")"),IF('Table of compositions'!C168=0,"",CONCATENATE('Table of compositions'!C$1,"(",'Table of compositions'!C168,")")),IF('Table of compositions'!D168=0,"",CONCATENATE('Table of compositions'!D$1,"(",'Table of compositions'!D168,")")),IF('Table of compositions'!E168=0,"",CONCATENATE('Table of compositions'!E$1,"(",'Table of compositions'!E168,")")))</f>
        <v>HexNAc(5)Hex(4)</v>
      </c>
      <c r="B171" s="6" t="str">
        <f>'Table of compositions'!G168</f>
        <v>HexNAc(5)(x)</v>
      </c>
    </row>
    <row r="172" spans="1:2" x14ac:dyDescent="0.25">
      <c r="A172" s="6" t="str">
        <f>CONCATENATE(CONCATENATE('Table of compositions'!$A$1,"(",'Table of compositions'!A169,")",'Table of compositions'!$B$1,"(",'Table of compositions'!B169,")"),IF('Table of compositions'!C169=0,"",CONCATENATE('Table of compositions'!C$1,"(",'Table of compositions'!C169,")")),IF('Table of compositions'!D169=0,"",CONCATENATE('Table of compositions'!D$1,"(",'Table of compositions'!D169,")")),IF('Table of compositions'!E169=0,"",CONCATENATE('Table of compositions'!E$1,"(",'Table of compositions'!E169,")")))</f>
        <v>HexNAc(5)Hex(4)Fuc(1)</v>
      </c>
      <c r="B172" s="6" t="str">
        <f>'Table of compositions'!G169</f>
        <v>HexNAc(5)(F)(x)</v>
      </c>
    </row>
    <row r="173" spans="1:2" x14ac:dyDescent="0.25">
      <c r="A173" s="6" t="str">
        <f>CONCATENATE(CONCATENATE('Table of compositions'!$A$1,"(",'Table of compositions'!A170,")",'Table of compositions'!$B$1,"(",'Table of compositions'!B170,")"),IF('Table of compositions'!C170=0,"",CONCATENATE('Table of compositions'!C$1,"(",'Table of compositions'!C170,")")),IF('Table of compositions'!D170=0,"",CONCATENATE('Table of compositions'!D$1,"(",'Table of compositions'!D170,")")),IF('Table of compositions'!E170=0,"",CONCATENATE('Table of compositions'!E$1,"(",'Table of compositions'!E170,")")))</f>
        <v>HexNAc(5)Hex(4)Fuc(1)NeuAc/NeuGc(1)</v>
      </c>
      <c r="B173" s="6" t="str">
        <f>'Table of compositions'!G170</f>
        <v>HexNAc(5)(F)(x)</v>
      </c>
    </row>
    <row r="174" spans="1:2" x14ac:dyDescent="0.25">
      <c r="A174" s="6" t="str">
        <f>CONCATENATE(CONCATENATE('Table of compositions'!$A$1,"(",'Table of compositions'!A171,")",'Table of compositions'!$B$1,"(",'Table of compositions'!B171,")"),IF('Table of compositions'!C171=0,"",CONCATENATE('Table of compositions'!C$1,"(",'Table of compositions'!C171,")")),IF('Table of compositions'!D171=0,"",CONCATENATE('Table of compositions'!D$1,"(",'Table of compositions'!D171,")")),IF('Table of compositions'!E171=0,"",CONCATENATE('Table of compositions'!E$1,"(",'Table of compositions'!E171,")")))</f>
        <v>HexNAc(5)Hex(4)Fuc(1)NeuAc/NeuGc(2)</v>
      </c>
      <c r="B174" s="6" t="str">
        <f>'Table of compositions'!G171</f>
        <v>HexNAc(5)(F)(x)</v>
      </c>
    </row>
    <row r="175" spans="1:2" x14ac:dyDescent="0.25">
      <c r="A175" s="6" t="str">
        <f>CONCATENATE(CONCATENATE('Table of compositions'!$A$1,"(",'Table of compositions'!A172,")",'Table of compositions'!$B$1,"(",'Table of compositions'!B172,")"),IF('Table of compositions'!C172=0,"",CONCATENATE('Table of compositions'!C$1,"(",'Table of compositions'!C172,")")),IF('Table of compositions'!D172=0,"",CONCATENATE('Table of compositions'!D$1,"(",'Table of compositions'!D172,")")),IF('Table of compositions'!E172=0,"",CONCATENATE('Table of compositions'!E$1,"(",'Table of compositions'!E172,")")))</f>
        <v>HexNAc(5)Hex(4)Fuc(1)NeuAc/NeuGc(1)SO4/Phospho(1)</v>
      </c>
      <c r="B175" s="6" t="str">
        <f>'Table of compositions'!G172</f>
        <v>HexNAc(5)(F)(x)</v>
      </c>
    </row>
    <row r="176" spans="1:2" x14ac:dyDescent="0.25">
      <c r="A176" s="6" t="str">
        <f>CONCATENATE(CONCATENATE('Table of compositions'!$A$1,"(",'Table of compositions'!A173,")",'Table of compositions'!$B$1,"(",'Table of compositions'!B173,")"),IF('Table of compositions'!C173=0,"",CONCATENATE('Table of compositions'!C$1,"(",'Table of compositions'!C173,")")),IF('Table of compositions'!D173=0,"",CONCATENATE('Table of compositions'!D$1,"(",'Table of compositions'!D173,")")),IF('Table of compositions'!E173=0,"",CONCATENATE('Table of compositions'!E$1,"(",'Table of compositions'!E173,")")))</f>
        <v>HexNAc(5)Hex(4)Fuc(1)NeuAc/NeuGc(1)SO4/Phospho(2)</v>
      </c>
      <c r="B176" s="6" t="str">
        <f>'Table of compositions'!G173</f>
        <v>HexNAc(5)(F)(x)</v>
      </c>
    </row>
    <row r="177" spans="1:2" x14ac:dyDescent="0.25">
      <c r="A177" s="6" t="str">
        <f>CONCATENATE(CONCATENATE('Table of compositions'!$A$1,"(",'Table of compositions'!A174,")",'Table of compositions'!$B$1,"(",'Table of compositions'!B174,")"),IF('Table of compositions'!C174=0,"",CONCATENATE('Table of compositions'!C$1,"(",'Table of compositions'!C174,")")),IF('Table of compositions'!D174=0,"",CONCATENATE('Table of compositions'!D$1,"(",'Table of compositions'!D174,")")),IF('Table of compositions'!E174=0,"",CONCATENATE('Table of compositions'!E$1,"(",'Table of compositions'!E174,")")))</f>
        <v>HexNAc(5)Hex(4)Fuc(1)NeuAc/NeuGc(1)SO4/Phospho(3)</v>
      </c>
      <c r="B177" s="6" t="str">
        <f>'Table of compositions'!G174</f>
        <v>HexNAc(5)(F)(x)</v>
      </c>
    </row>
    <row r="178" spans="1:2" x14ac:dyDescent="0.25">
      <c r="A178" s="6" t="str">
        <f>CONCATENATE(CONCATENATE('Table of compositions'!$A$1,"(",'Table of compositions'!A175,")",'Table of compositions'!$B$1,"(",'Table of compositions'!B175,")"),IF('Table of compositions'!C175=0,"",CONCATENATE('Table of compositions'!C$1,"(",'Table of compositions'!C175,")")),IF('Table of compositions'!D175=0,"",CONCATENATE('Table of compositions'!D$1,"(",'Table of compositions'!D175,")")),IF('Table of compositions'!E175=0,"",CONCATENATE('Table of compositions'!E$1,"(",'Table of compositions'!E175,")")))</f>
        <v>HexNAc(5)Hex(4)Fuc(1)NeuAc/NeuGc(2)</v>
      </c>
      <c r="B178" s="6" t="str">
        <f>'Table of compositions'!G175</f>
        <v>HexNAc(5)(F)(x)</v>
      </c>
    </row>
    <row r="179" spans="1:2" x14ac:dyDescent="0.25">
      <c r="A179" s="6" t="str">
        <f>CONCATENATE(CONCATENATE('Table of compositions'!$A$1,"(",'Table of compositions'!A176,")",'Table of compositions'!$B$1,"(",'Table of compositions'!B176,")"),IF('Table of compositions'!C176=0,"",CONCATENATE('Table of compositions'!C$1,"(",'Table of compositions'!C176,")")),IF('Table of compositions'!D176=0,"",CONCATENATE('Table of compositions'!D$1,"(",'Table of compositions'!D176,")")),IF('Table of compositions'!E176=0,"",CONCATENATE('Table of compositions'!E$1,"(",'Table of compositions'!E176,")")))</f>
        <v>HexNAc(5)Hex(4)Fuc(1)NeuAc/NeuGc(1)</v>
      </c>
      <c r="B179" s="6" t="str">
        <f>'Table of compositions'!G176</f>
        <v>HexNAc(5)(F)(x)</v>
      </c>
    </row>
    <row r="180" spans="1:2" x14ac:dyDescent="0.25">
      <c r="A180" s="6" t="str">
        <f>CONCATENATE(CONCATENATE('Table of compositions'!$A$1,"(",'Table of compositions'!A177,")",'Table of compositions'!$B$1,"(",'Table of compositions'!B177,")"),IF('Table of compositions'!C177=0,"",CONCATENATE('Table of compositions'!C$1,"(",'Table of compositions'!C177,")")),IF('Table of compositions'!D177=0,"",CONCATENATE('Table of compositions'!D$1,"(",'Table of compositions'!D177,")")),IF('Table of compositions'!E177=0,"",CONCATENATE('Table of compositions'!E$1,"(",'Table of compositions'!E177,")")))</f>
        <v>HexNAc(5)Hex(4)Fuc(1)NeuAc/NeuGc(2)</v>
      </c>
      <c r="B180" s="6" t="str">
        <f>'Table of compositions'!G177</f>
        <v>HexNAc(5)(F)(x)</v>
      </c>
    </row>
    <row r="181" spans="1:2" x14ac:dyDescent="0.25">
      <c r="A181" s="6" t="str">
        <f>CONCATENATE(CONCATENATE('Table of compositions'!$A$1,"(",'Table of compositions'!A178,")",'Table of compositions'!$B$1,"(",'Table of compositions'!B178,")"),IF('Table of compositions'!C178=0,"",CONCATENATE('Table of compositions'!C$1,"(",'Table of compositions'!C178,")")),IF('Table of compositions'!D178=0,"",CONCATENATE('Table of compositions'!D$1,"(",'Table of compositions'!D178,")")),IF('Table of compositions'!E178=0,"",CONCATENATE('Table of compositions'!E$1,"(",'Table of compositions'!E178,")")))</f>
        <v>HexNAc(5)Hex(4)Fuc(1)SO4/Phospho(1)</v>
      </c>
      <c r="B181" s="6" t="str">
        <f>'Table of compositions'!G178</f>
        <v>HexNAc(5)(F)(x)</v>
      </c>
    </row>
    <row r="182" spans="1:2" x14ac:dyDescent="0.25">
      <c r="A182" s="6" t="str">
        <f>CONCATENATE(CONCATENATE('Table of compositions'!$A$1,"(",'Table of compositions'!A179,")",'Table of compositions'!$B$1,"(",'Table of compositions'!B179,")"),IF('Table of compositions'!C179=0,"",CONCATENATE('Table of compositions'!C$1,"(",'Table of compositions'!C179,")")),IF('Table of compositions'!D179=0,"",CONCATENATE('Table of compositions'!D$1,"(",'Table of compositions'!D179,")")),IF('Table of compositions'!E179=0,"",CONCATENATE('Table of compositions'!E$1,"(",'Table of compositions'!E179,")")))</f>
        <v>HexNAc(5)Hex(4)Fuc(1)SO4/Phospho(2)</v>
      </c>
      <c r="B182" s="6" t="str">
        <f>'Table of compositions'!G179</f>
        <v>HexNAc(5)(F)(x)</v>
      </c>
    </row>
    <row r="183" spans="1:2" x14ac:dyDescent="0.25">
      <c r="A183" s="6" t="str">
        <f>CONCATENATE(CONCATENATE('Table of compositions'!$A$1,"(",'Table of compositions'!A180,")",'Table of compositions'!$B$1,"(",'Table of compositions'!B180,")"),IF('Table of compositions'!C180=0,"",CONCATENATE('Table of compositions'!C$1,"(",'Table of compositions'!C180,")")),IF('Table of compositions'!D180=0,"",CONCATENATE('Table of compositions'!D$1,"(",'Table of compositions'!D180,")")),IF('Table of compositions'!E180=0,"",CONCATENATE('Table of compositions'!E$1,"(",'Table of compositions'!E180,")")))</f>
        <v>HexNAc(5)Hex(4)Fuc(1)SO4/Phospho(3)</v>
      </c>
      <c r="B183" s="6" t="str">
        <f>'Table of compositions'!G180</f>
        <v>HexNAc(5)(F)(x)</v>
      </c>
    </row>
    <row r="184" spans="1:2" x14ac:dyDescent="0.25">
      <c r="A184" s="6" t="str">
        <f>CONCATENATE(CONCATENATE('Table of compositions'!$A$1,"(",'Table of compositions'!A181,")",'Table of compositions'!$B$1,"(",'Table of compositions'!B181,")"),IF('Table of compositions'!C181=0,"",CONCATENATE('Table of compositions'!C$1,"(",'Table of compositions'!C181,")")),IF('Table of compositions'!D181=0,"",CONCATENATE('Table of compositions'!D$1,"(",'Table of compositions'!D181,")")),IF('Table of compositions'!E181=0,"",CONCATENATE('Table of compositions'!E$1,"(",'Table of compositions'!E181,")")))</f>
        <v>HexNAc(5)Hex(4)Fuc(2)</v>
      </c>
      <c r="B184" s="6" t="str">
        <f>'Table of compositions'!G181</f>
        <v>HexNAc(5)(F)(x)</v>
      </c>
    </row>
    <row r="185" spans="1:2" x14ac:dyDescent="0.25">
      <c r="A185" s="6" t="str">
        <f>CONCATENATE(CONCATENATE('Table of compositions'!$A$1,"(",'Table of compositions'!A182,")",'Table of compositions'!$B$1,"(",'Table of compositions'!B182,")"),IF('Table of compositions'!C182=0,"",CONCATENATE('Table of compositions'!C$1,"(",'Table of compositions'!C182,")")),IF('Table of compositions'!D182=0,"",CONCATENATE('Table of compositions'!D$1,"(",'Table of compositions'!D182,")")),IF('Table of compositions'!E182=0,"",CONCATENATE('Table of compositions'!E$1,"(",'Table of compositions'!E182,")")))</f>
        <v>HexNAc(5)Hex(4)Fuc(2)NeuAc/NeuGc(1)</v>
      </c>
      <c r="B185" s="6" t="str">
        <f>'Table of compositions'!G182</f>
        <v>HexNAc(5)(F)(x)</v>
      </c>
    </row>
    <row r="186" spans="1:2" x14ac:dyDescent="0.25">
      <c r="A186" s="6" t="str">
        <f>CONCATENATE(CONCATENATE('Table of compositions'!$A$1,"(",'Table of compositions'!A183,")",'Table of compositions'!$B$1,"(",'Table of compositions'!B183,")"),IF('Table of compositions'!C183=0,"",CONCATENATE('Table of compositions'!C$1,"(",'Table of compositions'!C183,")")),IF('Table of compositions'!D183=0,"",CONCATENATE('Table of compositions'!D$1,"(",'Table of compositions'!D183,")")),IF('Table of compositions'!E183=0,"",CONCATENATE('Table of compositions'!E$1,"(",'Table of compositions'!E183,")")))</f>
        <v>HexNAc(5)Hex(4)Fuc(2)NeuAc/NeuGc(1)</v>
      </c>
      <c r="B186" s="6" t="str">
        <f>'Table of compositions'!G183</f>
        <v>HexNAc(5)(F)(x)</v>
      </c>
    </row>
    <row r="187" spans="1:2" x14ac:dyDescent="0.25">
      <c r="A187" s="6" t="str">
        <f>CONCATENATE(CONCATENATE('Table of compositions'!$A$1,"(",'Table of compositions'!A184,")",'Table of compositions'!$B$1,"(",'Table of compositions'!B184,")"),IF('Table of compositions'!C184=0,"",CONCATENATE('Table of compositions'!C$1,"(",'Table of compositions'!C184,")")),IF('Table of compositions'!D184=0,"",CONCATENATE('Table of compositions'!D$1,"(",'Table of compositions'!D184,")")),IF('Table of compositions'!E184=0,"",CONCATENATE('Table of compositions'!E$1,"(",'Table of compositions'!E184,")")))</f>
        <v>HexNAc(5)Hex(4)Fuc(2)SO4/Phospho(1)</v>
      </c>
      <c r="B187" s="6" t="str">
        <f>'Table of compositions'!G184</f>
        <v>HexNAc(5)(F)(x)</v>
      </c>
    </row>
    <row r="188" spans="1:2" x14ac:dyDescent="0.25">
      <c r="A188" s="6" t="str">
        <f>CONCATENATE(CONCATENATE('Table of compositions'!$A$1,"(",'Table of compositions'!A185,")",'Table of compositions'!$B$1,"(",'Table of compositions'!B185,")"),IF('Table of compositions'!C185=0,"",CONCATENATE('Table of compositions'!C$1,"(",'Table of compositions'!C185,")")),IF('Table of compositions'!D185=0,"",CONCATENATE('Table of compositions'!D$1,"(",'Table of compositions'!D185,")")),IF('Table of compositions'!E185=0,"",CONCATENATE('Table of compositions'!E$1,"(",'Table of compositions'!E185,")")))</f>
        <v>HexNAc(5)Hex(4)Fuc(2)SO4/Phospho(2)</v>
      </c>
      <c r="B188" s="6" t="str">
        <f>'Table of compositions'!G185</f>
        <v>HexNAc(5)(F)(x)</v>
      </c>
    </row>
    <row r="189" spans="1:2" x14ac:dyDescent="0.25">
      <c r="A189" s="6" t="str">
        <f>CONCATENATE(CONCATENATE('Table of compositions'!$A$1,"(",'Table of compositions'!A186,")",'Table of compositions'!$B$1,"(",'Table of compositions'!B186,")"),IF('Table of compositions'!C186=0,"",CONCATENATE('Table of compositions'!C$1,"(",'Table of compositions'!C186,")")),IF('Table of compositions'!D186=0,"",CONCATENATE('Table of compositions'!D$1,"(",'Table of compositions'!D186,")")),IF('Table of compositions'!E186=0,"",CONCATENATE('Table of compositions'!E$1,"(",'Table of compositions'!E186,")")))</f>
        <v>HexNAc(5)Hex(4)Fuc(2)SO4/Phospho(3)</v>
      </c>
      <c r="B189" s="6" t="str">
        <f>'Table of compositions'!G186</f>
        <v>HexNAc(5)(F)(x)</v>
      </c>
    </row>
    <row r="190" spans="1:2" x14ac:dyDescent="0.25">
      <c r="A190" s="6" t="str">
        <f>CONCATENATE(CONCATENATE('Table of compositions'!$A$1,"(",'Table of compositions'!A187,")",'Table of compositions'!$B$1,"(",'Table of compositions'!B187,")"),IF('Table of compositions'!C187=0,"",CONCATENATE('Table of compositions'!C$1,"(",'Table of compositions'!C187,")")),IF('Table of compositions'!D187=0,"",CONCATENATE('Table of compositions'!D$1,"(",'Table of compositions'!D187,")")),IF('Table of compositions'!E187=0,"",CONCATENATE('Table of compositions'!E$1,"(",'Table of compositions'!E187,")")))</f>
        <v>HexNAc(5)Hex(4)NeuAc/NeuGc(1)</v>
      </c>
      <c r="B190" s="6" t="str">
        <f>'Table of compositions'!G187</f>
        <v>HexNAc(5)(x)</v>
      </c>
    </row>
    <row r="191" spans="1:2" x14ac:dyDescent="0.25">
      <c r="A191" s="6" t="str">
        <f>CONCATENATE(CONCATENATE('Table of compositions'!$A$1,"(",'Table of compositions'!A188,")",'Table of compositions'!$B$1,"(",'Table of compositions'!B188,")"),IF('Table of compositions'!C188=0,"",CONCATENATE('Table of compositions'!C$1,"(",'Table of compositions'!C188,")")),IF('Table of compositions'!D188=0,"",CONCATENATE('Table of compositions'!D$1,"(",'Table of compositions'!D188,")")),IF('Table of compositions'!E188=0,"",CONCATENATE('Table of compositions'!E$1,"(",'Table of compositions'!E188,")")))</f>
        <v>HexNAc(5)Hex(4)NeuAc/NeuGc(2)</v>
      </c>
      <c r="B191" s="6" t="str">
        <f>'Table of compositions'!G188</f>
        <v>HexNAc(5)(x)</v>
      </c>
    </row>
    <row r="192" spans="1:2" x14ac:dyDescent="0.25">
      <c r="A192" s="6" t="str">
        <f>CONCATENATE(CONCATENATE('Table of compositions'!$A$1,"(",'Table of compositions'!A189,")",'Table of compositions'!$B$1,"(",'Table of compositions'!B189,")"),IF('Table of compositions'!C189=0,"",CONCATENATE('Table of compositions'!C$1,"(",'Table of compositions'!C189,")")),IF('Table of compositions'!D189=0,"",CONCATENATE('Table of compositions'!D$1,"(",'Table of compositions'!D189,")")),IF('Table of compositions'!E189=0,"",CONCATENATE('Table of compositions'!E$1,"(",'Table of compositions'!E189,")")))</f>
        <v>HexNAc(5)Hex(4)NeuAc/NeuGc(2)</v>
      </c>
      <c r="B192" s="6" t="str">
        <f>'Table of compositions'!G189</f>
        <v>HexNAc(5)(x)</v>
      </c>
    </row>
    <row r="193" spans="1:2" x14ac:dyDescent="0.25">
      <c r="A193" s="6" t="str">
        <f>CONCATENATE(CONCATENATE('Table of compositions'!$A$1,"(",'Table of compositions'!A190,")",'Table of compositions'!$B$1,"(",'Table of compositions'!B190,")"),IF('Table of compositions'!C190=0,"",CONCATENATE('Table of compositions'!C$1,"(",'Table of compositions'!C190,")")),IF('Table of compositions'!D190=0,"",CONCATENATE('Table of compositions'!D$1,"(",'Table of compositions'!D190,")")),IF('Table of compositions'!E190=0,"",CONCATENATE('Table of compositions'!E$1,"(",'Table of compositions'!E190,")")))</f>
        <v>HexNAc(5)Hex(4)NeuAc/NeuGc(1)</v>
      </c>
      <c r="B193" s="6" t="str">
        <f>'Table of compositions'!G190</f>
        <v>HexNAc(5)(x)</v>
      </c>
    </row>
    <row r="194" spans="1:2" x14ac:dyDescent="0.25">
      <c r="A194" s="6" t="str">
        <f>CONCATENATE(CONCATENATE('Table of compositions'!$A$1,"(",'Table of compositions'!A191,")",'Table of compositions'!$B$1,"(",'Table of compositions'!B191,")"),IF('Table of compositions'!C191=0,"",CONCATENATE('Table of compositions'!C$1,"(",'Table of compositions'!C191,")")),IF('Table of compositions'!D191=0,"",CONCATENATE('Table of compositions'!D$1,"(",'Table of compositions'!D191,")")),IF('Table of compositions'!E191=0,"",CONCATENATE('Table of compositions'!E$1,"(",'Table of compositions'!E191,")")))</f>
        <v>HexNAc(5)Hex(4)NeuAc/NeuGc(2)</v>
      </c>
      <c r="B194" s="6" t="str">
        <f>'Table of compositions'!G191</f>
        <v>HexNAc(5)(x)</v>
      </c>
    </row>
    <row r="195" spans="1:2" x14ac:dyDescent="0.25">
      <c r="A195" s="6" t="str">
        <f>CONCATENATE(CONCATENATE('Table of compositions'!$A$1,"(",'Table of compositions'!A192,")",'Table of compositions'!$B$1,"(",'Table of compositions'!B192,")"),IF('Table of compositions'!C192=0,"",CONCATENATE('Table of compositions'!C$1,"(",'Table of compositions'!C192,")")),IF('Table of compositions'!D192=0,"",CONCATENATE('Table of compositions'!D$1,"(",'Table of compositions'!D192,")")),IF('Table of compositions'!E192=0,"",CONCATENATE('Table of compositions'!E$1,"(",'Table of compositions'!E192,")")))</f>
        <v>HexNAc(5)Hex(4)SO4/Phospho(1)</v>
      </c>
      <c r="B195" s="6" t="str">
        <f>'Table of compositions'!G192</f>
        <v>HexNAc(5)(x)</v>
      </c>
    </row>
    <row r="196" spans="1:2" x14ac:dyDescent="0.25">
      <c r="A196" s="6" t="str">
        <f>CONCATENATE(CONCATENATE('Table of compositions'!$A$1,"(",'Table of compositions'!A193,")",'Table of compositions'!$B$1,"(",'Table of compositions'!B193,")"),IF('Table of compositions'!C193=0,"",CONCATENATE('Table of compositions'!C$1,"(",'Table of compositions'!C193,")")),IF('Table of compositions'!D193=0,"",CONCATENATE('Table of compositions'!D$1,"(",'Table of compositions'!D193,")")),IF('Table of compositions'!E193=0,"",CONCATENATE('Table of compositions'!E$1,"(",'Table of compositions'!E193,")")))</f>
        <v>HexNAc(5)Hex(4)SO4/Phospho(2)</v>
      </c>
      <c r="B196" s="6" t="str">
        <f>'Table of compositions'!G193</f>
        <v>HexNAc(5)(x)</v>
      </c>
    </row>
    <row r="197" spans="1:2" x14ac:dyDescent="0.25">
      <c r="A197" s="6" t="str">
        <f>CONCATENATE(CONCATENATE('Table of compositions'!$A$1,"(",'Table of compositions'!A194,")",'Table of compositions'!$B$1,"(",'Table of compositions'!B194,")"),IF('Table of compositions'!C194=0,"",CONCATENATE('Table of compositions'!C$1,"(",'Table of compositions'!C194,")")),IF('Table of compositions'!D194=0,"",CONCATENATE('Table of compositions'!D$1,"(",'Table of compositions'!D194,")")),IF('Table of compositions'!E194=0,"",CONCATENATE('Table of compositions'!E$1,"(",'Table of compositions'!E194,")")))</f>
        <v>HexNAc(5)Hex(4)SO4/Phospho(3)</v>
      </c>
      <c r="B197" s="6" t="str">
        <f>'Table of compositions'!G194</f>
        <v>HexNAc(5)(x)</v>
      </c>
    </row>
    <row r="198" spans="1:2" x14ac:dyDescent="0.25">
      <c r="A198" s="6" t="str">
        <f>CONCATENATE(CONCATENATE('Table of compositions'!$A$1,"(",'Table of compositions'!A195,")",'Table of compositions'!$B$1,"(",'Table of compositions'!B195,")"),IF('Table of compositions'!C195=0,"",CONCATENATE('Table of compositions'!C$1,"(",'Table of compositions'!C195,")")),IF('Table of compositions'!D195=0,"",CONCATENATE('Table of compositions'!D$1,"(",'Table of compositions'!D195,")")),IF('Table of compositions'!E195=0,"",CONCATENATE('Table of compositions'!E$1,"(",'Table of compositions'!E195,")")))</f>
        <v>HexNAc(5)Hex(5)</v>
      </c>
      <c r="B198" s="6" t="str">
        <f>'Table of compositions'!G195</f>
        <v>HexNAc(5)(x)</v>
      </c>
    </row>
    <row r="199" spans="1:2" x14ac:dyDescent="0.25">
      <c r="A199" s="6" t="str">
        <f>CONCATENATE(CONCATENATE('Table of compositions'!$A$1,"(",'Table of compositions'!A196,")",'Table of compositions'!$B$1,"(",'Table of compositions'!B196,")"),IF('Table of compositions'!C196=0,"",CONCATENATE('Table of compositions'!C$1,"(",'Table of compositions'!C196,")")),IF('Table of compositions'!D196=0,"",CONCATENATE('Table of compositions'!D$1,"(",'Table of compositions'!D196,")")),IF('Table of compositions'!E196=0,"",CONCATENATE('Table of compositions'!E$1,"(",'Table of compositions'!E196,")")))</f>
        <v>HexNAc(5)Hex(5)Fuc(1)</v>
      </c>
      <c r="B199" s="6" t="str">
        <f>'Table of compositions'!G196</f>
        <v>HexNAc(5)(F)(x)</v>
      </c>
    </row>
    <row r="200" spans="1:2" x14ac:dyDescent="0.25">
      <c r="A200" s="6" t="str">
        <f>CONCATENATE(CONCATENATE('Table of compositions'!$A$1,"(",'Table of compositions'!A197,")",'Table of compositions'!$B$1,"(",'Table of compositions'!B197,")"),IF('Table of compositions'!C197=0,"",CONCATENATE('Table of compositions'!C$1,"(",'Table of compositions'!C197,")")),IF('Table of compositions'!D197=0,"",CONCATENATE('Table of compositions'!D$1,"(",'Table of compositions'!D197,")")),IF('Table of compositions'!E197=0,"",CONCATENATE('Table of compositions'!E$1,"(",'Table of compositions'!E197,")")))</f>
        <v>HexNAc(5)Hex(5)Fuc(1)NeuAc/NeuGc(1)</v>
      </c>
      <c r="B200" s="6" t="str">
        <f>'Table of compositions'!G197</f>
        <v>HexNAc(5)(F)(x)</v>
      </c>
    </row>
    <row r="201" spans="1:2" x14ac:dyDescent="0.25">
      <c r="A201" s="6" t="str">
        <f>CONCATENATE(CONCATENATE('Table of compositions'!$A$1,"(",'Table of compositions'!A198,")",'Table of compositions'!$B$1,"(",'Table of compositions'!B198,")"),IF('Table of compositions'!C198=0,"",CONCATENATE('Table of compositions'!C$1,"(",'Table of compositions'!C198,")")),IF('Table of compositions'!D198=0,"",CONCATENATE('Table of compositions'!D$1,"(",'Table of compositions'!D198,")")),IF('Table of compositions'!E198=0,"",CONCATENATE('Table of compositions'!E$1,"(",'Table of compositions'!E198,")")))</f>
        <v>HexNAc(5)Hex(5)Fuc(1)NeuAc/NeuGc(2)</v>
      </c>
      <c r="B201" s="6" t="str">
        <f>'Table of compositions'!G198</f>
        <v>HexNAc(5)(F)(x)</v>
      </c>
    </row>
    <row r="202" spans="1:2" x14ac:dyDescent="0.25">
      <c r="A202" s="6" t="str">
        <f>CONCATENATE(CONCATENATE('Table of compositions'!$A$1,"(",'Table of compositions'!A199,")",'Table of compositions'!$B$1,"(",'Table of compositions'!B199,")"),IF('Table of compositions'!C199=0,"",CONCATENATE('Table of compositions'!C$1,"(",'Table of compositions'!C199,")")),IF('Table of compositions'!D199=0,"",CONCATENATE('Table of compositions'!D$1,"(",'Table of compositions'!D199,")")),IF('Table of compositions'!E199=0,"",CONCATENATE('Table of compositions'!E$1,"(",'Table of compositions'!E199,")")))</f>
        <v>HexNAc(5)Hex(5)Fuc(1)NeuAc/NeuGc(2)</v>
      </c>
      <c r="B202" s="6" t="str">
        <f>'Table of compositions'!G199</f>
        <v>HexNAc(5)(F)(x)</v>
      </c>
    </row>
    <row r="203" spans="1:2" x14ac:dyDescent="0.25">
      <c r="A203" s="6" t="str">
        <f>CONCATENATE(CONCATENATE('Table of compositions'!$A$1,"(",'Table of compositions'!A200,")",'Table of compositions'!$B$1,"(",'Table of compositions'!B200,")"),IF('Table of compositions'!C200=0,"",CONCATENATE('Table of compositions'!C$1,"(",'Table of compositions'!C200,")")),IF('Table of compositions'!D200=0,"",CONCATENATE('Table of compositions'!D$1,"(",'Table of compositions'!D200,")")),IF('Table of compositions'!E200=0,"",CONCATENATE('Table of compositions'!E$1,"(",'Table of compositions'!E200,")")))</f>
        <v>HexNAc(5)Hex(5)Fuc(1)NeuAc/NeuGc(1)</v>
      </c>
      <c r="B203" s="6" t="str">
        <f>'Table of compositions'!G200</f>
        <v>HexNAc(5)(F)(x)</v>
      </c>
    </row>
    <row r="204" spans="1:2" x14ac:dyDescent="0.25">
      <c r="A204" s="6" t="str">
        <f>CONCATENATE(CONCATENATE('Table of compositions'!$A$1,"(",'Table of compositions'!A201,")",'Table of compositions'!$B$1,"(",'Table of compositions'!B201,")"),IF('Table of compositions'!C201=0,"",CONCATENATE('Table of compositions'!C$1,"(",'Table of compositions'!C201,")")),IF('Table of compositions'!D201=0,"",CONCATENATE('Table of compositions'!D$1,"(",'Table of compositions'!D201,")")),IF('Table of compositions'!E201=0,"",CONCATENATE('Table of compositions'!E$1,"(",'Table of compositions'!E201,")")))</f>
        <v>HexNAc(5)Hex(5)Fuc(1)NeuAc/NeuGc(2)</v>
      </c>
      <c r="B204" s="6" t="str">
        <f>'Table of compositions'!G201</f>
        <v>HexNAc(5)(F)(x)</v>
      </c>
    </row>
    <row r="205" spans="1:2" x14ac:dyDescent="0.25">
      <c r="A205" s="6" t="str">
        <f>CONCATENATE(CONCATENATE('Table of compositions'!$A$1,"(",'Table of compositions'!A202,")",'Table of compositions'!$B$1,"(",'Table of compositions'!B202,")"),IF('Table of compositions'!C202=0,"",CONCATENATE('Table of compositions'!C$1,"(",'Table of compositions'!C202,")")),IF('Table of compositions'!D202=0,"",CONCATENATE('Table of compositions'!D$1,"(",'Table of compositions'!D202,")")),IF('Table of compositions'!E202=0,"",CONCATENATE('Table of compositions'!E$1,"(",'Table of compositions'!E202,")")))</f>
        <v>HexNAc(5)Hex(5)Fuc(2)</v>
      </c>
      <c r="B205" s="6" t="str">
        <f>'Table of compositions'!G202</f>
        <v>HexNAc(5)(F)(x)</v>
      </c>
    </row>
    <row r="206" spans="1:2" x14ac:dyDescent="0.25">
      <c r="A206" s="6" t="str">
        <f>CONCATENATE(CONCATENATE('Table of compositions'!$A$1,"(",'Table of compositions'!A203,")",'Table of compositions'!$B$1,"(",'Table of compositions'!B203,")"),IF('Table of compositions'!C203=0,"",CONCATENATE('Table of compositions'!C$1,"(",'Table of compositions'!C203,")")),IF('Table of compositions'!D203=0,"",CONCATENATE('Table of compositions'!D$1,"(",'Table of compositions'!D203,")")),IF('Table of compositions'!E203=0,"",CONCATENATE('Table of compositions'!E$1,"(",'Table of compositions'!E203,")")))</f>
        <v>HexNAc(5)Hex(5)Fuc(2)SO4/Phospho(1)</v>
      </c>
      <c r="B206" s="6" t="str">
        <f>'Table of compositions'!G203</f>
        <v>HexNAc(5)(F)(x)</v>
      </c>
    </row>
    <row r="207" spans="1:2" x14ac:dyDescent="0.25">
      <c r="A207" s="6" t="str">
        <f>CONCATENATE(CONCATENATE('Table of compositions'!$A$1,"(",'Table of compositions'!A204,")",'Table of compositions'!$B$1,"(",'Table of compositions'!B204,")"),IF('Table of compositions'!C204=0,"",CONCATENATE('Table of compositions'!C$1,"(",'Table of compositions'!C204,")")),IF('Table of compositions'!D204=0,"",CONCATENATE('Table of compositions'!D$1,"(",'Table of compositions'!D204,")")),IF('Table of compositions'!E204=0,"",CONCATENATE('Table of compositions'!E$1,"(",'Table of compositions'!E204,")")))</f>
        <v>HexNAc(5)Hex(5)Fuc(2)SO4/Phospho(2)</v>
      </c>
      <c r="B207" s="6" t="str">
        <f>'Table of compositions'!G204</f>
        <v>HexNAc(5)(F)(x)</v>
      </c>
    </row>
    <row r="208" spans="1:2" x14ac:dyDescent="0.25">
      <c r="A208" s="6" t="str">
        <f>CONCATENATE(CONCATENATE('Table of compositions'!$A$1,"(",'Table of compositions'!A205,")",'Table of compositions'!$B$1,"(",'Table of compositions'!B205,")"),IF('Table of compositions'!C205=0,"",CONCATENATE('Table of compositions'!C$1,"(",'Table of compositions'!C205,")")),IF('Table of compositions'!D205=0,"",CONCATENATE('Table of compositions'!D$1,"(",'Table of compositions'!D205,")")),IF('Table of compositions'!E205=0,"",CONCATENATE('Table of compositions'!E$1,"(",'Table of compositions'!E205,")")))</f>
        <v>HexNAc(5)Hex(5)Fuc(2)SO4/Phospho(3)</v>
      </c>
      <c r="B208" s="6" t="str">
        <f>'Table of compositions'!G205</f>
        <v>HexNAc(5)(F)(x)</v>
      </c>
    </row>
    <row r="209" spans="1:2" x14ac:dyDescent="0.25">
      <c r="A209" s="6" t="str">
        <f>CONCATENATE(CONCATENATE('Table of compositions'!$A$1,"(",'Table of compositions'!A206,")",'Table of compositions'!$B$1,"(",'Table of compositions'!B206,")"),IF('Table of compositions'!C206=0,"",CONCATENATE('Table of compositions'!C$1,"(",'Table of compositions'!C206,")")),IF('Table of compositions'!D206=0,"",CONCATENATE('Table of compositions'!D$1,"(",'Table of compositions'!D206,")")),IF('Table of compositions'!E206=0,"",CONCATENATE('Table of compositions'!E$1,"(",'Table of compositions'!E206,")")))</f>
        <v>HexNAc(5)Hex(5)Fuc(3)</v>
      </c>
      <c r="B209" s="6" t="str">
        <f>'Table of compositions'!G206</f>
        <v>HexNAc(5)(F)(x)</v>
      </c>
    </row>
    <row r="210" spans="1:2" x14ac:dyDescent="0.25">
      <c r="A210" s="6" t="str">
        <f>CONCATENATE(CONCATENATE('Table of compositions'!$A$1,"(",'Table of compositions'!A207,")",'Table of compositions'!$B$1,"(",'Table of compositions'!B207,")"),IF('Table of compositions'!C207=0,"",CONCATENATE('Table of compositions'!C$1,"(",'Table of compositions'!C207,")")),IF('Table of compositions'!D207=0,"",CONCATENATE('Table of compositions'!D$1,"(",'Table of compositions'!D207,")")),IF('Table of compositions'!E207=0,"",CONCATENATE('Table of compositions'!E$1,"(",'Table of compositions'!E207,")")))</f>
        <v>HexNAc(5)Hex(5)NeuAc/NeuGc(1)</v>
      </c>
      <c r="B210" s="6" t="str">
        <f>'Table of compositions'!G207</f>
        <v>HexNAc(5)(x)</v>
      </c>
    </row>
    <row r="211" spans="1:2" x14ac:dyDescent="0.25">
      <c r="A211" s="6" t="str">
        <f>CONCATENATE(CONCATENATE('Table of compositions'!$A$1,"(",'Table of compositions'!A208,")",'Table of compositions'!$B$1,"(",'Table of compositions'!B208,")"),IF('Table of compositions'!C208=0,"",CONCATENATE('Table of compositions'!C$1,"(",'Table of compositions'!C208,")")),IF('Table of compositions'!D208=0,"",CONCATENATE('Table of compositions'!D$1,"(",'Table of compositions'!D208,")")),IF('Table of compositions'!E208=0,"",CONCATENATE('Table of compositions'!E$1,"(",'Table of compositions'!E208,")")))</f>
        <v>HexNAc(5)Hex(5)NeuAc/NeuGc(2)</v>
      </c>
      <c r="B211" s="6" t="str">
        <f>'Table of compositions'!G208</f>
        <v>HexNAc(5)(x)</v>
      </c>
    </row>
    <row r="212" spans="1:2" x14ac:dyDescent="0.25">
      <c r="A212" s="6" t="str">
        <f>CONCATENATE(CONCATENATE('Table of compositions'!$A$1,"(",'Table of compositions'!A209,")",'Table of compositions'!$B$1,"(",'Table of compositions'!B209,")"),IF('Table of compositions'!C209=0,"",CONCATENATE('Table of compositions'!C$1,"(",'Table of compositions'!C209,")")),IF('Table of compositions'!D209=0,"",CONCATENATE('Table of compositions'!D$1,"(",'Table of compositions'!D209,")")),IF('Table of compositions'!E209=0,"",CONCATENATE('Table of compositions'!E$1,"(",'Table of compositions'!E209,")")))</f>
        <v>HexNAc(5)Hex(5)NeuAc/NeuGc(1)SO4/Phospho(1)</v>
      </c>
      <c r="B212" s="6" t="str">
        <f>'Table of compositions'!G209</f>
        <v>HexNAc(5)(x)</v>
      </c>
    </row>
    <row r="213" spans="1:2" x14ac:dyDescent="0.25">
      <c r="A213" s="6" t="str">
        <f>CONCATENATE(CONCATENATE('Table of compositions'!$A$1,"(",'Table of compositions'!A210,")",'Table of compositions'!$B$1,"(",'Table of compositions'!B210,")"),IF('Table of compositions'!C210=0,"",CONCATENATE('Table of compositions'!C$1,"(",'Table of compositions'!C210,")")),IF('Table of compositions'!D210=0,"",CONCATENATE('Table of compositions'!D$1,"(",'Table of compositions'!D210,")")),IF('Table of compositions'!E210=0,"",CONCATENATE('Table of compositions'!E$1,"(",'Table of compositions'!E210,")")))</f>
        <v>HexNAc(5)Hex(5)NeuAc/NeuGc(1)SO4/Phospho(2)</v>
      </c>
      <c r="B213" s="6" t="str">
        <f>'Table of compositions'!G210</f>
        <v>HexNAc(5)(x)</v>
      </c>
    </row>
    <row r="214" spans="1:2" x14ac:dyDescent="0.25">
      <c r="A214" s="6" t="str">
        <f>CONCATENATE(CONCATENATE('Table of compositions'!$A$1,"(",'Table of compositions'!A211,")",'Table of compositions'!$B$1,"(",'Table of compositions'!B211,")"),IF('Table of compositions'!C211=0,"",CONCATENATE('Table of compositions'!C$1,"(",'Table of compositions'!C211,")")),IF('Table of compositions'!D211=0,"",CONCATENATE('Table of compositions'!D$1,"(",'Table of compositions'!D211,")")),IF('Table of compositions'!E211=0,"",CONCATENATE('Table of compositions'!E$1,"(",'Table of compositions'!E211,")")))</f>
        <v>HexNAc(5)Hex(5)NeuAc/NeuGc(1)SO4/Phospho(3)</v>
      </c>
      <c r="B214" s="6" t="str">
        <f>'Table of compositions'!G211</f>
        <v>HexNAc(5)(x)</v>
      </c>
    </row>
    <row r="215" spans="1:2" x14ac:dyDescent="0.25">
      <c r="A215" s="6" t="str">
        <f>CONCATENATE(CONCATENATE('Table of compositions'!$A$1,"(",'Table of compositions'!A212,")",'Table of compositions'!$B$1,"(",'Table of compositions'!B212,")"),IF('Table of compositions'!C212=0,"",CONCATENATE('Table of compositions'!C$1,"(",'Table of compositions'!C212,")")),IF('Table of compositions'!D212=0,"",CONCATENATE('Table of compositions'!D$1,"(",'Table of compositions'!D212,")")),IF('Table of compositions'!E212=0,"",CONCATENATE('Table of compositions'!E$1,"(",'Table of compositions'!E212,")")))</f>
        <v>HexNAc(5)Hex(5)NeuAc/NeuGc(2)</v>
      </c>
      <c r="B215" s="6" t="str">
        <f>'Table of compositions'!G212</f>
        <v>HexNAc(5)(x)</v>
      </c>
    </row>
    <row r="216" spans="1:2" x14ac:dyDescent="0.25">
      <c r="A216" s="6" t="str">
        <f>CONCATENATE(CONCATENATE('Table of compositions'!$A$1,"(",'Table of compositions'!A213,")",'Table of compositions'!$B$1,"(",'Table of compositions'!B213,")"),IF('Table of compositions'!C213=0,"",CONCATENATE('Table of compositions'!C$1,"(",'Table of compositions'!C213,")")),IF('Table of compositions'!D213=0,"",CONCATENATE('Table of compositions'!D$1,"(",'Table of compositions'!D213,")")),IF('Table of compositions'!E213=0,"",CONCATENATE('Table of compositions'!E$1,"(",'Table of compositions'!E213,")")))</f>
        <v>HexNAc(5)Hex(5)NeuAc/NeuGc(1)</v>
      </c>
      <c r="B216" s="6" t="str">
        <f>'Table of compositions'!G213</f>
        <v>HexNAc(5)(x)</v>
      </c>
    </row>
    <row r="217" spans="1:2" x14ac:dyDescent="0.25">
      <c r="A217" s="6" t="str">
        <f>CONCATENATE(CONCATENATE('Table of compositions'!$A$1,"(",'Table of compositions'!A214,")",'Table of compositions'!$B$1,"(",'Table of compositions'!B214,")"),IF('Table of compositions'!C214=0,"",CONCATENATE('Table of compositions'!C$1,"(",'Table of compositions'!C214,")")),IF('Table of compositions'!D214=0,"",CONCATENATE('Table of compositions'!D$1,"(",'Table of compositions'!D214,")")),IF('Table of compositions'!E214=0,"",CONCATENATE('Table of compositions'!E$1,"(",'Table of compositions'!E214,")")))</f>
        <v>HexNAc(5)Hex(5)NeuAc/NeuGc(2)</v>
      </c>
      <c r="B217" s="6" t="str">
        <f>'Table of compositions'!G214</f>
        <v>HexNAc(5)(x)</v>
      </c>
    </row>
    <row r="218" spans="1:2" x14ac:dyDescent="0.25">
      <c r="A218" s="6" t="str">
        <f>CONCATENATE(CONCATENATE('Table of compositions'!$A$1,"(",'Table of compositions'!A215,")",'Table of compositions'!$B$1,"(",'Table of compositions'!B215,")"),IF('Table of compositions'!C215=0,"",CONCATENATE('Table of compositions'!C$1,"(",'Table of compositions'!C215,")")),IF('Table of compositions'!D215=0,"",CONCATENATE('Table of compositions'!D$1,"(",'Table of compositions'!D215,")")),IF('Table of compositions'!E215=0,"",CONCATENATE('Table of compositions'!E$1,"(",'Table of compositions'!E215,")")))</f>
        <v>HexNAc(5)Hex(6)</v>
      </c>
      <c r="B218" s="6" t="str">
        <f>'Table of compositions'!G215</f>
        <v>HexNAc(5)(x)</v>
      </c>
    </row>
    <row r="219" spans="1:2" x14ac:dyDescent="0.25">
      <c r="A219" s="6" t="str">
        <f>CONCATENATE(CONCATENATE('Table of compositions'!$A$1,"(",'Table of compositions'!A216,")",'Table of compositions'!$B$1,"(",'Table of compositions'!B216,")"),IF('Table of compositions'!C216=0,"",CONCATENATE('Table of compositions'!C$1,"(",'Table of compositions'!C216,")")),IF('Table of compositions'!D216=0,"",CONCATENATE('Table of compositions'!D$1,"(",'Table of compositions'!D216,")")),IF('Table of compositions'!E216=0,"",CONCATENATE('Table of compositions'!E$1,"(",'Table of compositions'!E216,")")))</f>
        <v>HexNAc(5)Hex(6)Fuc(1)</v>
      </c>
      <c r="B219" s="6" t="str">
        <f>'Table of compositions'!G216</f>
        <v>HexNAc(5)(F)(x)</v>
      </c>
    </row>
    <row r="220" spans="1:2" x14ac:dyDescent="0.25">
      <c r="A220" s="6" t="str">
        <f>CONCATENATE(CONCATENATE('Table of compositions'!$A$1,"(",'Table of compositions'!A217,")",'Table of compositions'!$B$1,"(",'Table of compositions'!B217,")"),IF('Table of compositions'!C217=0,"",CONCATENATE('Table of compositions'!C$1,"(",'Table of compositions'!C217,")")),IF('Table of compositions'!D217=0,"",CONCATENATE('Table of compositions'!D$1,"(",'Table of compositions'!D217,")")),IF('Table of compositions'!E217=0,"",CONCATENATE('Table of compositions'!E$1,"(",'Table of compositions'!E217,")")))</f>
        <v>HexNAc(5)Hex(6)Fuc(1)NeuAc/NeuGc(1)</v>
      </c>
      <c r="B220" s="6" t="str">
        <f>'Table of compositions'!G217</f>
        <v>HexNAc(5)(F)(x)</v>
      </c>
    </row>
    <row r="221" spans="1:2" x14ac:dyDescent="0.25">
      <c r="A221" s="6" t="str">
        <f>CONCATENATE(CONCATENATE('Table of compositions'!$A$1,"(",'Table of compositions'!A218,")",'Table of compositions'!$B$1,"(",'Table of compositions'!B218,")"),IF('Table of compositions'!C218=0,"",CONCATENATE('Table of compositions'!C$1,"(",'Table of compositions'!C218,")")),IF('Table of compositions'!D218=0,"",CONCATENATE('Table of compositions'!D$1,"(",'Table of compositions'!D218,")")),IF('Table of compositions'!E218=0,"",CONCATENATE('Table of compositions'!E$1,"(",'Table of compositions'!E218,")")))</f>
        <v>HexNAc(5)Hex(6)Fuc(1)NeuAc/NeuGc(2)</v>
      </c>
      <c r="B221" s="6" t="str">
        <f>'Table of compositions'!G218</f>
        <v>HexNAc(5)(F)(x)</v>
      </c>
    </row>
    <row r="222" spans="1:2" x14ac:dyDescent="0.25">
      <c r="A222" s="6" t="str">
        <f>CONCATENATE(CONCATENATE('Table of compositions'!$A$1,"(",'Table of compositions'!A219,")",'Table of compositions'!$B$1,"(",'Table of compositions'!B219,")"),IF('Table of compositions'!C219=0,"",CONCATENATE('Table of compositions'!C$1,"(",'Table of compositions'!C219,")")),IF('Table of compositions'!D219=0,"",CONCATENATE('Table of compositions'!D$1,"(",'Table of compositions'!D219,")")),IF('Table of compositions'!E219=0,"",CONCATENATE('Table of compositions'!E$1,"(",'Table of compositions'!E219,")")))</f>
        <v>HexNAc(5)Hex(6)Fuc(1)NeuAc/NeuGc(3)</v>
      </c>
      <c r="B222" s="6" t="str">
        <f>'Table of compositions'!G219</f>
        <v>HexNAc(5)(F)(x)</v>
      </c>
    </row>
    <row r="223" spans="1:2" x14ac:dyDescent="0.25">
      <c r="A223" s="6" t="str">
        <f>CONCATENATE(CONCATENATE('Table of compositions'!$A$1,"(",'Table of compositions'!A220,")",'Table of compositions'!$B$1,"(",'Table of compositions'!B220,")"),IF('Table of compositions'!C220=0,"",CONCATENATE('Table of compositions'!C$1,"(",'Table of compositions'!C220,")")),IF('Table of compositions'!D220=0,"",CONCATENATE('Table of compositions'!D$1,"(",'Table of compositions'!D220,")")),IF('Table of compositions'!E220=0,"",CONCATENATE('Table of compositions'!E$1,"(",'Table of compositions'!E220,")")))</f>
        <v>HexNAc(5)Hex(6)Fuc(1)NeuAc/NeuGc(2)</v>
      </c>
      <c r="B223" s="6" t="str">
        <f>'Table of compositions'!G220</f>
        <v>HexNAc(5)(F)(x)</v>
      </c>
    </row>
    <row r="224" spans="1:2" x14ac:dyDescent="0.25">
      <c r="A224" s="6" t="str">
        <f>CONCATENATE(CONCATENATE('Table of compositions'!$A$1,"(",'Table of compositions'!A221,")",'Table of compositions'!$B$1,"(",'Table of compositions'!B221,")"),IF('Table of compositions'!C221=0,"",CONCATENATE('Table of compositions'!C$1,"(",'Table of compositions'!C221,")")),IF('Table of compositions'!D221=0,"",CONCATENATE('Table of compositions'!D$1,"(",'Table of compositions'!D221,")")),IF('Table of compositions'!E221=0,"",CONCATENATE('Table of compositions'!E$1,"(",'Table of compositions'!E221,")")))</f>
        <v>HexNAc(5)Hex(6)Fuc(1)NeuAc/NeuGc(3)</v>
      </c>
      <c r="B224" s="6" t="str">
        <f>'Table of compositions'!G221</f>
        <v>HexNAc(5)(F)(x)</v>
      </c>
    </row>
    <row r="225" spans="1:2" x14ac:dyDescent="0.25">
      <c r="A225" s="6" t="str">
        <f>CONCATENATE(CONCATENATE('Table of compositions'!$A$1,"(",'Table of compositions'!A222,")",'Table of compositions'!$B$1,"(",'Table of compositions'!B222,")"),IF('Table of compositions'!C222=0,"",CONCATENATE('Table of compositions'!C$1,"(",'Table of compositions'!C222,")")),IF('Table of compositions'!D222=0,"",CONCATENATE('Table of compositions'!D$1,"(",'Table of compositions'!D222,")")),IF('Table of compositions'!E222=0,"",CONCATENATE('Table of compositions'!E$1,"(",'Table of compositions'!E222,")")))</f>
        <v>HexNAc(5)Hex(6)Fuc(1)NeuAc/NeuGc(3)</v>
      </c>
      <c r="B225" s="6" t="str">
        <f>'Table of compositions'!G222</f>
        <v>HexNAc(5)(F)(x)</v>
      </c>
    </row>
    <row r="226" spans="1:2" x14ac:dyDescent="0.25">
      <c r="A226" s="6" t="str">
        <f>CONCATENATE(CONCATENATE('Table of compositions'!$A$1,"(",'Table of compositions'!A223,")",'Table of compositions'!$B$1,"(",'Table of compositions'!B223,")"),IF('Table of compositions'!C223=0,"",CONCATENATE('Table of compositions'!C$1,"(",'Table of compositions'!C223,")")),IF('Table of compositions'!D223=0,"",CONCATENATE('Table of compositions'!D$1,"(",'Table of compositions'!D223,")")),IF('Table of compositions'!E223=0,"",CONCATENATE('Table of compositions'!E$1,"(",'Table of compositions'!E223,")")))</f>
        <v>HexNAc(5)Hex(6)Fuc(1)NeuAc/NeuGc(1)</v>
      </c>
      <c r="B226" s="6" t="str">
        <f>'Table of compositions'!G223</f>
        <v>HexNAc(5)(F)(x)</v>
      </c>
    </row>
    <row r="227" spans="1:2" x14ac:dyDescent="0.25">
      <c r="A227" s="6" t="str">
        <f>CONCATENATE(CONCATENATE('Table of compositions'!$A$1,"(",'Table of compositions'!A224,")",'Table of compositions'!$B$1,"(",'Table of compositions'!B224,")"),IF('Table of compositions'!C224=0,"",CONCATENATE('Table of compositions'!C$1,"(",'Table of compositions'!C224,")")),IF('Table of compositions'!D224=0,"",CONCATENATE('Table of compositions'!D$1,"(",'Table of compositions'!D224,")")),IF('Table of compositions'!E224=0,"",CONCATENATE('Table of compositions'!E$1,"(",'Table of compositions'!E224,")")))</f>
        <v>HexNAc(5)Hex(6)Fuc(1)NeuAc/NeuGc(2)</v>
      </c>
      <c r="B227" s="6" t="str">
        <f>'Table of compositions'!G224</f>
        <v>HexNAc(5)(F)(x)</v>
      </c>
    </row>
    <row r="228" spans="1:2" x14ac:dyDescent="0.25">
      <c r="A228" s="6" t="str">
        <f>CONCATENATE(CONCATENATE('Table of compositions'!$A$1,"(",'Table of compositions'!A225,")",'Table of compositions'!$B$1,"(",'Table of compositions'!B225,")"),IF('Table of compositions'!C225=0,"",CONCATENATE('Table of compositions'!C$1,"(",'Table of compositions'!C225,")")),IF('Table of compositions'!D225=0,"",CONCATENATE('Table of compositions'!D$1,"(",'Table of compositions'!D225,")")),IF('Table of compositions'!E225=0,"",CONCATENATE('Table of compositions'!E$1,"(",'Table of compositions'!E225,")")))</f>
        <v>HexNAc(5)Hex(6)Fuc(1)NeuAc/NeuGc(3)</v>
      </c>
      <c r="B228" s="6" t="str">
        <f>'Table of compositions'!G225</f>
        <v>HexNAc(5)(F)(x)</v>
      </c>
    </row>
    <row r="229" spans="1:2" x14ac:dyDescent="0.25">
      <c r="A229" s="6" t="str">
        <f>CONCATENATE(CONCATENATE('Table of compositions'!$A$1,"(",'Table of compositions'!A226,")",'Table of compositions'!$B$1,"(",'Table of compositions'!B226,")"),IF('Table of compositions'!C226=0,"",CONCATENATE('Table of compositions'!C$1,"(",'Table of compositions'!C226,")")),IF('Table of compositions'!D226=0,"",CONCATENATE('Table of compositions'!D$1,"(",'Table of compositions'!D226,")")),IF('Table of compositions'!E226=0,"",CONCATENATE('Table of compositions'!E$1,"(",'Table of compositions'!E226,")")))</f>
        <v>HexNAc(5)Hex(6)Fuc(2)</v>
      </c>
      <c r="B229" s="6" t="str">
        <f>'Table of compositions'!G226</f>
        <v>HexNAc(5)(F)(x)</v>
      </c>
    </row>
    <row r="230" spans="1:2" x14ac:dyDescent="0.25">
      <c r="A230" s="6" t="str">
        <f>CONCATENATE(CONCATENATE('Table of compositions'!$A$1,"(",'Table of compositions'!A227,")",'Table of compositions'!$B$1,"(",'Table of compositions'!B227,")"),IF('Table of compositions'!C227=0,"",CONCATENATE('Table of compositions'!C$1,"(",'Table of compositions'!C227,")")),IF('Table of compositions'!D227=0,"",CONCATENATE('Table of compositions'!D$1,"(",'Table of compositions'!D227,")")),IF('Table of compositions'!E227=0,"",CONCATENATE('Table of compositions'!E$1,"(",'Table of compositions'!E227,")")))</f>
        <v>HexNAc(5)Hex(6)Fuc(2)NeuAc/NeuGc(1)</v>
      </c>
      <c r="B230" s="6" t="str">
        <f>'Table of compositions'!G227</f>
        <v>HexNAc(5)(F)(x)</v>
      </c>
    </row>
    <row r="231" spans="1:2" x14ac:dyDescent="0.25">
      <c r="A231" s="6" t="str">
        <f>CONCATENATE(CONCATENATE('Table of compositions'!$A$1,"(",'Table of compositions'!A228,")",'Table of compositions'!$B$1,"(",'Table of compositions'!B228,")"),IF('Table of compositions'!C228=0,"",CONCATENATE('Table of compositions'!C$1,"(",'Table of compositions'!C228,")")),IF('Table of compositions'!D228=0,"",CONCATENATE('Table of compositions'!D$1,"(",'Table of compositions'!D228,")")),IF('Table of compositions'!E228=0,"",CONCATENATE('Table of compositions'!E$1,"(",'Table of compositions'!E228,")")))</f>
        <v>HexNAc(5)Hex(6)Fuc(2)NeuAc/NeuGc(1)</v>
      </c>
      <c r="B231" s="6" t="str">
        <f>'Table of compositions'!G228</f>
        <v>HexNAc(5)(F)(x)</v>
      </c>
    </row>
    <row r="232" spans="1:2" x14ac:dyDescent="0.25">
      <c r="A232" s="6" t="str">
        <f>CONCATENATE(CONCATENATE('Table of compositions'!$A$1,"(",'Table of compositions'!A229,")",'Table of compositions'!$B$1,"(",'Table of compositions'!B229,")"),IF('Table of compositions'!C229=0,"",CONCATENATE('Table of compositions'!C$1,"(",'Table of compositions'!C229,")")),IF('Table of compositions'!D229=0,"",CONCATENATE('Table of compositions'!D$1,"(",'Table of compositions'!D229,")")),IF('Table of compositions'!E229=0,"",CONCATENATE('Table of compositions'!E$1,"(",'Table of compositions'!E229,")")))</f>
        <v>HexNAc(5)Hex(6)Fuc(3)</v>
      </c>
      <c r="B232" s="6" t="str">
        <f>'Table of compositions'!G229</f>
        <v>HexNAc(5)(F)(x)</v>
      </c>
    </row>
    <row r="233" spans="1:2" x14ac:dyDescent="0.25">
      <c r="A233" s="6" t="str">
        <f>CONCATENATE(CONCATENATE('Table of compositions'!$A$1,"(",'Table of compositions'!A230,")",'Table of compositions'!$B$1,"(",'Table of compositions'!B230,")"),IF('Table of compositions'!C230=0,"",CONCATENATE('Table of compositions'!C$1,"(",'Table of compositions'!C230,")")),IF('Table of compositions'!D230=0,"",CONCATENATE('Table of compositions'!D$1,"(",'Table of compositions'!D230,")")),IF('Table of compositions'!E230=0,"",CONCATENATE('Table of compositions'!E$1,"(",'Table of compositions'!E230,")")))</f>
        <v>HexNAc(5)Hex(6)Fuc(3)NeuAc/NeuGc(1)</v>
      </c>
      <c r="B233" s="6" t="str">
        <f>'Table of compositions'!G230</f>
        <v>HexNAc(5)(F)(x)</v>
      </c>
    </row>
    <row r="234" spans="1:2" x14ac:dyDescent="0.25">
      <c r="A234" s="6" t="str">
        <f>CONCATENATE(CONCATENATE('Table of compositions'!$A$1,"(",'Table of compositions'!A231,")",'Table of compositions'!$B$1,"(",'Table of compositions'!B231,")"),IF('Table of compositions'!C231=0,"",CONCATENATE('Table of compositions'!C$1,"(",'Table of compositions'!C231,")")),IF('Table of compositions'!D231=0,"",CONCATENATE('Table of compositions'!D$1,"(",'Table of compositions'!D231,")")),IF('Table of compositions'!E231=0,"",CONCATENATE('Table of compositions'!E$1,"(",'Table of compositions'!E231,")")))</f>
        <v>HexNAc(5)Hex(6)Fuc(3)NeuAc/NeuGc(1)</v>
      </c>
      <c r="B234" s="6" t="str">
        <f>'Table of compositions'!G231</f>
        <v>HexNAc(5)(F)(x)</v>
      </c>
    </row>
    <row r="235" spans="1:2" x14ac:dyDescent="0.25">
      <c r="A235" s="6" t="str">
        <f>CONCATENATE(CONCATENATE('Table of compositions'!$A$1,"(",'Table of compositions'!A232,")",'Table of compositions'!$B$1,"(",'Table of compositions'!B232,")"),IF('Table of compositions'!C232=0,"",CONCATENATE('Table of compositions'!C$1,"(",'Table of compositions'!C232,")")),IF('Table of compositions'!D232=0,"",CONCATENATE('Table of compositions'!D$1,"(",'Table of compositions'!D232,")")),IF('Table of compositions'!E232=0,"",CONCATENATE('Table of compositions'!E$1,"(",'Table of compositions'!E232,")")))</f>
        <v>HexNAc(5)Hex(6)NeuAc/NeuGc(1)</v>
      </c>
      <c r="B235" s="6" t="str">
        <f>'Table of compositions'!G232</f>
        <v>HexNAc(5)(x)</v>
      </c>
    </row>
    <row r="236" spans="1:2" x14ac:dyDescent="0.25">
      <c r="A236" s="6" t="str">
        <f>CONCATENATE(CONCATENATE('Table of compositions'!$A$1,"(",'Table of compositions'!A233,")",'Table of compositions'!$B$1,"(",'Table of compositions'!B233,")"),IF('Table of compositions'!C233=0,"",CONCATENATE('Table of compositions'!C$1,"(",'Table of compositions'!C233,")")),IF('Table of compositions'!D233=0,"",CONCATENATE('Table of compositions'!D$1,"(",'Table of compositions'!D233,")")),IF('Table of compositions'!E233=0,"",CONCATENATE('Table of compositions'!E$1,"(",'Table of compositions'!E233,")")))</f>
        <v>HexNAc(5)Hex(6)NeuAc/NeuGc(2)</v>
      </c>
      <c r="B236" s="6" t="str">
        <f>'Table of compositions'!G233</f>
        <v>HexNAc(5)(x)</v>
      </c>
    </row>
    <row r="237" spans="1:2" x14ac:dyDescent="0.25">
      <c r="A237" s="6" t="str">
        <f>CONCATENATE(CONCATENATE('Table of compositions'!$A$1,"(",'Table of compositions'!A234,")",'Table of compositions'!$B$1,"(",'Table of compositions'!B234,")"),IF('Table of compositions'!C234=0,"",CONCATENATE('Table of compositions'!C$1,"(",'Table of compositions'!C234,")")),IF('Table of compositions'!D234=0,"",CONCATENATE('Table of compositions'!D$1,"(",'Table of compositions'!D234,")")),IF('Table of compositions'!E234=0,"",CONCATENATE('Table of compositions'!E$1,"(",'Table of compositions'!E234,")")))</f>
        <v>HexNAc(5)Hex(6)NeuAc/NeuGc(3)</v>
      </c>
      <c r="B237" s="6" t="str">
        <f>'Table of compositions'!G234</f>
        <v>HexNAc(5)(x)</v>
      </c>
    </row>
    <row r="238" spans="1:2" x14ac:dyDescent="0.25">
      <c r="A238" s="6" t="str">
        <f>CONCATENATE(CONCATENATE('Table of compositions'!$A$1,"(",'Table of compositions'!A235,")",'Table of compositions'!$B$1,"(",'Table of compositions'!B235,")"),IF('Table of compositions'!C235=0,"",CONCATENATE('Table of compositions'!C$1,"(",'Table of compositions'!C235,")")),IF('Table of compositions'!D235=0,"",CONCATENATE('Table of compositions'!D$1,"(",'Table of compositions'!D235,")")),IF('Table of compositions'!E235=0,"",CONCATENATE('Table of compositions'!E$1,"(",'Table of compositions'!E235,")")))</f>
        <v>HexNAc(5)Hex(6)NeuAc/NeuGc(2)</v>
      </c>
      <c r="B238" s="6" t="str">
        <f>'Table of compositions'!G235</f>
        <v>HexNAc(5)(x)</v>
      </c>
    </row>
    <row r="239" spans="1:2" x14ac:dyDescent="0.25">
      <c r="A239" s="6" t="str">
        <f>CONCATENATE(CONCATENATE('Table of compositions'!$A$1,"(",'Table of compositions'!A236,")",'Table of compositions'!$B$1,"(",'Table of compositions'!B236,")"),IF('Table of compositions'!C236=0,"",CONCATENATE('Table of compositions'!C$1,"(",'Table of compositions'!C236,")")),IF('Table of compositions'!D236=0,"",CONCATENATE('Table of compositions'!D$1,"(",'Table of compositions'!D236,")")),IF('Table of compositions'!E236=0,"",CONCATENATE('Table of compositions'!E$1,"(",'Table of compositions'!E236,")")))</f>
        <v>HexNAc(5)Hex(6)NeuAc/NeuGc(3)</v>
      </c>
      <c r="B239" s="6" t="str">
        <f>'Table of compositions'!G236</f>
        <v>HexNAc(5)(x)</v>
      </c>
    </row>
    <row r="240" spans="1:2" x14ac:dyDescent="0.25">
      <c r="A240" s="6" t="str">
        <f>CONCATENATE(CONCATENATE('Table of compositions'!$A$1,"(",'Table of compositions'!A237,")",'Table of compositions'!$B$1,"(",'Table of compositions'!B237,")"),IF('Table of compositions'!C237=0,"",CONCATENATE('Table of compositions'!C$1,"(",'Table of compositions'!C237,")")),IF('Table of compositions'!D237=0,"",CONCATENATE('Table of compositions'!D$1,"(",'Table of compositions'!D237,")")),IF('Table of compositions'!E237=0,"",CONCATENATE('Table of compositions'!E$1,"(",'Table of compositions'!E237,")")))</f>
        <v>HexNAc(5)Hex(6)NeuAc/NeuGc(3)</v>
      </c>
      <c r="B240" s="6" t="str">
        <f>'Table of compositions'!G237</f>
        <v>HexNAc(5)(x)</v>
      </c>
    </row>
    <row r="241" spans="1:2" x14ac:dyDescent="0.25">
      <c r="A241" s="6" t="str">
        <f>CONCATENATE(CONCATENATE('Table of compositions'!$A$1,"(",'Table of compositions'!A238,")",'Table of compositions'!$B$1,"(",'Table of compositions'!B238,")"),IF('Table of compositions'!C238=0,"",CONCATENATE('Table of compositions'!C$1,"(",'Table of compositions'!C238,")")),IF('Table of compositions'!D238=0,"",CONCATENATE('Table of compositions'!D$1,"(",'Table of compositions'!D238,")")),IF('Table of compositions'!E238=0,"",CONCATENATE('Table of compositions'!E$1,"(",'Table of compositions'!E238,")")))</f>
        <v>HexNAc(5)Hex(6)NeuAc/NeuGc(3)SO4/Phospho(1)</v>
      </c>
      <c r="B241" s="6" t="str">
        <f>'Table of compositions'!G238</f>
        <v>HexNAc(5)(x)</v>
      </c>
    </row>
    <row r="242" spans="1:2" x14ac:dyDescent="0.25">
      <c r="A242" s="6" t="str">
        <f>CONCATENATE(CONCATENATE('Table of compositions'!$A$1,"(",'Table of compositions'!A239,")",'Table of compositions'!$B$1,"(",'Table of compositions'!B239,")"),IF('Table of compositions'!C239=0,"",CONCATENATE('Table of compositions'!C$1,"(",'Table of compositions'!C239,")")),IF('Table of compositions'!D239=0,"",CONCATENATE('Table of compositions'!D$1,"(",'Table of compositions'!D239,")")),IF('Table of compositions'!E239=0,"",CONCATENATE('Table of compositions'!E$1,"(",'Table of compositions'!E239,")")))</f>
        <v>HexNAc(5)Hex(6)NeuAc/NeuGc(3)SO4/Phospho(2)</v>
      </c>
      <c r="B242" s="6" t="str">
        <f>'Table of compositions'!G239</f>
        <v>HexNAc(5)(x)</v>
      </c>
    </row>
    <row r="243" spans="1:2" x14ac:dyDescent="0.25">
      <c r="A243" s="6" t="str">
        <f>CONCATENATE(CONCATENATE('Table of compositions'!$A$1,"(",'Table of compositions'!A240,")",'Table of compositions'!$B$1,"(",'Table of compositions'!B240,")"),IF('Table of compositions'!C240=0,"",CONCATENATE('Table of compositions'!C$1,"(",'Table of compositions'!C240,")")),IF('Table of compositions'!D240=0,"",CONCATENATE('Table of compositions'!D$1,"(",'Table of compositions'!D240,")")),IF('Table of compositions'!E240=0,"",CONCATENATE('Table of compositions'!E$1,"(",'Table of compositions'!E240,")")))</f>
        <v>HexNAc(5)Hex(6)NeuAc/NeuGc(3)SO4/Phospho(3)</v>
      </c>
      <c r="B243" s="6" t="str">
        <f>'Table of compositions'!G240</f>
        <v>HexNAc(5)(x)</v>
      </c>
    </row>
    <row r="244" spans="1:2" x14ac:dyDescent="0.25">
      <c r="A244" s="6" t="str">
        <f>CONCATENATE(CONCATENATE('Table of compositions'!$A$1,"(",'Table of compositions'!A241,")",'Table of compositions'!$B$1,"(",'Table of compositions'!B241,")"),IF('Table of compositions'!C241=0,"",CONCATENATE('Table of compositions'!C$1,"(",'Table of compositions'!C241,")")),IF('Table of compositions'!D241=0,"",CONCATENATE('Table of compositions'!D$1,"(",'Table of compositions'!D241,")")),IF('Table of compositions'!E241=0,"",CONCATENATE('Table of compositions'!E$1,"(",'Table of compositions'!E241,")")))</f>
        <v>HexNAc(5)Hex(6)NeuAc/NeuGc(1)</v>
      </c>
      <c r="B244" s="6" t="str">
        <f>'Table of compositions'!G241</f>
        <v>HexNAc(5)(x)</v>
      </c>
    </row>
    <row r="245" spans="1:2" x14ac:dyDescent="0.25">
      <c r="A245" s="6" t="str">
        <f>CONCATENATE(CONCATENATE('Table of compositions'!$A$1,"(",'Table of compositions'!A242,")",'Table of compositions'!$B$1,"(",'Table of compositions'!B242,")"),IF('Table of compositions'!C242=0,"",CONCATENATE('Table of compositions'!C$1,"(",'Table of compositions'!C242,")")),IF('Table of compositions'!D242=0,"",CONCATENATE('Table of compositions'!D$1,"(",'Table of compositions'!D242,")")),IF('Table of compositions'!E242=0,"",CONCATENATE('Table of compositions'!E$1,"(",'Table of compositions'!E242,")")))</f>
        <v>HexNAc(5)Hex(6)NeuAc/NeuGc(2)</v>
      </c>
      <c r="B245" s="6" t="str">
        <f>'Table of compositions'!G242</f>
        <v>HexNAc(5)(x)</v>
      </c>
    </row>
    <row r="246" spans="1:2" x14ac:dyDescent="0.25">
      <c r="A246" s="6" t="str">
        <f>CONCATENATE(CONCATENATE('Table of compositions'!$A$1,"(",'Table of compositions'!A243,")",'Table of compositions'!$B$1,"(",'Table of compositions'!B243,")"),IF('Table of compositions'!C243=0,"",CONCATENATE('Table of compositions'!C$1,"(",'Table of compositions'!C243,")")),IF('Table of compositions'!D243=0,"",CONCATENATE('Table of compositions'!D$1,"(",'Table of compositions'!D243,")")),IF('Table of compositions'!E243=0,"",CONCATENATE('Table of compositions'!E$1,"(",'Table of compositions'!E243,")")))</f>
        <v>HexNAc(5)Hex(6)NeuAc/NeuGc(3)</v>
      </c>
      <c r="B246" s="6" t="str">
        <f>'Table of compositions'!G243</f>
        <v>HexNAc(5)(x)</v>
      </c>
    </row>
    <row r="247" spans="1:2" x14ac:dyDescent="0.25">
      <c r="A247" s="6" t="str">
        <f>CONCATENATE(CONCATENATE('Table of compositions'!$A$1,"(",'Table of compositions'!A244,")",'Table of compositions'!$B$1,"(",'Table of compositions'!B244,")"),IF('Table of compositions'!C244=0,"",CONCATENATE('Table of compositions'!C$1,"(",'Table of compositions'!C244,")")),IF('Table of compositions'!D244=0,"",CONCATENATE('Table of compositions'!D$1,"(",'Table of compositions'!D244,")")),IF('Table of compositions'!E244=0,"",CONCATENATE('Table of compositions'!E$1,"(",'Table of compositions'!E244,")")))</f>
        <v>HexNAc(5)Hex(7)</v>
      </c>
      <c r="B247" s="6" t="str">
        <f>'Table of compositions'!G244</f>
        <v>HexNAc(5)(x)</v>
      </c>
    </row>
    <row r="248" spans="1:2" x14ac:dyDescent="0.25">
      <c r="A248" s="6" t="str">
        <f>CONCATENATE(CONCATENATE('Table of compositions'!$A$1,"(",'Table of compositions'!A245,")",'Table of compositions'!$B$1,"(",'Table of compositions'!B245,")"),IF('Table of compositions'!C245=0,"",CONCATENATE('Table of compositions'!C$1,"(",'Table of compositions'!C245,")")),IF('Table of compositions'!D245=0,"",CONCATENATE('Table of compositions'!D$1,"(",'Table of compositions'!D245,")")),IF('Table of compositions'!E245=0,"",CONCATENATE('Table of compositions'!E$1,"(",'Table of compositions'!E245,")")))</f>
        <v>HexNAc(5)Hex(7)Fuc(1)</v>
      </c>
      <c r="B248" s="6" t="str">
        <f>'Table of compositions'!G245</f>
        <v>HexNAc(5)(F)(x)</v>
      </c>
    </row>
    <row r="249" spans="1:2" x14ac:dyDescent="0.25">
      <c r="A249" s="6" t="str">
        <f>CONCATENATE(CONCATENATE('Table of compositions'!$A$1,"(",'Table of compositions'!A246,")",'Table of compositions'!$B$1,"(",'Table of compositions'!B246,")"),IF('Table of compositions'!C246=0,"",CONCATENATE('Table of compositions'!C$1,"(",'Table of compositions'!C246,")")),IF('Table of compositions'!D246=0,"",CONCATENATE('Table of compositions'!D$1,"(",'Table of compositions'!D246,")")),IF('Table of compositions'!E246=0,"",CONCATENATE('Table of compositions'!E$1,"(",'Table of compositions'!E246,")")))</f>
        <v>HexNAc(5)Hex(7)Fuc(1)NeuAc/NeuGc(1)</v>
      </c>
      <c r="B249" s="6" t="str">
        <f>'Table of compositions'!G246</f>
        <v>HexNAc(5)(F)(x)</v>
      </c>
    </row>
    <row r="250" spans="1:2" x14ac:dyDescent="0.25">
      <c r="A250" s="6" t="str">
        <f>CONCATENATE(CONCATENATE('Table of compositions'!$A$1,"(",'Table of compositions'!A247,")",'Table of compositions'!$B$1,"(",'Table of compositions'!B247,")"),IF('Table of compositions'!C247=0,"",CONCATENATE('Table of compositions'!C$1,"(",'Table of compositions'!C247,")")),IF('Table of compositions'!D247=0,"",CONCATENATE('Table of compositions'!D$1,"(",'Table of compositions'!D247,")")),IF('Table of compositions'!E247=0,"",CONCATENATE('Table of compositions'!E$1,"(",'Table of compositions'!E247,")")))</f>
        <v>HexNAc(5)Hex(7)Fuc(1)NeuAc/NeuGc(2)</v>
      </c>
      <c r="B250" s="6" t="str">
        <f>'Table of compositions'!G247</f>
        <v>HexNAc(5)(F)(x)</v>
      </c>
    </row>
    <row r="251" spans="1:2" x14ac:dyDescent="0.25">
      <c r="A251" s="6" t="str">
        <f>CONCATENATE(CONCATENATE('Table of compositions'!$A$1,"(",'Table of compositions'!A248,")",'Table of compositions'!$B$1,"(",'Table of compositions'!B248,")"),IF('Table of compositions'!C248=0,"",CONCATENATE('Table of compositions'!C$1,"(",'Table of compositions'!C248,")")),IF('Table of compositions'!D248=0,"",CONCATENATE('Table of compositions'!D$1,"(",'Table of compositions'!D248,")")),IF('Table of compositions'!E248=0,"",CONCATENATE('Table of compositions'!E$1,"(",'Table of compositions'!E248,")")))</f>
        <v>HexNAc(5)Hex(7)Fuc(1)NeuAc/NeuGc(1)SO4/Phospho(1)</v>
      </c>
      <c r="B251" s="6" t="str">
        <f>'Table of compositions'!G248</f>
        <v>HexNAc(5)(F)(x)</v>
      </c>
    </row>
    <row r="252" spans="1:2" x14ac:dyDescent="0.25">
      <c r="A252" s="6" t="str">
        <f>CONCATENATE(CONCATENATE('Table of compositions'!$A$1,"(",'Table of compositions'!A249,")",'Table of compositions'!$B$1,"(",'Table of compositions'!B249,")"),IF('Table of compositions'!C249=0,"",CONCATENATE('Table of compositions'!C$1,"(",'Table of compositions'!C249,")")),IF('Table of compositions'!D249=0,"",CONCATENATE('Table of compositions'!D$1,"(",'Table of compositions'!D249,")")),IF('Table of compositions'!E249=0,"",CONCATENATE('Table of compositions'!E$1,"(",'Table of compositions'!E249,")")))</f>
        <v>HexNAc(5)Hex(7)Fuc(1)NeuAc/NeuGc(1)SO4/Phospho(2)</v>
      </c>
      <c r="B252" s="6" t="str">
        <f>'Table of compositions'!G249</f>
        <v>HexNAc(5)(F)(x)</v>
      </c>
    </row>
    <row r="253" spans="1:2" x14ac:dyDescent="0.25">
      <c r="A253" s="6" t="str">
        <f>CONCATENATE(CONCATENATE('Table of compositions'!$A$1,"(",'Table of compositions'!A250,")",'Table of compositions'!$B$1,"(",'Table of compositions'!B250,")"),IF('Table of compositions'!C250=0,"",CONCATENATE('Table of compositions'!C$1,"(",'Table of compositions'!C250,")")),IF('Table of compositions'!D250=0,"",CONCATENATE('Table of compositions'!D$1,"(",'Table of compositions'!D250,")")),IF('Table of compositions'!E250=0,"",CONCATENATE('Table of compositions'!E$1,"(",'Table of compositions'!E250,")")))</f>
        <v>HexNAc(5)Hex(7)Fuc(1)NeuAc/NeuGc(1)SO4/Phospho(3)</v>
      </c>
      <c r="B253" s="6" t="str">
        <f>'Table of compositions'!G250</f>
        <v>HexNAc(5)(F)(x)</v>
      </c>
    </row>
    <row r="254" spans="1:2" x14ac:dyDescent="0.25">
      <c r="A254" s="6" t="str">
        <f>CONCATENATE(CONCATENATE('Table of compositions'!$A$1,"(",'Table of compositions'!A251,")",'Table of compositions'!$B$1,"(",'Table of compositions'!B251,")"),IF('Table of compositions'!C251=0,"",CONCATENATE('Table of compositions'!C$1,"(",'Table of compositions'!C251,")")),IF('Table of compositions'!D251=0,"",CONCATENATE('Table of compositions'!D$1,"(",'Table of compositions'!D251,")")),IF('Table of compositions'!E251=0,"",CONCATENATE('Table of compositions'!E$1,"(",'Table of compositions'!E251,")")))</f>
        <v>HexNAc(5)Hex(7)Fuc(1)NeuAc/NeuGc(2)</v>
      </c>
      <c r="B254" s="6" t="str">
        <f>'Table of compositions'!G251</f>
        <v>HexNAc(5)(F)(x)</v>
      </c>
    </row>
    <row r="255" spans="1:2" x14ac:dyDescent="0.25">
      <c r="A255" s="6" t="str">
        <f>CONCATENATE(CONCATENATE('Table of compositions'!$A$1,"(",'Table of compositions'!A252,")",'Table of compositions'!$B$1,"(",'Table of compositions'!B252,")"),IF('Table of compositions'!C252=0,"",CONCATENATE('Table of compositions'!C$1,"(",'Table of compositions'!C252,")")),IF('Table of compositions'!D252=0,"",CONCATENATE('Table of compositions'!D$1,"(",'Table of compositions'!D252,")")),IF('Table of compositions'!E252=0,"",CONCATENATE('Table of compositions'!E$1,"(",'Table of compositions'!E252,")")))</f>
        <v>HexNAc(5)Hex(7)Fuc(1)NeuAc/NeuGc(2)</v>
      </c>
      <c r="B255" s="6" t="str">
        <f>'Table of compositions'!G252</f>
        <v>HexNAc(5)(F)(x)</v>
      </c>
    </row>
    <row r="256" spans="1:2" x14ac:dyDescent="0.25">
      <c r="A256" s="6" t="str">
        <f>CONCATENATE(CONCATENATE('Table of compositions'!$A$1,"(",'Table of compositions'!A253,")",'Table of compositions'!$B$1,"(",'Table of compositions'!B253,")"),IF('Table of compositions'!C253=0,"",CONCATENATE('Table of compositions'!C$1,"(",'Table of compositions'!C253,")")),IF('Table of compositions'!D253=0,"",CONCATENATE('Table of compositions'!D$1,"(",'Table of compositions'!D253,")")),IF('Table of compositions'!E253=0,"",CONCATENATE('Table of compositions'!E$1,"(",'Table of compositions'!E253,")")))</f>
        <v>HexNAc(5)Hex(8)</v>
      </c>
      <c r="B256" s="6" t="str">
        <f>'Table of compositions'!G253</f>
        <v>HexNAc(5)(x)</v>
      </c>
    </row>
    <row r="257" spans="1:2" x14ac:dyDescent="0.25">
      <c r="A257" s="6" t="str">
        <f>CONCATENATE(CONCATENATE('Table of compositions'!$A$1,"(",'Table of compositions'!A254,")",'Table of compositions'!$B$1,"(",'Table of compositions'!B254,")"),IF('Table of compositions'!C254=0,"",CONCATENATE('Table of compositions'!C$1,"(",'Table of compositions'!C254,")")),IF('Table of compositions'!D254=0,"",CONCATENATE('Table of compositions'!D$1,"(",'Table of compositions'!D254,")")),IF('Table of compositions'!E254=0,"",CONCATENATE('Table of compositions'!E$1,"(",'Table of compositions'!E254,")")))</f>
        <v>HexNAc(5)Hex(8)Fuc(1)</v>
      </c>
      <c r="B257" s="6" t="str">
        <f>'Table of compositions'!G254</f>
        <v>HexNAc(5)(F)(x)</v>
      </c>
    </row>
    <row r="258" spans="1:2" x14ac:dyDescent="0.25">
      <c r="A258" s="6" t="str">
        <f>CONCATENATE(CONCATENATE('Table of compositions'!$A$1,"(",'Table of compositions'!A255,")",'Table of compositions'!$B$1,"(",'Table of compositions'!B255,")"),IF('Table of compositions'!C255=0,"",CONCATENATE('Table of compositions'!C$1,"(",'Table of compositions'!C255,")")),IF('Table of compositions'!D255=0,"",CONCATENATE('Table of compositions'!D$1,"(",'Table of compositions'!D255,")")),IF('Table of compositions'!E255=0,"",CONCATENATE('Table of compositions'!E$1,"(",'Table of compositions'!E255,")")))</f>
        <v>HexNAc(5)Hex(8)Fuc(4)</v>
      </c>
      <c r="B258" s="6" t="str">
        <f>'Table of compositions'!G255</f>
        <v>HexNAc(5)(F)(x)</v>
      </c>
    </row>
    <row r="259" spans="1:2" x14ac:dyDescent="0.25">
      <c r="A259" s="6" t="str">
        <f>CONCATENATE(CONCATENATE('Table of compositions'!$A$1,"(",'Table of compositions'!A256,")",'Table of compositions'!$B$1,"(",'Table of compositions'!B256,")"),IF('Table of compositions'!C256=0,"",CONCATENATE('Table of compositions'!C$1,"(",'Table of compositions'!C256,")")),IF('Table of compositions'!D256=0,"",CONCATENATE('Table of compositions'!D$1,"(",'Table of compositions'!D256,")")),IF('Table of compositions'!E256=0,"",CONCATENATE('Table of compositions'!E$1,"(",'Table of compositions'!E256,")")))</f>
        <v>HexNAc(5)Hex(9)Fuc(1)</v>
      </c>
      <c r="B259" s="6" t="str">
        <f>'Table of compositions'!G256</f>
        <v>HexNAc(5)(F)(x)</v>
      </c>
    </row>
    <row r="260" spans="1:2" x14ac:dyDescent="0.25">
      <c r="A260" s="6" t="str">
        <f>CONCATENATE(CONCATENATE('Table of compositions'!$A$1,"(",'Table of compositions'!A257,")",'Table of compositions'!$B$1,"(",'Table of compositions'!B257,")"),IF('Table of compositions'!C257=0,"",CONCATENATE('Table of compositions'!C$1,"(",'Table of compositions'!C257,")")),IF('Table of compositions'!D257=0,"",CONCATENATE('Table of compositions'!D$1,"(",'Table of compositions'!D257,")")),IF('Table of compositions'!E257=0,"",CONCATENATE('Table of compositions'!E$1,"(",'Table of compositions'!E257,")")))</f>
        <v>HexNAc(6)Hex(10)Fuc(1)NeuAc/NeuGc(1)</v>
      </c>
      <c r="B260" s="6" t="str">
        <f>'Table of compositions'!G257</f>
        <v>HexNAc(6+)(F)(x)</v>
      </c>
    </row>
    <row r="261" spans="1:2" x14ac:dyDescent="0.25">
      <c r="A261" s="6" t="str">
        <f>CONCATENATE(CONCATENATE('Table of compositions'!$A$1,"(",'Table of compositions'!A258,")",'Table of compositions'!$B$1,"(",'Table of compositions'!B258,")"),IF('Table of compositions'!C258=0,"",CONCATENATE('Table of compositions'!C$1,"(",'Table of compositions'!C258,")")),IF('Table of compositions'!D258=0,"",CONCATENATE('Table of compositions'!D$1,"(",'Table of compositions'!D258,")")),IF('Table of compositions'!E258=0,"",CONCATENATE('Table of compositions'!E$1,"(",'Table of compositions'!E258,")")))</f>
        <v>HexNAc(6)Hex(10)Fuc(1)NeuAc/NeuGc(1)</v>
      </c>
      <c r="B261" s="6" t="str">
        <f>'Table of compositions'!G258</f>
        <v>HexNAc(6+)(F)(x)</v>
      </c>
    </row>
    <row r="262" spans="1:2" x14ac:dyDescent="0.25">
      <c r="A262" s="6" t="str">
        <f>CONCATENATE(CONCATENATE('Table of compositions'!$A$1,"(",'Table of compositions'!A259,")",'Table of compositions'!$B$1,"(",'Table of compositions'!B259,")"),IF('Table of compositions'!C259=0,"",CONCATENATE('Table of compositions'!C$1,"(",'Table of compositions'!C259,")")),IF('Table of compositions'!D259=0,"",CONCATENATE('Table of compositions'!D$1,"(",'Table of compositions'!D259,")")),IF('Table of compositions'!E259=0,"",CONCATENATE('Table of compositions'!E$1,"(",'Table of compositions'!E259,")")))</f>
        <v>HexNAc(6)Hex(11)Fuc(1)</v>
      </c>
      <c r="B262" s="6" t="str">
        <f>'Table of compositions'!G259</f>
        <v>HexNAc(6+)(F)(x)</v>
      </c>
    </row>
    <row r="263" spans="1:2" x14ac:dyDescent="0.25">
      <c r="A263" s="6" t="str">
        <f>CONCATENATE(CONCATENATE('Table of compositions'!$A$1,"(",'Table of compositions'!A260,")",'Table of compositions'!$B$1,"(",'Table of compositions'!B260,")"),IF('Table of compositions'!C260=0,"",CONCATENATE('Table of compositions'!C$1,"(",'Table of compositions'!C260,")")),IF('Table of compositions'!D260=0,"",CONCATENATE('Table of compositions'!D$1,"(",'Table of compositions'!D260,")")),IF('Table of compositions'!E260=0,"",CONCATENATE('Table of compositions'!E$1,"(",'Table of compositions'!E260,")")))</f>
        <v>HexNAc(6)Hex(3)</v>
      </c>
      <c r="B263" s="6" t="str">
        <f>'Table of compositions'!G260</f>
        <v>HexNAc(6+)(x)</v>
      </c>
    </row>
    <row r="264" spans="1:2" x14ac:dyDescent="0.25">
      <c r="A264" s="6" t="str">
        <f>CONCATENATE(CONCATENATE('Table of compositions'!$A$1,"(",'Table of compositions'!A261,")",'Table of compositions'!$B$1,"(",'Table of compositions'!B261,")"),IF('Table of compositions'!C261=0,"",CONCATENATE('Table of compositions'!C$1,"(",'Table of compositions'!C261,")")),IF('Table of compositions'!D261=0,"",CONCATENATE('Table of compositions'!D$1,"(",'Table of compositions'!D261,")")),IF('Table of compositions'!E261=0,"",CONCATENATE('Table of compositions'!E$1,"(",'Table of compositions'!E261,")")))</f>
        <v>HexNAc(6)Hex(3)Fuc(1)</v>
      </c>
      <c r="B264" s="6" t="str">
        <f>'Table of compositions'!G261</f>
        <v>HexNAc(6+)(F)(x)</v>
      </c>
    </row>
    <row r="265" spans="1:2" x14ac:dyDescent="0.25">
      <c r="A265" s="6" t="str">
        <f>CONCATENATE(CONCATENATE('Table of compositions'!$A$1,"(",'Table of compositions'!A262,")",'Table of compositions'!$B$1,"(",'Table of compositions'!B262,")"),IF('Table of compositions'!C262=0,"",CONCATENATE('Table of compositions'!C$1,"(",'Table of compositions'!C262,")")),IF('Table of compositions'!D262=0,"",CONCATENATE('Table of compositions'!D$1,"(",'Table of compositions'!D262,")")),IF('Table of compositions'!E262=0,"",CONCATENATE('Table of compositions'!E$1,"(",'Table of compositions'!E262,")")))</f>
        <v>HexNAc(6)Hex(3)Fuc(1)NeuAc/NeuGc(1)</v>
      </c>
      <c r="B265" s="6" t="str">
        <f>'Table of compositions'!G262</f>
        <v>HexNAc(6+)(F)(x)</v>
      </c>
    </row>
    <row r="266" spans="1:2" x14ac:dyDescent="0.25">
      <c r="A266" s="6" t="str">
        <f>CONCATENATE(CONCATENATE('Table of compositions'!$A$1,"(",'Table of compositions'!A263,")",'Table of compositions'!$B$1,"(",'Table of compositions'!B263,")"),IF('Table of compositions'!C263=0,"",CONCATENATE('Table of compositions'!C$1,"(",'Table of compositions'!C263,")")),IF('Table of compositions'!D263=0,"",CONCATENATE('Table of compositions'!D$1,"(",'Table of compositions'!D263,")")),IF('Table of compositions'!E263=0,"",CONCATENATE('Table of compositions'!E$1,"(",'Table of compositions'!E263,")")))</f>
        <v>HexNAc(6)Hex(3)Fuc(1)NeuAc/NeuGc(2)</v>
      </c>
      <c r="B266" s="6" t="str">
        <f>'Table of compositions'!G263</f>
        <v>HexNAc(6+)(F)(x)</v>
      </c>
    </row>
    <row r="267" spans="1:2" x14ac:dyDescent="0.25">
      <c r="A267" s="6" t="str">
        <f>CONCATENATE(CONCATENATE('Table of compositions'!$A$1,"(",'Table of compositions'!A264,")",'Table of compositions'!$B$1,"(",'Table of compositions'!B264,")"),IF('Table of compositions'!C264=0,"",CONCATENATE('Table of compositions'!C$1,"(",'Table of compositions'!C264,")")),IF('Table of compositions'!D264=0,"",CONCATENATE('Table of compositions'!D$1,"(",'Table of compositions'!D264,")")),IF('Table of compositions'!E264=0,"",CONCATENATE('Table of compositions'!E$1,"(",'Table of compositions'!E264,")")))</f>
        <v>HexNAc(6)Hex(3)Fuc(1)NeuAc/NeuGc(1)SO4/Phospho(1)</v>
      </c>
      <c r="B267" s="6" t="str">
        <f>'Table of compositions'!G264</f>
        <v>HexNAc(6+)(F)(x)</v>
      </c>
    </row>
    <row r="268" spans="1:2" x14ac:dyDescent="0.25">
      <c r="A268" s="6" t="str">
        <f>CONCATENATE(CONCATENATE('Table of compositions'!$A$1,"(",'Table of compositions'!A265,")",'Table of compositions'!$B$1,"(",'Table of compositions'!B265,")"),IF('Table of compositions'!C265=0,"",CONCATENATE('Table of compositions'!C$1,"(",'Table of compositions'!C265,")")),IF('Table of compositions'!D265=0,"",CONCATENATE('Table of compositions'!D$1,"(",'Table of compositions'!D265,")")),IF('Table of compositions'!E265=0,"",CONCATENATE('Table of compositions'!E$1,"(",'Table of compositions'!E265,")")))</f>
        <v>HexNAc(6)Hex(3)Fuc(1)NeuAc/NeuGc(1)SO4/Phospho(2)</v>
      </c>
      <c r="B268" s="6" t="str">
        <f>'Table of compositions'!G265</f>
        <v>HexNAc(6+)(F)(x)</v>
      </c>
    </row>
    <row r="269" spans="1:2" x14ac:dyDescent="0.25">
      <c r="A269" s="6" t="str">
        <f>CONCATENATE(CONCATENATE('Table of compositions'!$A$1,"(",'Table of compositions'!A266,")",'Table of compositions'!$B$1,"(",'Table of compositions'!B266,")"),IF('Table of compositions'!C266=0,"",CONCATENATE('Table of compositions'!C$1,"(",'Table of compositions'!C266,")")),IF('Table of compositions'!D266=0,"",CONCATENATE('Table of compositions'!D$1,"(",'Table of compositions'!D266,")")),IF('Table of compositions'!E266=0,"",CONCATENATE('Table of compositions'!E$1,"(",'Table of compositions'!E266,")")))</f>
        <v>HexNAc(6)Hex(3)Fuc(1)NeuAc/NeuGc(1)SO4/Phospho(3)</v>
      </c>
      <c r="B269" s="6" t="str">
        <f>'Table of compositions'!G266</f>
        <v>HexNAc(6+)(F)(x)</v>
      </c>
    </row>
    <row r="270" spans="1:2" x14ac:dyDescent="0.25">
      <c r="A270" s="6" t="str">
        <f>CONCATENATE(CONCATENATE('Table of compositions'!$A$1,"(",'Table of compositions'!A267,")",'Table of compositions'!$B$1,"(",'Table of compositions'!B267,")"),IF('Table of compositions'!C267=0,"",CONCATENATE('Table of compositions'!C$1,"(",'Table of compositions'!C267,")")),IF('Table of compositions'!D267=0,"",CONCATENATE('Table of compositions'!D$1,"(",'Table of compositions'!D267,")")),IF('Table of compositions'!E267=0,"",CONCATENATE('Table of compositions'!E$1,"(",'Table of compositions'!E267,")")))</f>
        <v>HexNAc(6)Hex(3)Fuc(1)NeuAc/NeuGc(2)</v>
      </c>
      <c r="B270" s="6" t="str">
        <f>'Table of compositions'!G267</f>
        <v>HexNAc(6+)(F)(x)</v>
      </c>
    </row>
    <row r="271" spans="1:2" x14ac:dyDescent="0.25">
      <c r="A271" s="6" t="str">
        <f>CONCATENATE(CONCATENATE('Table of compositions'!$A$1,"(",'Table of compositions'!A268,")",'Table of compositions'!$B$1,"(",'Table of compositions'!B268,")"),IF('Table of compositions'!C268=0,"",CONCATENATE('Table of compositions'!C$1,"(",'Table of compositions'!C268,")")),IF('Table of compositions'!D268=0,"",CONCATENATE('Table of compositions'!D$1,"(",'Table of compositions'!D268,")")),IF('Table of compositions'!E268=0,"",CONCATENATE('Table of compositions'!E$1,"(",'Table of compositions'!E268,")")))</f>
        <v>HexNAc(6)Hex(3)Fuc(1)NeuAc/NeuGc(1)</v>
      </c>
      <c r="B271" s="6" t="str">
        <f>'Table of compositions'!G268</f>
        <v>HexNAc(6+)(F)(x)</v>
      </c>
    </row>
    <row r="272" spans="1:2" x14ac:dyDescent="0.25">
      <c r="A272" s="6" t="str">
        <f>CONCATENATE(CONCATENATE('Table of compositions'!$A$1,"(",'Table of compositions'!A269,")",'Table of compositions'!$B$1,"(",'Table of compositions'!B269,")"),IF('Table of compositions'!C269=0,"",CONCATENATE('Table of compositions'!C$1,"(",'Table of compositions'!C269,")")),IF('Table of compositions'!D269=0,"",CONCATENATE('Table of compositions'!D$1,"(",'Table of compositions'!D269,")")),IF('Table of compositions'!E269=0,"",CONCATENATE('Table of compositions'!E$1,"(",'Table of compositions'!E269,")")))</f>
        <v>HexNAc(6)Hex(3)Fuc(1)NeuAc/NeuGc(2)</v>
      </c>
      <c r="B272" s="6" t="str">
        <f>'Table of compositions'!G269</f>
        <v>HexNAc(6+)(F)(x)</v>
      </c>
    </row>
    <row r="273" spans="1:2" x14ac:dyDescent="0.25">
      <c r="A273" s="6" t="str">
        <f>CONCATENATE(CONCATENATE('Table of compositions'!$A$1,"(",'Table of compositions'!A270,")",'Table of compositions'!$B$1,"(",'Table of compositions'!B270,")"),IF('Table of compositions'!C270=0,"",CONCATENATE('Table of compositions'!C$1,"(",'Table of compositions'!C270,")")),IF('Table of compositions'!D270=0,"",CONCATENATE('Table of compositions'!D$1,"(",'Table of compositions'!D270,")")),IF('Table of compositions'!E270=0,"",CONCATENATE('Table of compositions'!E$1,"(",'Table of compositions'!E270,")")))</f>
        <v>HexNAc(6)Hex(3)Fuc(1)SO4/Phospho(1)</v>
      </c>
      <c r="B273" s="6" t="str">
        <f>'Table of compositions'!G270</f>
        <v>HexNAc(6+)(F)(x)</v>
      </c>
    </row>
    <row r="274" spans="1:2" x14ac:dyDescent="0.25">
      <c r="A274" s="6" t="str">
        <f>CONCATENATE(CONCATENATE('Table of compositions'!$A$1,"(",'Table of compositions'!A271,")",'Table of compositions'!$B$1,"(",'Table of compositions'!B271,")"),IF('Table of compositions'!C271=0,"",CONCATENATE('Table of compositions'!C$1,"(",'Table of compositions'!C271,")")),IF('Table of compositions'!D271=0,"",CONCATENATE('Table of compositions'!D$1,"(",'Table of compositions'!D271,")")),IF('Table of compositions'!E271=0,"",CONCATENATE('Table of compositions'!E$1,"(",'Table of compositions'!E271,")")))</f>
        <v>HexNAc(6)Hex(3)Fuc(1)SO4/Phospho(2)</v>
      </c>
      <c r="B274" s="6" t="str">
        <f>'Table of compositions'!G271</f>
        <v>HexNAc(6+)(F)(x)</v>
      </c>
    </row>
    <row r="275" spans="1:2" x14ac:dyDescent="0.25">
      <c r="A275" s="6" t="str">
        <f>CONCATENATE(CONCATENATE('Table of compositions'!$A$1,"(",'Table of compositions'!A272,")",'Table of compositions'!$B$1,"(",'Table of compositions'!B272,")"),IF('Table of compositions'!C272=0,"",CONCATENATE('Table of compositions'!C$1,"(",'Table of compositions'!C272,")")),IF('Table of compositions'!D272=0,"",CONCATENATE('Table of compositions'!D$1,"(",'Table of compositions'!D272,")")),IF('Table of compositions'!E272=0,"",CONCATENATE('Table of compositions'!E$1,"(",'Table of compositions'!E272,")")))</f>
        <v>HexNAc(6)Hex(3)Fuc(1)SO4/Phospho(3)</v>
      </c>
      <c r="B275" s="6" t="str">
        <f>'Table of compositions'!G272</f>
        <v>HexNAc(6+)(F)(x)</v>
      </c>
    </row>
    <row r="276" spans="1:2" x14ac:dyDescent="0.25">
      <c r="A276" s="6" t="str">
        <f>CONCATENATE(CONCATENATE('Table of compositions'!$A$1,"(",'Table of compositions'!A273,")",'Table of compositions'!$B$1,"(",'Table of compositions'!B273,")"),IF('Table of compositions'!C273=0,"",CONCATENATE('Table of compositions'!C$1,"(",'Table of compositions'!C273,")")),IF('Table of compositions'!D273=0,"",CONCATENATE('Table of compositions'!D$1,"(",'Table of compositions'!D273,")")),IF('Table of compositions'!E273=0,"",CONCATENATE('Table of compositions'!E$1,"(",'Table of compositions'!E273,")")))</f>
        <v>HexNAc(6)Hex(3)Fuc(2)</v>
      </c>
      <c r="B276" s="6" t="str">
        <f>'Table of compositions'!G273</f>
        <v>HexNAc(6+)(F)(x)</v>
      </c>
    </row>
    <row r="277" spans="1:2" x14ac:dyDescent="0.25">
      <c r="A277" s="6" t="str">
        <f>CONCATENATE(CONCATENATE('Table of compositions'!$A$1,"(",'Table of compositions'!A274,")",'Table of compositions'!$B$1,"(",'Table of compositions'!B274,")"),IF('Table of compositions'!C274=0,"",CONCATENATE('Table of compositions'!C$1,"(",'Table of compositions'!C274,")")),IF('Table of compositions'!D274=0,"",CONCATENATE('Table of compositions'!D$1,"(",'Table of compositions'!D274,")")),IF('Table of compositions'!E274=0,"",CONCATENATE('Table of compositions'!E$1,"(",'Table of compositions'!E274,")")))</f>
        <v>HexNAc(6)Hex(3)Fuc(2)NeuAc/NeuGc(1)</v>
      </c>
      <c r="B277" s="6" t="str">
        <f>'Table of compositions'!G274</f>
        <v>HexNAc(6+)(F)(x)</v>
      </c>
    </row>
    <row r="278" spans="1:2" x14ac:dyDescent="0.25">
      <c r="A278" s="6" t="str">
        <f>CONCATENATE(CONCATENATE('Table of compositions'!$A$1,"(",'Table of compositions'!A275,")",'Table of compositions'!$B$1,"(",'Table of compositions'!B275,")"),IF('Table of compositions'!C275=0,"",CONCATENATE('Table of compositions'!C$1,"(",'Table of compositions'!C275,")")),IF('Table of compositions'!D275=0,"",CONCATENATE('Table of compositions'!D$1,"(",'Table of compositions'!D275,")")),IF('Table of compositions'!E275=0,"",CONCATENATE('Table of compositions'!E$1,"(",'Table of compositions'!E275,")")))</f>
        <v>HexNAc(6)Hex(3)Fuc(2)NeuAc/NeuGc(1)</v>
      </c>
      <c r="B278" s="6" t="str">
        <f>'Table of compositions'!G275</f>
        <v>HexNAc(6+)(F)(x)</v>
      </c>
    </row>
    <row r="279" spans="1:2" x14ac:dyDescent="0.25">
      <c r="A279" s="6" t="str">
        <f>CONCATENATE(CONCATENATE('Table of compositions'!$A$1,"(",'Table of compositions'!A276,")",'Table of compositions'!$B$1,"(",'Table of compositions'!B276,")"),IF('Table of compositions'!C276=0,"",CONCATENATE('Table of compositions'!C$1,"(",'Table of compositions'!C276,")")),IF('Table of compositions'!D276=0,"",CONCATENATE('Table of compositions'!D$1,"(",'Table of compositions'!D276,")")),IF('Table of compositions'!E276=0,"",CONCATENATE('Table of compositions'!E$1,"(",'Table of compositions'!E276,")")))</f>
        <v>HexNAc(6)Hex(3)Fuc(2)SO4/Phospho(1)</v>
      </c>
      <c r="B279" s="6" t="str">
        <f>'Table of compositions'!G276</f>
        <v>HexNAc(6+)(F)(x)</v>
      </c>
    </row>
    <row r="280" spans="1:2" x14ac:dyDescent="0.25">
      <c r="A280" s="6" t="str">
        <f>CONCATENATE(CONCATENATE('Table of compositions'!$A$1,"(",'Table of compositions'!A277,")",'Table of compositions'!$B$1,"(",'Table of compositions'!B277,")"),IF('Table of compositions'!C277=0,"",CONCATENATE('Table of compositions'!C$1,"(",'Table of compositions'!C277,")")),IF('Table of compositions'!D277=0,"",CONCATENATE('Table of compositions'!D$1,"(",'Table of compositions'!D277,")")),IF('Table of compositions'!E277=0,"",CONCATENATE('Table of compositions'!E$1,"(",'Table of compositions'!E277,")")))</f>
        <v>HexNAc(6)Hex(3)Fuc(2)SO4/Phospho(2)</v>
      </c>
      <c r="B280" s="6" t="str">
        <f>'Table of compositions'!G277</f>
        <v>HexNAc(6+)(F)(x)</v>
      </c>
    </row>
    <row r="281" spans="1:2" x14ac:dyDescent="0.25">
      <c r="A281" s="6" t="str">
        <f>CONCATENATE(CONCATENATE('Table of compositions'!$A$1,"(",'Table of compositions'!A278,")",'Table of compositions'!$B$1,"(",'Table of compositions'!B278,")"),IF('Table of compositions'!C278=0,"",CONCATENATE('Table of compositions'!C$1,"(",'Table of compositions'!C278,")")),IF('Table of compositions'!D278=0,"",CONCATENATE('Table of compositions'!D$1,"(",'Table of compositions'!D278,")")),IF('Table of compositions'!E278=0,"",CONCATENATE('Table of compositions'!E$1,"(",'Table of compositions'!E278,")")))</f>
        <v>HexNAc(6)Hex(3)Fuc(2)SO4/Phospho(3)</v>
      </c>
      <c r="B281" s="6" t="str">
        <f>'Table of compositions'!G278</f>
        <v>HexNAc(6+)(F)(x)</v>
      </c>
    </row>
    <row r="282" spans="1:2" x14ac:dyDescent="0.25">
      <c r="A282" s="6" t="str">
        <f>CONCATENATE(CONCATENATE('Table of compositions'!$A$1,"(",'Table of compositions'!A279,")",'Table of compositions'!$B$1,"(",'Table of compositions'!B279,")"),IF('Table of compositions'!C279=0,"",CONCATENATE('Table of compositions'!C$1,"(",'Table of compositions'!C279,")")),IF('Table of compositions'!D279=0,"",CONCATENATE('Table of compositions'!D$1,"(",'Table of compositions'!D279,")")),IF('Table of compositions'!E279=0,"",CONCATENATE('Table of compositions'!E$1,"(",'Table of compositions'!E279,")")))</f>
        <v>HexNAc(6)Hex(3)Fuc(3)</v>
      </c>
      <c r="B282" s="6" t="str">
        <f>'Table of compositions'!G279</f>
        <v>HexNAc(6+)(F)(x)</v>
      </c>
    </row>
    <row r="283" spans="1:2" x14ac:dyDescent="0.25">
      <c r="A283" s="6" t="str">
        <f>CONCATENATE(CONCATENATE('Table of compositions'!$A$1,"(",'Table of compositions'!A280,")",'Table of compositions'!$B$1,"(",'Table of compositions'!B280,")"),IF('Table of compositions'!C280=0,"",CONCATENATE('Table of compositions'!C$1,"(",'Table of compositions'!C280,")")),IF('Table of compositions'!D280=0,"",CONCATENATE('Table of compositions'!D$1,"(",'Table of compositions'!D280,")")),IF('Table of compositions'!E280=0,"",CONCATENATE('Table of compositions'!E$1,"(",'Table of compositions'!E280,")")))</f>
        <v>HexNAc(6)Hex(3)Fuc(3)SO4/Phospho(1)</v>
      </c>
      <c r="B283" s="6" t="str">
        <f>'Table of compositions'!G280</f>
        <v>HexNAc(6+)(F)(x)</v>
      </c>
    </row>
    <row r="284" spans="1:2" x14ac:dyDescent="0.25">
      <c r="A284" s="6" t="str">
        <f>CONCATENATE(CONCATENATE('Table of compositions'!$A$1,"(",'Table of compositions'!A281,")",'Table of compositions'!$B$1,"(",'Table of compositions'!B281,")"),IF('Table of compositions'!C281=0,"",CONCATENATE('Table of compositions'!C$1,"(",'Table of compositions'!C281,")")),IF('Table of compositions'!D281=0,"",CONCATENATE('Table of compositions'!D$1,"(",'Table of compositions'!D281,")")),IF('Table of compositions'!E281=0,"",CONCATENATE('Table of compositions'!E$1,"(",'Table of compositions'!E281,")")))</f>
        <v>HexNAc(6)Hex(3)Fuc(3)SO4/Phospho(2)</v>
      </c>
      <c r="B284" s="6" t="str">
        <f>'Table of compositions'!G281</f>
        <v>HexNAc(6+)(F)(x)</v>
      </c>
    </row>
    <row r="285" spans="1:2" x14ac:dyDescent="0.25">
      <c r="A285" s="6" t="str">
        <f>CONCATENATE(CONCATENATE('Table of compositions'!$A$1,"(",'Table of compositions'!A282,")",'Table of compositions'!$B$1,"(",'Table of compositions'!B282,")"),IF('Table of compositions'!C282=0,"",CONCATENATE('Table of compositions'!C$1,"(",'Table of compositions'!C282,")")),IF('Table of compositions'!D282=0,"",CONCATENATE('Table of compositions'!D$1,"(",'Table of compositions'!D282,")")),IF('Table of compositions'!E282=0,"",CONCATENATE('Table of compositions'!E$1,"(",'Table of compositions'!E282,")")))</f>
        <v>HexNAc(6)Hex(3)Fuc(3)SO4/Phospho(3)</v>
      </c>
      <c r="B285" s="6" t="str">
        <f>'Table of compositions'!G282</f>
        <v>HexNAc(6+)(F)(x)</v>
      </c>
    </row>
    <row r="286" spans="1:2" x14ac:dyDescent="0.25">
      <c r="A286" s="6" t="str">
        <f>CONCATENATE(CONCATENATE('Table of compositions'!$A$1,"(",'Table of compositions'!A283,")",'Table of compositions'!$B$1,"(",'Table of compositions'!B283,")"),IF('Table of compositions'!C283=0,"",CONCATENATE('Table of compositions'!C$1,"(",'Table of compositions'!C283,")")),IF('Table of compositions'!D283=0,"",CONCATENATE('Table of compositions'!D$1,"(",'Table of compositions'!D283,")")),IF('Table of compositions'!E283=0,"",CONCATENATE('Table of compositions'!E$1,"(",'Table of compositions'!E283,")")))</f>
        <v>HexNAc(6)Hex(4)</v>
      </c>
      <c r="B286" s="6" t="str">
        <f>'Table of compositions'!G283</f>
        <v>HexNAc(6+)(x)</v>
      </c>
    </row>
    <row r="287" spans="1:2" x14ac:dyDescent="0.25">
      <c r="A287" s="6" t="str">
        <f>CONCATENATE(CONCATENATE('Table of compositions'!$A$1,"(",'Table of compositions'!A284,")",'Table of compositions'!$B$1,"(",'Table of compositions'!B284,")"),IF('Table of compositions'!C284=0,"",CONCATENATE('Table of compositions'!C$1,"(",'Table of compositions'!C284,")")),IF('Table of compositions'!D284=0,"",CONCATENATE('Table of compositions'!D$1,"(",'Table of compositions'!D284,")")),IF('Table of compositions'!E284=0,"",CONCATENATE('Table of compositions'!E$1,"(",'Table of compositions'!E284,")")))</f>
        <v>HexNAc(6)Hex(4)Fuc(1)</v>
      </c>
      <c r="B287" s="6" t="str">
        <f>'Table of compositions'!G284</f>
        <v>HexNAc(6+)(F)(x)</v>
      </c>
    </row>
    <row r="288" spans="1:2" x14ac:dyDescent="0.25">
      <c r="A288" s="6" t="str">
        <f>CONCATENATE(CONCATENATE('Table of compositions'!$A$1,"(",'Table of compositions'!A285,")",'Table of compositions'!$B$1,"(",'Table of compositions'!B285,")"),IF('Table of compositions'!C285=0,"",CONCATENATE('Table of compositions'!C$1,"(",'Table of compositions'!C285,")")),IF('Table of compositions'!D285=0,"",CONCATENATE('Table of compositions'!D$1,"(",'Table of compositions'!D285,")")),IF('Table of compositions'!E285=0,"",CONCATENATE('Table of compositions'!E$1,"(",'Table of compositions'!E285,")")))</f>
        <v>HexNAc(6)Hex(4)Fuc(1)SO4/Phospho(1)</v>
      </c>
      <c r="B288" s="6" t="str">
        <f>'Table of compositions'!G285</f>
        <v>HexNAc(6+)(F)(x)</v>
      </c>
    </row>
    <row r="289" spans="1:2" x14ac:dyDescent="0.25">
      <c r="A289" s="6" t="str">
        <f>CONCATENATE(CONCATENATE('Table of compositions'!$A$1,"(",'Table of compositions'!A286,")",'Table of compositions'!$B$1,"(",'Table of compositions'!B286,")"),IF('Table of compositions'!C286=0,"",CONCATENATE('Table of compositions'!C$1,"(",'Table of compositions'!C286,")")),IF('Table of compositions'!D286=0,"",CONCATENATE('Table of compositions'!D$1,"(",'Table of compositions'!D286,")")),IF('Table of compositions'!E286=0,"",CONCATENATE('Table of compositions'!E$1,"(",'Table of compositions'!E286,")")))</f>
        <v>HexNAc(6)Hex(4)Fuc(1)SO4/Phospho(2)</v>
      </c>
      <c r="B289" s="6" t="str">
        <f>'Table of compositions'!G286</f>
        <v>HexNAc(6+)(F)(x)</v>
      </c>
    </row>
    <row r="290" spans="1:2" x14ac:dyDescent="0.25">
      <c r="A290" s="6" t="str">
        <f>CONCATENATE(CONCATENATE('Table of compositions'!$A$1,"(",'Table of compositions'!A287,")",'Table of compositions'!$B$1,"(",'Table of compositions'!B287,")"),IF('Table of compositions'!C287=0,"",CONCATENATE('Table of compositions'!C$1,"(",'Table of compositions'!C287,")")),IF('Table of compositions'!D287=0,"",CONCATENATE('Table of compositions'!D$1,"(",'Table of compositions'!D287,")")),IF('Table of compositions'!E287=0,"",CONCATENATE('Table of compositions'!E$1,"(",'Table of compositions'!E287,")")))</f>
        <v>HexNAc(6)Hex(4)Fuc(1)SO4/Phospho(3)</v>
      </c>
      <c r="B290" s="6" t="str">
        <f>'Table of compositions'!G287</f>
        <v>HexNAc(6+)(F)(x)</v>
      </c>
    </row>
    <row r="291" spans="1:2" x14ac:dyDescent="0.25">
      <c r="A291" s="6" t="str">
        <f>CONCATENATE(CONCATENATE('Table of compositions'!$A$1,"(",'Table of compositions'!A288,")",'Table of compositions'!$B$1,"(",'Table of compositions'!B288,")"),IF('Table of compositions'!C288=0,"",CONCATENATE('Table of compositions'!C$1,"(",'Table of compositions'!C288,")")),IF('Table of compositions'!D288=0,"",CONCATENATE('Table of compositions'!D$1,"(",'Table of compositions'!D288,")")),IF('Table of compositions'!E288=0,"",CONCATENATE('Table of compositions'!E$1,"(",'Table of compositions'!E288,")")))</f>
        <v>HexNAc(6)Hex(4)Fuc(2)</v>
      </c>
      <c r="B291" s="6" t="str">
        <f>'Table of compositions'!G288</f>
        <v>HexNAc(6+)(F)(x)</v>
      </c>
    </row>
    <row r="292" spans="1:2" x14ac:dyDescent="0.25">
      <c r="A292" s="6" t="str">
        <f>CONCATENATE(CONCATENATE('Table of compositions'!$A$1,"(",'Table of compositions'!A289,")",'Table of compositions'!$B$1,"(",'Table of compositions'!B289,")"),IF('Table of compositions'!C289=0,"",CONCATENATE('Table of compositions'!C$1,"(",'Table of compositions'!C289,")")),IF('Table of compositions'!D289=0,"",CONCATENATE('Table of compositions'!D$1,"(",'Table of compositions'!D289,")")),IF('Table of compositions'!E289=0,"",CONCATENATE('Table of compositions'!E$1,"(",'Table of compositions'!E289,")")))</f>
        <v>HexNAc(6)Hex(4)Fuc(2)SO4/Phospho(1)</v>
      </c>
      <c r="B292" s="6" t="str">
        <f>'Table of compositions'!G289</f>
        <v>HexNAc(6+)(F)(x)</v>
      </c>
    </row>
    <row r="293" spans="1:2" x14ac:dyDescent="0.25">
      <c r="A293" s="6" t="str">
        <f>CONCATENATE(CONCATENATE('Table of compositions'!$A$1,"(",'Table of compositions'!A290,")",'Table of compositions'!$B$1,"(",'Table of compositions'!B290,")"),IF('Table of compositions'!C290=0,"",CONCATENATE('Table of compositions'!C$1,"(",'Table of compositions'!C290,")")),IF('Table of compositions'!D290=0,"",CONCATENATE('Table of compositions'!D$1,"(",'Table of compositions'!D290,")")),IF('Table of compositions'!E290=0,"",CONCATENATE('Table of compositions'!E$1,"(",'Table of compositions'!E290,")")))</f>
        <v>HexNAc(6)Hex(4)Fuc(2)SO4/Phospho(2)</v>
      </c>
      <c r="B293" s="6" t="str">
        <f>'Table of compositions'!G290</f>
        <v>HexNAc(6+)(F)(x)</v>
      </c>
    </row>
    <row r="294" spans="1:2" x14ac:dyDescent="0.25">
      <c r="A294" s="6" t="str">
        <f>CONCATENATE(CONCATENATE('Table of compositions'!$A$1,"(",'Table of compositions'!A291,")",'Table of compositions'!$B$1,"(",'Table of compositions'!B291,")"),IF('Table of compositions'!C291=0,"",CONCATENATE('Table of compositions'!C$1,"(",'Table of compositions'!C291,")")),IF('Table of compositions'!D291=0,"",CONCATENATE('Table of compositions'!D$1,"(",'Table of compositions'!D291,")")),IF('Table of compositions'!E291=0,"",CONCATENATE('Table of compositions'!E$1,"(",'Table of compositions'!E291,")")))</f>
        <v>HexNAc(6)Hex(4)Fuc(2)SO4/Phospho(3)</v>
      </c>
      <c r="B294" s="6" t="str">
        <f>'Table of compositions'!G291</f>
        <v>HexNAc(6+)(F)(x)</v>
      </c>
    </row>
    <row r="295" spans="1:2" x14ac:dyDescent="0.25">
      <c r="A295" s="6" t="str">
        <f>CONCATENATE(CONCATENATE('Table of compositions'!$A$1,"(",'Table of compositions'!A292,")",'Table of compositions'!$B$1,"(",'Table of compositions'!B292,")"),IF('Table of compositions'!C292=0,"",CONCATENATE('Table of compositions'!C$1,"(",'Table of compositions'!C292,")")),IF('Table of compositions'!D292=0,"",CONCATENATE('Table of compositions'!D$1,"(",'Table of compositions'!D292,")")),IF('Table of compositions'!E292=0,"",CONCATENATE('Table of compositions'!E$1,"(",'Table of compositions'!E292,")")))</f>
        <v>HexNAc(6)Hex(4)NeuAc/NeuGc(1)</v>
      </c>
      <c r="B295" s="6" t="str">
        <f>'Table of compositions'!G292</f>
        <v>HexNAc(6+)(x)</v>
      </c>
    </row>
    <row r="296" spans="1:2" x14ac:dyDescent="0.25">
      <c r="A296" s="6" t="str">
        <f>CONCATENATE(CONCATENATE('Table of compositions'!$A$1,"(",'Table of compositions'!A293,")",'Table of compositions'!$B$1,"(",'Table of compositions'!B293,")"),IF('Table of compositions'!C293=0,"",CONCATENATE('Table of compositions'!C$1,"(",'Table of compositions'!C293,")")),IF('Table of compositions'!D293=0,"",CONCATENATE('Table of compositions'!D$1,"(",'Table of compositions'!D293,")")),IF('Table of compositions'!E293=0,"",CONCATENATE('Table of compositions'!E$1,"(",'Table of compositions'!E293,")")))</f>
        <v>HexNAc(6)Hex(4)SO4/Phospho(1)</v>
      </c>
      <c r="B296" s="6" t="str">
        <f>'Table of compositions'!G293</f>
        <v>HexNAc(6+)(x)</v>
      </c>
    </row>
    <row r="297" spans="1:2" x14ac:dyDescent="0.25">
      <c r="A297" s="6" t="str">
        <f>CONCATENATE(CONCATENATE('Table of compositions'!$A$1,"(",'Table of compositions'!A294,")",'Table of compositions'!$B$1,"(",'Table of compositions'!B294,")"),IF('Table of compositions'!C294=0,"",CONCATENATE('Table of compositions'!C$1,"(",'Table of compositions'!C294,")")),IF('Table of compositions'!D294=0,"",CONCATENATE('Table of compositions'!D$1,"(",'Table of compositions'!D294,")")),IF('Table of compositions'!E294=0,"",CONCATENATE('Table of compositions'!E$1,"(",'Table of compositions'!E294,")")))</f>
        <v>HexNAc(6)Hex(4)SO4/Phospho(2)</v>
      </c>
      <c r="B297" s="6" t="str">
        <f>'Table of compositions'!G294</f>
        <v>HexNAc(6+)(x)</v>
      </c>
    </row>
    <row r="298" spans="1:2" x14ac:dyDescent="0.25">
      <c r="A298" s="6" t="str">
        <f>CONCATENATE(CONCATENATE('Table of compositions'!$A$1,"(",'Table of compositions'!A295,")",'Table of compositions'!$B$1,"(",'Table of compositions'!B295,")"),IF('Table of compositions'!C295=0,"",CONCATENATE('Table of compositions'!C$1,"(",'Table of compositions'!C295,")")),IF('Table of compositions'!D295=0,"",CONCATENATE('Table of compositions'!D$1,"(",'Table of compositions'!D295,")")),IF('Table of compositions'!E295=0,"",CONCATENATE('Table of compositions'!E$1,"(",'Table of compositions'!E295,")")))</f>
        <v>HexNAc(6)Hex(4)SO4/Phospho(3)</v>
      </c>
      <c r="B298" s="6" t="str">
        <f>'Table of compositions'!G295</f>
        <v>HexNAc(6+)(x)</v>
      </c>
    </row>
    <row r="299" spans="1:2" x14ac:dyDescent="0.25">
      <c r="A299" s="6" t="str">
        <f>CONCATENATE(CONCATENATE('Table of compositions'!$A$1,"(",'Table of compositions'!A296,")",'Table of compositions'!$B$1,"(",'Table of compositions'!B296,")"),IF('Table of compositions'!C296=0,"",CONCATENATE('Table of compositions'!C$1,"(",'Table of compositions'!C296,")")),IF('Table of compositions'!D296=0,"",CONCATENATE('Table of compositions'!D$1,"(",'Table of compositions'!D296,")")),IF('Table of compositions'!E296=0,"",CONCATENATE('Table of compositions'!E$1,"(",'Table of compositions'!E296,")")))</f>
        <v>HexNAc(6)Hex(5)</v>
      </c>
      <c r="B299" s="6" t="str">
        <f>'Table of compositions'!G296</f>
        <v>HexNAc(6+)(x)</v>
      </c>
    </row>
    <row r="300" spans="1:2" x14ac:dyDescent="0.25">
      <c r="A300" s="6" t="str">
        <f>CONCATENATE(CONCATENATE('Table of compositions'!$A$1,"(",'Table of compositions'!A297,")",'Table of compositions'!$B$1,"(",'Table of compositions'!B297,")"),IF('Table of compositions'!C297=0,"",CONCATENATE('Table of compositions'!C$1,"(",'Table of compositions'!C297,")")),IF('Table of compositions'!D297=0,"",CONCATENATE('Table of compositions'!D$1,"(",'Table of compositions'!D297,")")),IF('Table of compositions'!E297=0,"",CONCATENATE('Table of compositions'!E$1,"(",'Table of compositions'!E297,")")))</f>
        <v>HexNAc(6)Hex(5)Fuc(1)</v>
      </c>
      <c r="B300" s="6" t="str">
        <f>'Table of compositions'!G297</f>
        <v>HexNAc(6+)(F)(x)</v>
      </c>
    </row>
    <row r="301" spans="1:2" x14ac:dyDescent="0.25">
      <c r="A301" s="6" t="str">
        <f>CONCATENATE(CONCATENATE('Table of compositions'!$A$1,"(",'Table of compositions'!A298,")",'Table of compositions'!$B$1,"(",'Table of compositions'!B298,")"),IF('Table of compositions'!C298=0,"",CONCATENATE('Table of compositions'!C$1,"(",'Table of compositions'!C298,")")),IF('Table of compositions'!D298=0,"",CONCATENATE('Table of compositions'!D$1,"(",'Table of compositions'!D298,")")),IF('Table of compositions'!E298=0,"",CONCATENATE('Table of compositions'!E$1,"(",'Table of compositions'!E298,")")))</f>
        <v>HexNAc(6)Hex(5)Fuc(1)NeuAc/NeuGc(1)</v>
      </c>
      <c r="B301" s="6" t="str">
        <f>'Table of compositions'!G298</f>
        <v>HexNAc(6+)(F)(x)</v>
      </c>
    </row>
    <row r="302" spans="1:2" x14ac:dyDescent="0.25">
      <c r="A302" s="6" t="str">
        <f>CONCATENATE(CONCATENATE('Table of compositions'!$A$1,"(",'Table of compositions'!A299,")",'Table of compositions'!$B$1,"(",'Table of compositions'!B299,")"),IF('Table of compositions'!C299=0,"",CONCATENATE('Table of compositions'!C$1,"(",'Table of compositions'!C299,")")),IF('Table of compositions'!D299=0,"",CONCATENATE('Table of compositions'!D$1,"(",'Table of compositions'!D299,")")),IF('Table of compositions'!E299=0,"",CONCATENATE('Table of compositions'!E$1,"(",'Table of compositions'!E299,")")))</f>
        <v>HexNAc(6)Hex(5)Fuc(1)NeuAc/NeuGc(2)</v>
      </c>
      <c r="B302" s="6" t="str">
        <f>'Table of compositions'!G299</f>
        <v>HexNAc(6+)(F)(x)</v>
      </c>
    </row>
    <row r="303" spans="1:2" x14ac:dyDescent="0.25">
      <c r="A303" s="6" t="str">
        <f>CONCATENATE(CONCATENATE('Table of compositions'!$A$1,"(",'Table of compositions'!A300,")",'Table of compositions'!$B$1,"(",'Table of compositions'!B300,")"),IF('Table of compositions'!C300=0,"",CONCATENATE('Table of compositions'!C$1,"(",'Table of compositions'!C300,")")),IF('Table of compositions'!D300=0,"",CONCATENATE('Table of compositions'!D$1,"(",'Table of compositions'!D300,")")),IF('Table of compositions'!E300=0,"",CONCATENATE('Table of compositions'!E$1,"(",'Table of compositions'!E300,")")))</f>
        <v>HexNAc(6)Hex(5)Fuc(1)NeuAc/NeuGc(3)</v>
      </c>
      <c r="B303" s="6" t="str">
        <f>'Table of compositions'!G300</f>
        <v>HexNAc(6+)(F)(x)</v>
      </c>
    </row>
    <row r="304" spans="1:2" x14ac:dyDescent="0.25">
      <c r="A304" s="6" t="str">
        <f>CONCATENATE(CONCATENATE('Table of compositions'!$A$1,"(",'Table of compositions'!A301,")",'Table of compositions'!$B$1,"(",'Table of compositions'!B301,")"),IF('Table of compositions'!C301=0,"",CONCATENATE('Table of compositions'!C$1,"(",'Table of compositions'!C301,")")),IF('Table of compositions'!D301=0,"",CONCATENATE('Table of compositions'!D$1,"(",'Table of compositions'!D301,")")),IF('Table of compositions'!E301=0,"",CONCATENATE('Table of compositions'!E$1,"(",'Table of compositions'!E301,")")))</f>
        <v>HexNAc(6)Hex(5)Fuc(1)NeuAc/NeuGc(1)SO4/Phospho(1)</v>
      </c>
      <c r="B304" s="6" t="str">
        <f>'Table of compositions'!G301</f>
        <v>HexNAc(6+)(F)(x)</v>
      </c>
    </row>
    <row r="305" spans="1:2" x14ac:dyDescent="0.25">
      <c r="A305" s="6" t="str">
        <f>CONCATENATE(CONCATENATE('Table of compositions'!$A$1,"(",'Table of compositions'!A302,")",'Table of compositions'!$B$1,"(",'Table of compositions'!B302,")"),IF('Table of compositions'!C302=0,"",CONCATENATE('Table of compositions'!C$1,"(",'Table of compositions'!C302,")")),IF('Table of compositions'!D302=0,"",CONCATENATE('Table of compositions'!D$1,"(",'Table of compositions'!D302,")")),IF('Table of compositions'!E302=0,"",CONCATENATE('Table of compositions'!E$1,"(",'Table of compositions'!E302,")")))</f>
        <v>HexNAc(6)Hex(5)Fuc(1)NeuAc/NeuGc(1)SO4/Phospho(2)</v>
      </c>
      <c r="B305" s="6" t="str">
        <f>'Table of compositions'!G302</f>
        <v>HexNAc(6+)(F)(x)</v>
      </c>
    </row>
    <row r="306" spans="1:2" x14ac:dyDescent="0.25">
      <c r="A306" s="6" t="str">
        <f>CONCATENATE(CONCATENATE('Table of compositions'!$A$1,"(",'Table of compositions'!A303,")",'Table of compositions'!$B$1,"(",'Table of compositions'!B303,")"),IF('Table of compositions'!C303=0,"",CONCATENATE('Table of compositions'!C$1,"(",'Table of compositions'!C303,")")),IF('Table of compositions'!D303=0,"",CONCATENATE('Table of compositions'!D$1,"(",'Table of compositions'!D303,")")),IF('Table of compositions'!E303=0,"",CONCATENATE('Table of compositions'!E$1,"(",'Table of compositions'!E303,")")))</f>
        <v>HexNAc(6)Hex(5)Fuc(1)NeuAc/NeuGc(1)SO4/Phospho(3)</v>
      </c>
      <c r="B306" s="6" t="str">
        <f>'Table of compositions'!G303</f>
        <v>HexNAc(6+)(F)(x)</v>
      </c>
    </row>
    <row r="307" spans="1:2" x14ac:dyDescent="0.25">
      <c r="A307" s="6" t="str">
        <f>CONCATENATE(CONCATENATE('Table of compositions'!$A$1,"(",'Table of compositions'!A304,")",'Table of compositions'!$B$1,"(",'Table of compositions'!B304,")"),IF('Table of compositions'!C304=0,"",CONCATENATE('Table of compositions'!C$1,"(",'Table of compositions'!C304,")")),IF('Table of compositions'!D304=0,"",CONCATENATE('Table of compositions'!D$1,"(",'Table of compositions'!D304,")")),IF('Table of compositions'!E304=0,"",CONCATENATE('Table of compositions'!E$1,"(",'Table of compositions'!E304,")")))</f>
        <v>HexNAc(6)Hex(5)Fuc(1)NeuAc/NeuGc(2)</v>
      </c>
      <c r="B307" s="6" t="str">
        <f>'Table of compositions'!G304</f>
        <v>HexNAc(6+)(F)(x)</v>
      </c>
    </row>
    <row r="308" spans="1:2" x14ac:dyDescent="0.25">
      <c r="A308" s="6" t="str">
        <f>CONCATENATE(CONCATENATE('Table of compositions'!$A$1,"(",'Table of compositions'!A305,")",'Table of compositions'!$B$1,"(",'Table of compositions'!B305,")"),IF('Table of compositions'!C305=0,"",CONCATENATE('Table of compositions'!C$1,"(",'Table of compositions'!C305,")")),IF('Table of compositions'!D305=0,"",CONCATENATE('Table of compositions'!D$1,"(",'Table of compositions'!D305,")")),IF('Table of compositions'!E305=0,"",CONCATENATE('Table of compositions'!E$1,"(",'Table of compositions'!E305,")")))</f>
        <v>HexNAc(6)Hex(5)Fuc(1)NeuAc/NeuGc(3)</v>
      </c>
      <c r="B308" s="6" t="str">
        <f>'Table of compositions'!G305</f>
        <v>HexNAc(6+)(F)(x)</v>
      </c>
    </row>
    <row r="309" spans="1:2" x14ac:dyDescent="0.25">
      <c r="A309" s="6" t="str">
        <f>CONCATENATE(CONCATENATE('Table of compositions'!$A$1,"(",'Table of compositions'!A306,")",'Table of compositions'!$B$1,"(",'Table of compositions'!B306,")"),IF('Table of compositions'!C306=0,"",CONCATENATE('Table of compositions'!C$1,"(",'Table of compositions'!C306,")")),IF('Table of compositions'!D306=0,"",CONCATENATE('Table of compositions'!D$1,"(",'Table of compositions'!D306,")")),IF('Table of compositions'!E306=0,"",CONCATENATE('Table of compositions'!E$1,"(",'Table of compositions'!E306,")")))</f>
        <v>HexNAc(6)Hex(5)Fuc(1)NeuAc/NeuGc(2)SO4/Phospho(1)</v>
      </c>
      <c r="B309" s="6" t="str">
        <f>'Table of compositions'!G306</f>
        <v>HexNAc(6+)(F)(x)</v>
      </c>
    </row>
    <row r="310" spans="1:2" x14ac:dyDescent="0.25">
      <c r="A310" s="6" t="str">
        <f>CONCATENATE(CONCATENATE('Table of compositions'!$A$1,"(",'Table of compositions'!A307,")",'Table of compositions'!$B$1,"(",'Table of compositions'!B307,")"),IF('Table of compositions'!C307=0,"",CONCATENATE('Table of compositions'!C$1,"(",'Table of compositions'!C307,")")),IF('Table of compositions'!D307=0,"",CONCATENATE('Table of compositions'!D$1,"(",'Table of compositions'!D307,")")),IF('Table of compositions'!E307=0,"",CONCATENATE('Table of compositions'!E$1,"(",'Table of compositions'!E307,")")))</f>
        <v>HexNAc(6)Hex(5)Fuc(1)NeuAc/NeuGc(2)SO4/Phospho(2)</v>
      </c>
      <c r="B310" s="6" t="str">
        <f>'Table of compositions'!G307</f>
        <v>HexNAc(6+)(F)(x)</v>
      </c>
    </row>
    <row r="311" spans="1:2" x14ac:dyDescent="0.25">
      <c r="A311" s="6" t="str">
        <f>CONCATENATE(CONCATENATE('Table of compositions'!$A$1,"(",'Table of compositions'!A308,")",'Table of compositions'!$B$1,"(",'Table of compositions'!B308,")"),IF('Table of compositions'!C308=0,"",CONCATENATE('Table of compositions'!C$1,"(",'Table of compositions'!C308,")")),IF('Table of compositions'!D308=0,"",CONCATENATE('Table of compositions'!D$1,"(",'Table of compositions'!D308,")")),IF('Table of compositions'!E308=0,"",CONCATENATE('Table of compositions'!E$1,"(",'Table of compositions'!E308,")")))</f>
        <v>HexNAc(6)Hex(5)Fuc(1)NeuAc/NeuGc(2)SO4/Phospho(3)</v>
      </c>
      <c r="B311" s="6" t="str">
        <f>'Table of compositions'!G308</f>
        <v>HexNAc(6+)(F)(x)</v>
      </c>
    </row>
    <row r="312" spans="1:2" x14ac:dyDescent="0.25">
      <c r="A312" s="6" t="str">
        <f>CONCATENATE(CONCATENATE('Table of compositions'!$A$1,"(",'Table of compositions'!A309,")",'Table of compositions'!$B$1,"(",'Table of compositions'!B309,")"),IF('Table of compositions'!C309=0,"",CONCATENATE('Table of compositions'!C$1,"(",'Table of compositions'!C309,")")),IF('Table of compositions'!D309=0,"",CONCATENATE('Table of compositions'!D$1,"(",'Table of compositions'!D309,")")),IF('Table of compositions'!E309=0,"",CONCATENATE('Table of compositions'!E$1,"(",'Table of compositions'!E309,")")))</f>
        <v>HexNAc(6)Hex(5)Fuc(1)NeuAc/NeuGc(3)</v>
      </c>
      <c r="B312" s="6" t="str">
        <f>'Table of compositions'!G309</f>
        <v>HexNAc(6+)(F)(x)</v>
      </c>
    </row>
    <row r="313" spans="1:2" x14ac:dyDescent="0.25">
      <c r="A313" s="6" t="str">
        <f>CONCATENATE(CONCATENATE('Table of compositions'!$A$1,"(",'Table of compositions'!A310,")",'Table of compositions'!$B$1,"(",'Table of compositions'!B310,")"),IF('Table of compositions'!C310=0,"",CONCATENATE('Table of compositions'!C$1,"(",'Table of compositions'!C310,")")),IF('Table of compositions'!D310=0,"",CONCATENATE('Table of compositions'!D$1,"(",'Table of compositions'!D310,")")),IF('Table of compositions'!E310=0,"",CONCATENATE('Table of compositions'!E$1,"(",'Table of compositions'!E310,")")))</f>
        <v>HexNAc(6)Hex(5)Fuc(1)NeuAc/NeuGc(3)</v>
      </c>
      <c r="B313" s="6" t="str">
        <f>'Table of compositions'!G310</f>
        <v>HexNAc(6+)(F)(x)</v>
      </c>
    </row>
    <row r="314" spans="1:2" x14ac:dyDescent="0.25">
      <c r="A314" s="6" t="str">
        <f>CONCATENATE(CONCATENATE('Table of compositions'!$A$1,"(",'Table of compositions'!A311,")",'Table of compositions'!$B$1,"(",'Table of compositions'!B311,")"),IF('Table of compositions'!C311=0,"",CONCATENATE('Table of compositions'!C$1,"(",'Table of compositions'!C311,")")),IF('Table of compositions'!D311=0,"",CONCATENATE('Table of compositions'!D$1,"(",'Table of compositions'!D311,")")),IF('Table of compositions'!E311=0,"",CONCATENATE('Table of compositions'!E$1,"(",'Table of compositions'!E311,")")))</f>
        <v>HexNAc(6)Hex(5)Fuc(1)SO4/Phospho(1)</v>
      </c>
      <c r="B314" s="6" t="str">
        <f>'Table of compositions'!G311</f>
        <v>HexNAc(6+)(F)(x)</v>
      </c>
    </row>
    <row r="315" spans="1:2" x14ac:dyDescent="0.25">
      <c r="A315" s="6" t="str">
        <f>CONCATENATE(CONCATENATE('Table of compositions'!$A$1,"(",'Table of compositions'!A312,")",'Table of compositions'!$B$1,"(",'Table of compositions'!B312,")"),IF('Table of compositions'!C312=0,"",CONCATENATE('Table of compositions'!C$1,"(",'Table of compositions'!C312,")")),IF('Table of compositions'!D312=0,"",CONCATENATE('Table of compositions'!D$1,"(",'Table of compositions'!D312,")")),IF('Table of compositions'!E312=0,"",CONCATENATE('Table of compositions'!E$1,"(",'Table of compositions'!E312,")")))</f>
        <v>HexNAc(6)Hex(5)Fuc(1)SO4/Phospho(2)</v>
      </c>
      <c r="B315" s="6" t="str">
        <f>'Table of compositions'!G312</f>
        <v>HexNAc(6+)(F)(x)</v>
      </c>
    </row>
    <row r="316" spans="1:2" x14ac:dyDescent="0.25">
      <c r="A316" s="6" t="str">
        <f>CONCATENATE(CONCATENATE('Table of compositions'!$A$1,"(",'Table of compositions'!A313,")",'Table of compositions'!$B$1,"(",'Table of compositions'!B313,")"),IF('Table of compositions'!C313=0,"",CONCATENATE('Table of compositions'!C$1,"(",'Table of compositions'!C313,")")),IF('Table of compositions'!D313=0,"",CONCATENATE('Table of compositions'!D$1,"(",'Table of compositions'!D313,")")),IF('Table of compositions'!E313=0,"",CONCATENATE('Table of compositions'!E$1,"(",'Table of compositions'!E313,")")))</f>
        <v>HexNAc(6)Hex(5)Fuc(1)SO4/Phospho(3)</v>
      </c>
      <c r="B316" s="6" t="str">
        <f>'Table of compositions'!G313</f>
        <v>HexNAc(6+)(F)(x)</v>
      </c>
    </row>
    <row r="317" spans="1:2" x14ac:dyDescent="0.25">
      <c r="A317" s="6" t="str">
        <f>CONCATENATE(CONCATENATE('Table of compositions'!$A$1,"(",'Table of compositions'!A314,")",'Table of compositions'!$B$1,"(",'Table of compositions'!B314,")"),IF('Table of compositions'!C314=0,"",CONCATENATE('Table of compositions'!C$1,"(",'Table of compositions'!C314,")")),IF('Table of compositions'!D314=0,"",CONCATENATE('Table of compositions'!D$1,"(",'Table of compositions'!D314,")")),IF('Table of compositions'!E314=0,"",CONCATENATE('Table of compositions'!E$1,"(",'Table of compositions'!E314,")")))</f>
        <v>HexNAc(6)Hex(5)Fuc(2)</v>
      </c>
      <c r="B317" s="6" t="str">
        <f>'Table of compositions'!G314</f>
        <v>HexNAc(6+)(F)(x)</v>
      </c>
    </row>
    <row r="318" spans="1:2" x14ac:dyDescent="0.25">
      <c r="A318" s="6" t="str">
        <f>CONCATENATE(CONCATENATE('Table of compositions'!$A$1,"(",'Table of compositions'!A315,")",'Table of compositions'!$B$1,"(",'Table of compositions'!B315,")"),IF('Table of compositions'!C315=0,"",CONCATENATE('Table of compositions'!C$1,"(",'Table of compositions'!C315,")")),IF('Table of compositions'!D315=0,"",CONCATENATE('Table of compositions'!D$1,"(",'Table of compositions'!D315,")")),IF('Table of compositions'!E315=0,"",CONCATENATE('Table of compositions'!E$1,"(",'Table of compositions'!E315,")")))</f>
        <v>HexNAc(6)Hex(5)Fuc(2)SO4/Phospho(1)</v>
      </c>
      <c r="B318" s="6" t="str">
        <f>'Table of compositions'!G315</f>
        <v>HexNAc(6+)(F)(x)</v>
      </c>
    </row>
    <row r="319" spans="1:2" x14ac:dyDescent="0.25">
      <c r="A319" s="6" t="str">
        <f>CONCATENATE(CONCATENATE('Table of compositions'!$A$1,"(",'Table of compositions'!A316,")",'Table of compositions'!$B$1,"(",'Table of compositions'!B316,")"),IF('Table of compositions'!C316=0,"",CONCATENATE('Table of compositions'!C$1,"(",'Table of compositions'!C316,")")),IF('Table of compositions'!D316=0,"",CONCATENATE('Table of compositions'!D$1,"(",'Table of compositions'!D316,")")),IF('Table of compositions'!E316=0,"",CONCATENATE('Table of compositions'!E$1,"(",'Table of compositions'!E316,")")))</f>
        <v>HexNAc(6)Hex(5)Fuc(2)SO4/Phospho(2)</v>
      </c>
      <c r="B319" s="6" t="str">
        <f>'Table of compositions'!G316</f>
        <v>HexNAc(6+)(F)(x)</v>
      </c>
    </row>
    <row r="320" spans="1:2" x14ac:dyDescent="0.25">
      <c r="A320" s="6" t="str">
        <f>CONCATENATE(CONCATENATE('Table of compositions'!$A$1,"(",'Table of compositions'!A317,")",'Table of compositions'!$B$1,"(",'Table of compositions'!B317,")"),IF('Table of compositions'!C317=0,"",CONCATENATE('Table of compositions'!C$1,"(",'Table of compositions'!C317,")")),IF('Table of compositions'!D317=0,"",CONCATENATE('Table of compositions'!D$1,"(",'Table of compositions'!D317,")")),IF('Table of compositions'!E317=0,"",CONCATENATE('Table of compositions'!E$1,"(",'Table of compositions'!E317,")")))</f>
        <v>HexNAc(6)Hex(5)Fuc(2)SO4/Phospho(3)</v>
      </c>
      <c r="B320" s="6" t="str">
        <f>'Table of compositions'!G317</f>
        <v>HexNAc(6+)(F)(x)</v>
      </c>
    </row>
    <row r="321" spans="1:2" x14ac:dyDescent="0.25">
      <c r="A321" s="6" t="str">
        <f>CONCATENATE(CONCATENATE('Table of compositions'!$A$1,"(",'Table of compositions'!A318,")",'Table of compositions'!$B$1,"(",'Table of compositions'!B318,")"),IF('Table of compositions'!C318=0,"",CONCATENATE('Table of compositions'!C$1,"(",'Table of compositions'!C318,")")),IF('Table of compositions'!D318=0,"",CONCATENATE('Table of compositions'!D$1,"(",'Table of compositions'!D318,")")),IF('Table of compositions'!E318=0,"",CONCATENATE('Table of compositions'!E$1,"(",'Table of compositions'!E318,")")))</f>
        <v>HexNAc(6)Hex(6)</v>
      </c>
      <c r="B321" s="6" t="str">
        <f>'Table of compositions'!G318</f>
        <v>HexNAc(6+)(x)</v>
      </c>
    </row>
    <row r="322" spans="1:2" x14ac:dyDescent="0.25">
      <c r="A322" s="6" t="str">
        <f>CONCATENATE(CONCATENATE('Table of compositions'!$A$1,"(",'Table of compositions'!A319,")",'Table of compositions'!$B$1,"(",'Table of compositions'!B319,")"),IF('Table of compositions'!C319=0,"",CONCATENATE('Table of compositions'!C$1,"(",'Table of compositions'!C319,")")),IF('Table of compositions'!D319=0,"",CONCATENATE('Table of compositions'!D$1,"(",'Table of compositions'!D319,")")),IF('Table of compositions'!E319=0,"",CONCATENATE('Table of compositions'!E$1,"(",'Table of compositions'!E319,")")))</f>
        <v>HexNAc(6)Hex(6)Fuc(1)</v>
      </c>
      <c r="B322" s="6" t="str">
        <f>'Table of compositions'!G319</f>
        <v>HexNAc(6+)(F)(x)</v>
      </c>
    </row>
    <row r="323" spans="1:2" x14ac:dyDescent="0.25">
      <c r="A323" s="6" t="str">
        <f>CONCATENATE(CONCATENATE('Table of compositions'!$A$1,"(",'Table of compositions'!A320,")",'Table of compositions'!$B$1,"(",'Table of compositions'!B320,")"),IF('Table of compositions'!C320=0,"",CONCATENATE('Table of compositions'!C$1,"(",'Table of compositions'!C320,")")),IF('Table of compositions'!D320=0,"",CONCATENATE('Table of compositions'!D$1,"(",'Table of compositions'!D320,")")),IF('Table of compositions'!E320=0,"",CONCATENATE('Table of compositions'!E$1,"(",'Table of compositions'!E320,")")))</f>
        <v>HexNAc(6)Hex(6)Fuc(1)NeuAc/NeuGc(1)</v>
      </c>
      <c r="B323" s="6" t="str">
        <f>'Table of compositions'!G320</f>
        <v>HexNAc(6+)(F)(x)</v>
      </c>
    </row>
    <row r="324" spans="1:2" x14ac:dyDescent="0.25">
      <c r="A324" s="6" t="str">
        <f>CONCATENATE(CONCATENATE('Table of compositions'!$A$1,"(",'Table of compositions'!A321,")",'Table of compositions'!$B$1,"(",'Table of compositions'!B321,")"),IF('Table of compositions'!C321=0,"",CONCATENATE('Table of compositions'!C$1,"(",'Table of compositions'!C321,")")),IF('Table of compositions'!D321=0,"",CONCATENATE('Table of compositions'!D$1,"(",'Table of compositions'!D321,")")),IF('Table of compositions'!E321=0,"",CONCATENATE('Table of compositions'!E$1,"(",'Table of compositions'!E321,")")))</f>
        <v>HexNAc(6)Hex(6)Fuc(1)NeuAc/NeuGc(2)</v>
      </c>
      <c r="B324" s="6" t="str">
        <f>'Table of compositions'!G321</f>
        <v>HexNAc(6+)(F)(x)</v>
      </c>
    </row>
    <row r="325" spans="1:2" x14ac:dyDescent="0.25">
      <c r="A325" s="6" t="str">
        <f>CONCATENATE(CONCATENATE('Table of compositions'!$A$1,"(",'Table of compositions'!A322,")",'Table of compositions'!$B$1,"(",'Table of compositions'!B322,")"),IF('Table of compositions'!C322=0,"",CONCATENATE('Table of compositions'!C$1,"(",'Table of compositions'!C322,")")),IF('Table of compositions'!D322=0,"",CONCATENATE('Table of compositions'!D$1,"(",'Table of compositions'!D322,")")),IF('Table of compositions'!E322=0,"",CONCATENATE('Table of compositions'!E$1,"(",'Table of compositions'!E322,")")))</f>
        <v>HexNAc(6)Hex(6)Fuc(1)NeuAc/NeuGc(3)</v>
      </c>
      <c r="B325" s="6" t="str">
        <f>'Table of compositions'!G322</f>
        <v>HexNAc(6+)(F)(x)</v>
      </c>
    </row>
    <row r="326" spans="1:2" x14ac:dyDescent="0.25">
      <c r="A326" s="6" t="str">
        <f>CONCATENATE(CONCATENATE('Table of compositions'!$A$1,"(",'Table of compositions'!A323,")",'Table of compositions'!$B$1,"(",'Table of compositions'!B323,")"),IF('Table of compositions'!C323=0,"",CONCATENATE('Table of compositions'!C$1,"(",'Table of compositions'!C323,")")),IF('Table of compositions'!D323=0,"",CONCATENATE('Table of compositions'!D$1,"(",'Table of compositions'!D323,")")),IF('Table of compositions'!E323=0,"",CONCATENATE('Table of compositions'!E$1,"(",'Table of compositions'!E323,")")))</f>
        <v>HexNAc(6)Hex(6)Fuc(1)NeuAc/NeuGc(2)</v>
      </c>
      <c r="B326" s="6" t="str">
        <f>'Table of compositions'!G323</f>
        <v>HexNAc(6+)(F)(x)</v>
      </c>
    </row>
    <row r="327" spans="1:2" x14ac:dyDescent="0.25">
      <c r="A327" s="6" t="str">
        <f>CONCATENATE(CONCATENATE('Table of compositions'!$A$1,"(",'Table of compositions'!A324,")",'Table of compositions'!$B$1,"(",'Table of compositions'!B324,")"),IF('Table of compositions'!C324=0,"",CONCATENATE('Table of compositions'!C$1,"(",'Table of compositions'!C324,")")),IF('Table of compositions'!D324=0,"",CONCATENATE('Table of compositions'!D$1,"(",'Table of compositions'!D324,")")),IF('Table of compositions'!E324=0,"",CONCATENATE('Table of compositions'!E$1,"(",'Table of compositions'!E324,")")))</f>
        <v>HexNAc(6)Hex(6)Fuc(1)NeuAc/NeuGc(3)</v>
      </c>
      <c r="B327" s="6" t="str">
        <f>'Table of compositions'!G324</f>
        <v>HexNAc(6+)(F)(x)</v>
      </c>
    </row>
    <row r="328" spans="1:2" x14ac:dyDescent="0.25">
      <c r="A328" s="6" t="str">
        <f>CONCATENATE(CONCATENATE('Table of compositions'!$A$1,"(",'Table of compositions'!A325,")",'Table of compositions'!$B$1,"(",'Table of compositions'!B325,")"),IF('Table of compositions'!C325=0,"",CONCATENATE('Table of compositions'!C$1,"(",'Table of compositions'!C325,")")),IF('Table of compositions'!D325=0,"",CONCATENATE('Table of compositions'!D$1,"(",'Table of compositions'!D325,")")),IF('Table of compositions'!E325=0,"",CONCATENATE('Table of compositions'!E$1,"(",'Table of compositions'!E325,")")))</f>
        <v>HexNAc(6)Hex(6)Fuc(1)NeuAc/NeuGc(3)</v>
      </c>
      <c r="B328" s="6" t="str">
        <f>'Table of compositions'!G325</f>
        <v>HexNAc(6+)(F)(x)</v>
      </c>
    </row>
    <row r="329" spans="1:2" x14ac:dyDescent="0.25">
      <c r="A329" s="6" t="str">
        <f>CONCATENATE(CONCATENATE('Table of compositions'!$A$1,"(",'Table of compositions'!A326,")",'Table of compositions'!$B$1,"(",'Table of compositions'!B326,")"),IF('Table of compositions'!C326=0,"",CONCATENATE('Table of compositions'!C$1,"(",'Table of compositions'!C326,")")),IF('Table of compositions'!D326=0,"",CONCATENATE('Table of compositions'!D$1,"(",'Table of compositions'!D326,")")),IF('Table of compositions'!E326=0,"",CONCATENATE('Table of compositions'!E$1,"(",'Table of compositions'!E326,")")))</f>
        <v>HexNAc(6)Hex(6)Fuc(1)NeuAc/NeuGc(2)</v>
      </c>
      <c r="B329" s="6" t="str">
        <f>'Table of compositions'!G326</f>
        <v>HexNAc(6+)(F)(x)</v>
      </c>
    </row>
    <row r="330" spans="1:2" x14ac:dyDescent="0.25">
      <c r="A330" s="6" t="str">
        <f>CONCATENATE(CONCATENATE('Table of compositions'!$A$1,"(",'Table of compositions'!A327,")",'Table of compositions'!$B$1,"(",'Table of compositions'!B327,")"),IF('Table of compositions'!C327=0,"",CONCATENATE('Table of compositions'!C$1,"(",'Table of compositions'!C327,")")),IF('Table of compositions'!D327=0,"",CONCATENATE('Table of compositions'!D$1,"(",'Table of compositions'!D327,")")),IF('Table of compositions'!E327=0,"",CONCATENATE('Table of compositions'!E$1,"(",'Table of compositions'!E327,")")))</f>
        <v>HexNAc(6)Hex(6)Fuc(1)NeuAc/NeuGc(3)</v>
      </c>
      <c r="B330" s="6" t="str">
        <f>'Table of compositions'!G327</f>
        <v>HexNAc(6+)(F)(x)</v>
      </c>
    </row>
    <row r="331" spans="1:2" x14ac:dyDescent="0.25">
      <c r="A331" s="6" t="str">
        <f>CONCATENATE(CONCATENATE('Table of compositions'!$A$1,"(",'Table of compositions'!A328,")",'Table of compositions'!$B$1,"(",'Table of compositions'!B328,")"),IF('Table of compositions'!C328=0,"",CONCATENATE('Table of compositions'!C$1,"(",'Table of compositions'!C328,")")),IF('Table of compositions'!D328=0,"",CONCATENATE('Table of compositions'!D$1,"(",'Table of compositions'!D328,")")),IF('Table of compositions'!E328=0,"",CONCATENATE('Table of compositions'!E$1,"(",'Table of compositions'!E328,")")))</f>
        <v>HexNAc(6)Hex(6)Fuc(2)</v>
      </c>
      <c r="B331" s="6" t="str">
        <f>'Table of compositions'!G328</f>
        <v>HexNAc(6+)(F)(x)</v>
      </c>
    </row>
    <row r="332" spans="1:2" x14ac:dyDescent="0.25">
      <c r="A332" s="6" t="str">
        <f>CONCATENATE(CONCATENATE('Table of compositions'!$A$1,"(",'Table of compositions'!A329,")",'Table of compositions'!$B$1,"(",'Table of compositions'!B329,")"),IF('Table of compositions'!C329=0,"",CONCATENATE('Table of compositions'!C$1,"(",'Table of compositions'!C329,")")),IF('Table of compositions'!D329=0,"",CONCATENATE('Table of compositions'!D$1,"(",'Table of compositions'!D329,")")),IF('Table of compositions'!E329=0,"",CONCATENATE('Table of compositions'!E$1,"(",'Table of compositions'!E329,")")))</f>
        <v>HexNAc(6)Hex(6)Fuc(3)</v>
      </c>
      <c r="B332" s="6" t="str">
        <f>'Table of compositions'!G329</f>
        <v>HexNAc(6+)(F)(x)</v>
      </c>
    </row>
    <row r="333" spans="1:2" x14ac:dyDescent="0.25">
      <c r="A333" s="6" t="str">
        <f>CONCATENATE(CONCATENATE('Table of compositions'!$A$1,"(",'Table of compositions'!A330,")",'Table of compositions'!$B$1,"(",'Table of compositions'!B330,")"),IF('Table of compositions'!C330=0,"",CONCATENATE('Table of compositions'!C$1,"(",'Table of compositions'!C330,")")),IF('Table of compositions'!D330=0,"",CONCATENATE('Table of compositions'!D$1,"(",'Table of compositions'!D330,")")),IF('Table of compositions'!E330=0,"",CONCATENATE('Table of compositions'!E$1,"(",'Table of compositions'!E330,")")))</f>
        <v>HexNAc(6)Hex(6)NeuAc/NeuGc(1)</v>
      </c>
      <c r="B333" s="6" t="str">
        <f>'Table of compositions'!G330</f>
        <v>HexNAc(6+)(x)</v>
      </c>
    </row>
    <row r="334" spans="1:2" x14ac:dyDescent="0.25">
      <c r="A334" s="6" t="str">
        <f>CONCATENATE(CONCATENATE('Table of compositions'!$A$1,"(",'Table of compositions'!A331,")",'Table of compositions'!$B$1,"(",'Table of compositions'!B331,")"),IF('Table of compositions'!C331=0,"",CONCATENATE('Table of compositions'!C$1,"(",'Table of compositions'!C331,")")),IF('Table of compositions'!D331=0,"",CONCATENATE('Table of compositions'!D$1,"(",'Table of compositions'!D331,")")),IF('Table of compositions'!E331=0,"",CONCATENATE('Table of compositions'!E$1,"(",'Table of compositions'!E331,")")))</f>
        <v>HexNAc(6)Hex(6)NeuAc/NeuGc(2)</v>
      </c>
      <c r="B334" s="6" t="str">
        <f>'Table of compositions'!G331</f>
        <v>HexNAc(6+)(x)</v>
      </c>
    </row>
    <row r="335" spans="1:2" x14ac:dyDescent="0.25">
      <c r="A335" s="6" t="str">
        <f>CONCATENATE(CONCATENATE('Table of compositions'!$A$1,"(",'Table of compositions'!A332,")",'Table of compositions'!$B$1,"(",'Table of compositions'!B332,")"),IF('Table of compositions'!C332=0,"",CONCATENATE('Table of compositions'!C$1,"(",'Table of compositions'!C332,")")),IF('Table of compositions'!D332=0,"",CONCATENATE('Table of compositions'!D$1,"(",'Table of compositions'!D332,")")),IF('Table of compositions'!E332=0,"",CONCATENATE('Table of compositions'!E$1,"(",'Table of compositions'!E332,")")))</f>
        <v>HexNAc(6)Hex(6)NeuAc/NeuGc(2)</v>
      </c>
      <c r="B335" s="6" t="str">
        <f>'Table of compositions'!G332</f>
        <v>HexNAc(6+)(x)</v>
      </c>
    </row>
    <row r="336" spans="1:2" x14ac:dyDescent="0.25">
      <c r="A336" s="6" t="str">
        <f>CONCATENATE(CONCATENATE('Table of compositions'!$A$1,"(",'Table of compositions'!A333,")",'Table of compositions'!$B$1,"(",'Table of compositions'!B333,")"),IF('Table of compositions'!C333=0,"",CONCATENATE('Table of compositions'!C$1,"(",'Table of compositions'!C333,")")),IF('Table of compositions'!D333=0,"",CONCATENATE('Table of compositions'!D$1,"(",'Table of compositions'!D333,")")),IF('Table of compositions'!E333=0,"",CONCATENATE('Table of compositions'!E$1,"(",'Table of compositions'!E333,")")))</f>
        <v>HexNAc(6)Hex(6)NeuAc/NeuGc(2)</v>
      </c>
      <c r="B336" s="6" t="str">
        <f>'Table of compositions'!G333</f>
        <v>HexNAc(6+)(x)</v>
      </c>
    </row>
    <row r="337" spans="1:2" x14ac:dyDescent="0.25">
      <c r="A337" s="6" t="str">
        <f>CONCATENATE(CONCATENATE('Table of compositions'!$A$1,"(",'Table of compositions'!A334,")",'Table of compositions'!$B$1,"(",'Table of compositions'!B334,")"),IF('Table of compositions'!C334=0,"",CONCATENATE('Table of compositions'!C$1,"(",'Table of compositions'!C334,")")),IF('Table of compositions'!D334=0,"",CONCATENATE('Table of compositions'!D$1,"(",'Table of compositions'!D334,")")),IF('Table of compositions'!E334=0,"",CONCATENATE('Table of compositions'!E$1,"(",'Table of compositions'!E334,")")))</f>
        <v>HexNAc(6)Hex(7)</v>
      </c>
      <c r="B337" s="6" t="str">
        <f>'Table of compositions'!G334</f>
        <v>HexNAc(6+)(x)</v>
      </c>
    </row>
    <row r="338" spans="1:2" x14ac:dyDescent="0.25">
      <c r="A338" s="6" t="str">
        <f>CONCATENATE(CONCATENATE('Table of compositions'!$A$1,"(",'Table of compositions'!A335,")",'Table of compositions'!$B$1,"(",'Table of compositions'!B335,")"),IF('Table of compositions'!C335=0,"",CONCATENATE('Table of compositions'!C$1,"(",'Table of compositions'!C335,")")),IF('Table of compositions'!D335=0,"",CONCATENATE('Table of compositions'!D$1,"(",'Table of compositions'!D335,")")),IF('Table of compositions'!E335=0,"",CONCATENATE('Table of compositions'!E$1,"(",'Table of compositions'!E335,")")))</f>
        <v>HexNAc(6)Hex(7)Fuc(1)</v>
      </c>
      <c r="B338" s="6" t="str">
        <f>'Table of compositions'!G335</f>
        <v>HexNAc(6+)(F)(x)</v>
      </c>
    </row>
    <row r="339" spans="1:2" x14ac:dyDescent="0.25">
      <c r="A339" s="6" t="str">
        <f>CONCATENATE(CONCATENATE('Table of compositions'!$A$1,"(",'Table of compositions'!A336,")",'Table of compositions'!$B$1,"(",'Table of compositions'!B336,")"),IF('Table of compositions'!C336=0,"",CONCATENATE('Table of compositions'!C$1,"(",'Table of compositions'!C336,")")),IF('Table of compositions'!D336=0,"",CONCATENATE('Table of compositions'!D$1,"(",'Table of compositions'!D336,")")),IF('Table of compositions'!E336=0,"",CONCATENATE('Table of compositions'!E$1,"(",'Table of compositions'!E336,")")))</f>
        <v>HexNAc(6)Hex(7)Fuc(1)NeuAc/NeuGc(1)</v>
      </c>
      <c r="B339" s="6" t="str">
        <f>'Table of compositions'!G336</f>
        <v>HexNAc(6+)(F)(x)</v>
      </c>
    </row>
    <row r="340" spans="1:2" x14ac:dyDescent="0.25">
      <c r="A340" s="6" t="str">
        <f>CONCATENATE(CONCATENATE('Table of compositions'!$A$1,"(",'Table of compositions'!A337,")",'Table of compositions'!$B$1,"(",'Table of compositions'!B337,")"),IF('Table of compositions'!C337=0,"",CONCATENATE('Table of compositions'!C$1,"(",'Table of compositions'!C337,")")),IF('Table of compositions'!D337=0,"",CONCATENATE('Table of compositions'!D$1,"(",'Table of compositions'!D337,")")),IF('Table of compositions'!E337=0,"",CONCATENATE('Table of compositions'!E$1,"(",'Table of compositions'!E337,")")))</f>
        <v>HexNAc(6)Hex(7)Fuc(1)NeuAc/NeuGc(2)</v>
      </c>
      <c r="B340" s="6" t="str">
        <f>'Table of compositions'!G337</f>
        <v>HexNAc(6+)(F)(x)</v>
      </c>
    </row>
    <row r="341" spans="1:2" x14ac:dyDescent="0.25">
      <c r="A341" s="6" t="str">
        <f>CONCATENATE(CONCATENATE('Table of compositions'!$A$1,"(",'Table of compositions'!A338,")",'Table of compositions'!$B$1,"(",'Table of compositions'!B338,")"),IF('Table of compositions'!C338=0,"",CONCATENATE('Table of compositions'!C$1,"(",'Table of compositions'!C338,")")),IF('Table of compositions'!D338=0,"",CONCATENATE('Table of compositions'!D$1,"(",'Table of compositions'!D338,")")),IF('Table of compositions'!E338=0,"",CONCATENATE('Table of compositions'!E$1,"(",'Table of compositions'!E338,")")))</f>
        <v>HexNAc(6)Hex(7)Fuc(1)NeuAc/NeuGc(3)</v>
      </c>
      <c r="B341" s="6" t="str">
        <f>'Table of compositions'!G338</f>
        <v>HexNAc(6+)(F)(x)</v>
      </c>
    </row>
    <row r="342" spans="1:2" x14ac:dyDescent="0.25">
      <c r="A342" s="6" t="str">
        <f>CONCATENATE(CONCATENATE('Table of compositions'!$A$1,"(",'Table of compositions'!A339,")",'Table of compositions'!$B$1,"(",'Table of compositions'!B339,")"),IF('Table of compositions'!C339=0,"",CONCATENATE('Table of compositions'!C$1,"(",'Table of compositions'!C339,")")),IF('Table of compositions'!D339=0,"",CONCATENATE('Table of compositions'!D$1,"(",'Table of compositions'!D339,")")),IF('Table of compositions'!E339=0,"",CONCATENATE('Table of compositions'!E$1,"(",'Table of compositions'!E339,")")))</f>
        <v>HexNAc(6)Hex(7)Fuc(1)NeuAc/NeuGc(4)</v>
      </c>
      <c r="B342" s="6" t="str">
        <f>'Table of compositions'!G339</f>
        <v>HexNAc(6+)(F)(x)</v>
      </c>
    </row>
    <row r="343" spans="1:2" x14ac:dyDescent="0.25">
      <c r="A343" s="6" t="str">
        <f>CONCATENATE(CONCATENATE('Table of compositions'!$A$1,"(",'Table of compositions'!A340,")",'Table of compositions'!$B$1,"(",'Table of compositions'!B340,")"),IF('Table of compositions'!C340=0,"",CONCATENATE('Table of compositions'!C$1,"(",'Table of compositions'!C340,")")),IF('Table of compositions'!D340=0,"",CONCATENATE('Table of compositions'!D$1,"(",'Table of compositions'!D340,")")),IF('Table of compositions'!E340=0,"",CONCATENATE('Table of compositions'!E$1,"(",'Table of compositions'!E340,")")))</f>
        <v>HexNAc(6)Hex(7)Fuc(1)NeuAc/NeuGc(4)</v>
      </c>
      <c r="B343" s="6" t="str">
        <f>'Table of compositions'!G340</f>
        <v>HexNAc(6+)(F)(x)</v>
      </c>
    </row>
    <row r="344" spans="1:2" x14ac:dyDescent="0.25">
      <c r="A344" s="6" t="str">
        <f>CONCATENATE(CONCATENATE('Table of compositions'!$A$1,"(",'Table of compositions'!A341,")",'Table of compositions'!$B$1,"(",'Table of compositions'!B341,")"),IF('Table of compositions'!C341=0,"",CONCATENATE('Table of compositions'!C$1,"(",'Table of compositions'!C341,")")),IF('Table of compositions'!D341=0,"",CONCATENATE('Table of compositions'!D$1,"(",'Table of compositions'!D341,")")),IF('Table of compositions'!E341=0,"",CONCATENATE('Table of compositions'!E$1,"(",'Table of compositions'!E341,")")))</f>
        <v>HexNAc(6)Hex(7)Fuc(1)NeuAc/NeuGc(1)</v>
      </c>
      <c r="B344" s="6" t="str">
        <f>'Table of compositions'!G341</f>
        <v>HexNAc(6+)(F)(x)</v>
      </c>
    </row>
    <row r="345" spans="1:2" x14ac:dyDescent="0.25">
      <c r="A345" s="6" t="str">
        <f>CONCATENATE(CONCATENATE('Table of compositions'!$A$1,"(",'Table of compositions'!A342,")",'Table of compositions'!$B$1,"(",'Table of compositions'!B342,")"),IF('Table of compositions'!C342=0,"",CONCATENATE('Table of compositions'!C$1,"(",'Table of compositions'!C342,")")),IF('Table of compositions'!D342=0,"",CONCATENATE('Table of compositions'!D$1,"(",'Table of compositions'!D342,")")),IF('Table of compositions'!E342=0,"",CONCATENATE('Table of compositions'!E$1,"(",'Table of compositions'!E342,")")))</f>
        <v>HexNAc(6)Hex(7)Fuc(4)</v>
      </c>
      <c r="B345" s="6" t="str">
        <f>'Table of compositions'!G342</f>
        <v>HexNAc(6+)(F)(x)</v>
      </c>
    </row>
    <row r="346" spans="1:2" x14ac:dyDescent="0.25">
      <c r="A346" s="6" t="str">
        <f>CONCATENATE(CONCATENATE('Table of compositions'!$A$1,"(",'Table of compositions'!A343,")",'Table of compositions'!$B$1,"(",'Table of compositions'!B343,")"),IF('Table of compositions'!C343=0,"",CONCATENATE('Table of compositions'!C$1,"(",'Table of compositions'!C343,")")),IF('Table of compositions'!D343=0,"",CONCATENATE('Table of compositions'!D$1,"(",'Table of compositions'!D343,")")),IF('Table of compositions'!E343=0,"",CONCATENATE('Table of compositions'!E$1,"(",'Table of compositions'!E343,")")))</f>
        <v>HexNAc(6)Hex(7)Fuc(4)NeuAc/NeuGc(1)</v>
      </c>
      <c r="B346" s="6" t="str">
        <f>'Table of compositions'!G343</f>
        <v>HexNAc(6+)(F)(x)</v>
      </c>
    </row>
    <row r="347" spans="1:2" x14ac:dyDescent="0.25">
      <c r="A347" s="6" t="str">
        <f>CONCATENATE(CONCATENATE('Table of compositions'!$A$1,"(",'Table of compositions'!A344,")",'Table of compositions'!$B$1,"(",'Table of compositions'!B344,")"),IF('Table of compositions'!C344=0,"",CONCATENATE('Table of compositions'!C$1,"(",'Table of compositions'!C344,")")),IF('Table of compositions'!D344=0,"",CONCATENATE('Table of compositions'!D$1,"(",'Table of compositions'!D344,")")),IF('Table of compositions'!E344=0,"",CONCATENATE('Table of compositions'!E$1,"(",'Table of compositions'!E344,")")))</f>
        <v>HexNAc(6)Hex(7)Fuc(4)NeuAc/NeuGc(1)</v>
      </c>
      <c r="B347" s="6" t="str">
        <f>'Table of compositions'!G344</f>
        <v>HexNAc(6+)(F)(x)</v>
      </c>
    </row>
    <row r="348" spans="1:2" x14ac:dyDescent="0.25">
      <c r="A348" s="6" t="str">
        <f>CONCATENATE(CONCATENATE('Table of compositions'!$A$1,"(",'Table of compositions'!A345,")",'Table of compositions'!$B$1,"(",'Table of compositions'!B345,")"),IF('Table of compositions'!C345=0,"",CONCATENATE('Table of compositions'!C$1,"(",'Table of compositions'!C345,")")),IF('Table of compositions'!D345=0,"",CONCATENATE('Table of compositions'!D$1,"(",'Table of compositions'!D345,")")),IF('Table of compositions'!E345=0,"",CONCATENATE('Table of compositions'!E$1,"(",'Table of compositions'!E345,")")))</f>
        <v>HexNAc(6)Hex(7)Fuc(4)SO4/Phospho(1)</v>
      </c>
      <c r="B348" s="6" t="str">
        <f>'Table of compositions'!G345</f>
        <v>HexNAc(6+)(F)(x)</v>
      </c>
    </row>
    <row r="349" spans="1:2" x14ac:dyDescent="0.25">
      <c r="A349" s="6" t="str">
        <f>CONCATENATE(CONCATENATE('Table of compositions'!$A$1,"(",'Table of compositions'!A346,")",'Table of compositions'!$B$1,"(",'Table of compositions'!B346,")"),IF('Table of compositions'!C346=0,"",CONCATENATE('Table of compositions'!C$1,"(",'Table of compositions'!C346,")")),IF('Table of compositions'!D346=0,"",CONCATENATE('Table of compositions'!D$1,"(",'Table of compositions'!D346,")")),IF('Table of compositions'!E346=0,"",CONCATENATE('Table of compositions'!E$1,"(",'Table of compositions'!E346,")")))</f>
        <v>HexNAc(6)Hex(7)Fuc(5)</v>
      </c>
      <c r="B349" s="6" t="str">
        <f>'Table of compositions'!G346</f>
        <v>HexNAc(6+)(F)(x)</v>
      </c>
    </row>
    <row r="350" spans="1:2" x14ac:dyDescent="0.25">
      <c r="A350" s="6" t="str">
        <f>CONCATENATE(CONCATENATE('Table of compositions'!$A$1,"(",'Table of compositions'!A347,")",'Table of compositions'!$B$1,"(",'Table of compositions'!B347,")"),IF('Table of compositions'!C347=0,"",CONCATENATE('Table of compositions'!C$1,"(",'Table of compositions'!C347,")")),IF('Table of compositions'!D347=0,"",CONCATENATE('Table of compositions'!D$1,"(",'Table of compositions'!D347,")")),IF('Table of compositions'!E347=0,"",CONCATENATE('Table of compositions'!E$1,"(",'Table of compositions'!E347,")")))</f>
        <v>HexNAc(6)Hex(7)NeuAc/NeuGc(1)</v>
      </c>
      <c r="B350" s="6" t="str">
        <f>'Table of compositions'!G347</f>
        <v>HexNAc(6+)(x)</v>
      </c>
    </row>
    <row r="351" spans="1:2" x14ac:dyDescent="0.25">
      <c r="A351" s="6" t="str">
        <f>CONCATENATE(CONCATENATE('Table of compositions'!$A$1,"(",'Table of compositions'!A348,")",'Table of compositions'!$B$1,"(",'Table of compositions'!B348,")"),IF('Table of compositions'!C348=0,"",CONCATENATE('Table of compositions'!C$1,"(",'Table of compositions'!C348,")")),IF('Table of compositions'!D348=0,"",CONCATENATE('Table of compositions'!D$1,"(",'Table of compositions'!D348,")")),IF('Table of compositions'!E348=0,"",CONCATENATE('Table of compositions'!E$1,"(",'Table of compositions'!E348,")")))</f>
        <v>HexNAc(6)Hex(7)NeuAc/NeuGc(2)</v>
      </c>
      <c r="B351" s="6" t="str">
        <f>'Table of compositions'!G348</f>
        <v>HexNAc(6+)(x)</v>
      </c>
    </row>
    <row r="352" spans="1:2" x14ac:dyDescent="0.25">
      <c r="A352" s="6" t="str">
        <f>CONCATENATE(CONCATENATE('Table of compositions'!$A$1,"(",'Table of compositions'!A349,")",'Table of compositions'!$B$1,"(",'Table of compositions'!B349,")"),IF('Table of compositions'!C349=0,"",CONCATENATE('Table of compositions'!C$1,"(",'Table of compositions'!C349,")")),IF('Table of compositions'!D349=0,"",CONCATENATE('Table of compositions'!D$1,"(",'Table of compositions'!D349,")")),IF('Table of compositions'!E349=0,"",CONCATENATE('Table of compositions'!E$1,"(",'Table of compositions'!E349,")")))</f>
        <v>HexNAc(6)Hex(7)NeuAc/NeuGc(2)</v>
      </c>
      <c r="B352" s="6" t="str">
        <f>'Table of compositions'!G349</f>
        <v>HexNAc(6+)(x)</v>
      </c>
    </row>
    <row r="353" spans="1:2" x14ac:dyDescent="0.25">
      <c r="A353" s="6" t="str">
        <f>CONCATENATE(CONCATENATE('Table of compositions'!$A$1,"(",'Table of compositions'!A350,")",'Table of compositions'!$B$1,"(",'Table of compositions'!B350,")"),IF('Table of compositions'!C350=0,"",CONCATENATE('Table of compositions'!C$1,"(",'Table of compositions'!C350,")")),IF('Table of compositions'!D350=0,"",CONCATENATE('Table of compositions'!D$1,"(",'Table of compositions'!D350,")")),IF('Table of compositions'!E350=0,"",CONCATENATE('Table of compositions'!E$1,"(",'Table of compositions'!E350,")")))</f>
        <v>HexNAc(6)Hex(7)NeuAc/NeuGc(3)</v>
      </c>
      <c r="B353" s="6" t="str">
        <f>'Table of compositions'!G350</f>
        <v>HexNAc(6+)(x)</v>
      </c>
    </row>
    <row r="354" spans="1:2" x14ac:dyDescent="0.25">
      <c r="A354" s="6" t="str">
        <f>CONCATENATE(CONCATENATE('Table of compositions'!$A$1,"(",'Table of compositions'!A351,")",'Table of compositions'!$B$1,"(",'Table of compositions'!B351,")"),IF('Table of compositions'!C351=0,"",CONCATENATE('Table of compositions'!C$1,"(",'Table of compositions'!C351,")")),IF('Table of compositions'!D351=0,"",CONCATENATE('Table of compositions'!D$1,"(",'Table of compositions'!D351,")")),IF('Table of compositions'!E351=0,"",CONCATENATE('Table of compositions'!E$1,"(",'Table of compositions'!E351,")")))</f>
        <v>HexNAc(6)Hex(7)NeuAc/NeuGc(4)</v>
      </c>
      <c r="B354" s="6" t="str">
        <f>'Table of compositions'!G351</f>
        <v>HexNAc(6+)(x)</v>
      </c>
    </row>
    <row r="355" spans="1:2" x14ac:dyDescent="0.25">
      <c r="A355" s="6" t="str">
        <f>CONCATENATE(CONCATENATE('Table of compositions'!$A$1,"(",'Table of compositions'!A352,")",'Table of compositions'!$B$1,"(",'Table of compositions'!B352,")"),IF('Table of compositions'!C352=0,"",CONCATENATE('Table of compositions'!C$1,"(",'Table of compositions'!C352,")")),IF('Table of compositions'!D352=0,"",CONCATENATE('Table of compositions'!D$1,"(",'Table of compositions'!D352,")")),IF('Table of compositions'!E352=0,"",CONCATENATE('Table of compositions'!E$1,"(",'Table of compositions'!E352,")")))</f>
        <v>HexNAc(6)Hex(7)NeuAc/NeuGc(3)</v>
      </c>
      <c r="B355" s="6" t="str">
        <f>'Table of compositions'!G352</f>
        <v>HexNAc(6+)(x)</v>
      </c>
    </row>
    <row r="356" spans="1:2" x14ac:dyDescent="0.25">
      <c r="A356" s="6" t="str">
        <f>CONCATENATE(CONCATENATE('Table of compositions'!$A$1,"(",'Table of compositions'!A353,")",'Table of compositions'!$B$1,"(",'Table of compositions'!B353,")"),IF('Table of compositions'!C353=0,"",CONCATENATE('Table of compositions'!C$1,"(",'Table of compositions'!C353,")")),IF('Table of compositions'!D353=0,"",CONCATENATE('Table of compositions'!D$1,"(",'Table of compositions'!D353,")")),IF('Table of compositions'!E353=0,"",CONCATENATE('Table of compositions'!E$1,"(",'Table of compositions'!E353,")")))</f>
        <v>HexNAc(6)Hex(7)NeuAc/NeuGc(4)</v>
      </c>
      <c r="B356" s="6" t="str">
        <f>'Table of compositions'!G353</f>
        <v>HexNAc(6+)(x)</v>
      </c>
    </row>
    <row r="357" spans="1:2" x14ac:dyDescent="0.25">
      <c r="A357" s="6" t="str">
        <f>CONCATENATE(CONCATENATE('Table of compositions'!$A$1,"(",'Table of compositions'!A354,")",'Table of compositions'!$B$1,"(",'Table of compositions'!B354,")"),IF('Table of compositions'!C354=0,"",CONCATENATE('Table of compositions'!C$1,"(",'Table of compositions'!C354,")")),IF('Table of compositions'!D354=0,"",CONCATENATE('Table of compositions'!D$1,"(",'Table of compositions'!D354,")")),IF('Table of compositions'!E354=0,"",CONCATENATE('Table of compositions'!E$1,"(",'Table of compositions'!E354,")")))</f>
        <v>HexNAc(6)Hex(7)NeuAc/NeuGc(4)</v>
      </c>
      <c r="B357" s="6" t="str">
        <f>'Table of compositions'!G354</f>
        <v>HexNAc(6+)(x)</v>
      </c>
    </row>
    <row r="358" spans="1:2" x14ac:dyDescent="0.25">
      <c r="A358" s="6" t="str">
        <f>CONCATENATE(CONCATENATE('Table of compositions'!$A$1,"(",'Table of compositions'!A355,")",'Table of compositions'!$B$1,"(",'Table of compositions'!B355,")"),IF('Table of compositions'!C355=0,"",CONCATENATE('Table of compositions'!C$1,"(",'Table of compositions'!C355,")")),IF('Table of compositions'!D355=0,"",CONCATENATE('Table of compositions'!D$1,"(",'Table of compositions'!D355,")")),IF('Table of compositions'!E355=0,"",CONCATENATE('Table of compositions'!E$1,"(",'Table of compositions'!E355,")")))</f>
        <v>HexNAc(6)Hex(7)NeuAc/NeuGc(1)</v>
      </c>
      <c r="B358" s="6" t="str">
        <f>'Table of compositions'!G355</f>
        <v>HexNAc(6+)(x)</v>
      </c>
    </row>
    <row r="359" spans="1:2" x14ac:dyDescent="0.25">
      <c r="A359" s="6" t="str">
        <f>CONCATENATE(CONCATENATE('Table of compositions'!$A$1,"(",'Table of compositions'!A356,")",'Table of compositions'!$B$1,"(",'Table of compositions'!B356,")"),IF('Table of compositions'!C356=0,"",CONCATENATE('Table of compositions'!C$1,"(",'Table of compositions'!C356,")")),IF('Table of compositions'!D356=0,"",CONCATENATE('Table of compositions'!D$1,"(",'Table of compositions'!D356,")")),IF('Table of compositions'!E356=0,"",CONCATENATE('Table of compositions'!E$1,"(",'Table of compositions'!E356,")")))</f>
        <v>HexNAc(6)Hex(7)NeuAc/NeuGc(2)</v>
      </c>
      <c r="B359" s="6" t="str">
        <f>'Table of compositions'!G356</f>
        <v>HexNAc(6+)(x)</v>
      </c>
    </row>
    <row r="360" spans="1:2" x14ac:dyDescent="0.25">
      <c r="A360" s="6" t="str">
        <f>CONCATENATE(CONCATENATE('Table of compositions'!$A$1,"(",'Table of compositions'!A357,")",'Table of compositions'!$B$1,"(",'Table of compositions'!B357,")"),IF('Table of compositions'!C357=0,"",CONCATENATE('Table of compositions'!C$1,"(",'Table of compositions'!C357,")")),IF('Table of compositions'!D357=0,"",CONCATENATE('Table of compositions'!D$1,"(",'Table of compositions'!D357,")")),IF('Table of compositions'!E357=0,"",CONCATENATE('Table of compositions'!E$1,"(",'Table of compositions'!E357,")")))</f>
        <v>HexNAc(6)Hex(8)Fuc(1)NeuAc/NeuGc(1)</v>
      </c>
      <c r="B360" s="6" t="str">
        <f>'Table of compositions'!G357</f>
        <v>HexNAc(6+)(F)(x)</v>
      </c>
    </row>
    <row r="361" spans="1:2" x14ac:dyDescent="0.25">
      <c r="A361" s="6" t="str">
        <f>CONCATENATE(CONCATENATE('Table of compositions'!$A$1,"(",'Table of compositions'!A358,")",'Table of compositions'!$B$1,"(",'Table of compositions'!B358,")"),IF('Table of compositions'!C358=0,"",CONCATENATE('Table of compositions'!C$1,"(",'Table of compositions'!C358,")")),IF('Table of compositions'!D358=0,"",CONCATENATE('Table of compositions'!D$1,"(",'Table of compositions'!D358,")")),IF('Table of compositions'!E358=0,"",CONCATENATE('Table of compositions'!E$1,"(",'Table of compositions'!E358,")")))</f>
        <v>HexNAc(6)Hex(8)NeuAc/NeuGc(1)</v>
      </c>
      <c r="B361" s="6" t="str">
        <f>'Table of compositions'!G358</f>
        <v>HexNAc(6+)(x)</v>
      </c>
    </row>
    <row r="362" spans="1:2" x14ac:dyDescent="0.25">
      <c r="A362" s="6" t="str">
        <f>CONCATENATE(CONCATENATE('Table of compositions'!$A$1,"(",'Table of compositions'!A359,")",'Table of compositions'!$B$1,"(",'Table of compositions'!B359,")"),IF('Table of compositions'!C359=0,"",CONCATENATE('Table of compositions'!C$1,"(",'Table of compositions'!C359,")")),IF('Table of compositions'!D359=0,"",CONCATENATE('Table of compositions'!D$1,"(",'Table of compositions'!D359,")")),IF('Table of compositions'!E359=0,"",CONCATENATE('Table of compositions'!E$1,"(",'Table of compositions'!E359,")")))</f>
        <v>HexNAc(6)Hex(9)</v>
      </c>
      <c r="B362" s="6" t="str">
        <f>'Table of compositions'!G359</f>
        <v>HexNAc(6+)(x)</v>
      </c>
    </row>
    <row r="363" spans="1:2" x14ac:dyDescent="0.25">
      <c r="A363" s="6" t="str">
        <f>CONCATENATE(CONCATENATE('Table of compositions'!$A$1,"(",'Table of compositions'!A360,")",'Table of compositions'!$B$1,"(",'Table of compositions'!B360,")"),IF('Table of compositions'!C360=0,"",CONCATENATE('Table of compositions'!C$1,"(",'Table of compositions'!C360,")")),IF('Table of compositions'!D360=0,"",CONCATENATE('Table of compositions'!D$1,"(",'Table of compositions'!D360,")")),IF('Table of compositions'!E360=0,"",CONCATENATE('Table of compositions'!E$1,"(",'Table of compositions'!E360,")")))</f>
        <v>HexNAc(6)Hex(9)Fuc(1)NeuAc/NeuGc(2)</v>
      </c>
      <c r="B363" s="6" t="str">
        <f>'Table of compositions'!G360</f>
        <v>HexNAc(6+)(F)(x)</v>
      </c>
    </row>
    <row r="364" spans="1:2" x14ac:dyDescent="0.25">
      <c r="A364" s="6" t="str">
        <f>CONCATENATE(CONCATENATE('Table of compositions'!$A$1,"(",'Table of compositions'!A361,")",'Table of compositions'!$B$1,"(",'Table of compositions'!B361,")"),IF('Table of compositions'!C361=0,"",CONCATENATE('Table of compositions'!C$1,"(",'Table of compositions'!C361,")")),IF('Table of compositions'!D361=0,"",CONCATENATE('Table of compositions'!D$1,"(",'Table of compositions'!D361,")")),IF('Table of compositions'!E361=0,"",CONCATENATE('Table of compositions'!E$1,"(",'Table of compositions'!E361,")")))</f>
        <v>HexNAc(6)Hex(9)Fuc(1)NeuAc/NeuGc(2)</v>
      </c>
      <c r="B364" s="6" t="str">
        <f>'Table of compositions'!G361</f>
        <v>HexNAc(6+)(F)(x)</v>
      </c>
    </row>
    <row r="365" spans="1:2" x14ac:dyDescent="0.25">
      <c r="A365" s="6" t="str">
        <f>CONCATENATE(CONCATENATE('Table of compositions'!$A$1,"(",'Table of compositions'!A362,")",'Table of compositions'!$B$1,"(",'Table of compositions'!B362,")"),IF('Table of compositions'!C362=0,"",CONCATENATE('Table of compositions'!C$1,"(",'Table of compositions'!C362,")")),IF('Table of compositions'!D362=0,"",CONCATENATE('Table of compositions'!D$1,"(",'Table of compositions'!D362,")")),IF('Table of compositions'!E362=0,"",CONCATENATE('Table of compositions'!E$1,"(",'Table of compositions'!E362,")")))</f>
        <v>HexNAc(7)Hex(3)</v>
      </c>
      <c r="B365" s="6" t="str">
        <f>'Table of compositions'!G362</f>
        <v>HexNAc(6+)(x)</v>
      </c>
    </row>
    <row r="366" spans="1:2" x14ac:dyDescent="0.25">
      <c r="A366" s="6" t="str">
        <f>CONCATENATE(CONCATENATE('Table of compositions'!$A$1,"(",'Table of compositions'!A363,")",'Table of compositions'!$B$1,"(",'Table of compositions'!B363,")"),IF('Table of compositions'!C363=0,"",CONCATENATE('Table of compositions'!C$1,"(",'Table of compositions'!C363,")")),IF('Table of compositions'!D363=0,"",CONCATENATE('Table of compositions'!D$1,"(",'Table of compositions'!D363,")")),IF('Table of compositions'!E363=0,"",CONCATENATE('Table of compositions'!E$1,"(",'Table of compositions'!E363,")")))</f>
        <v>HexNAc(7)Hex(3)Fuc(1)</v>
      </c>
      <c r="B366" s="6" t="str">
        <f>'Table of compositions'!G363</f>
        <v>HexNAc(6+)(F)(x)</v>
      </c>
    </row>
    <row r="367" spans="1:2" x14ac:dyDescent="0.25">
      <c r="A367" s="6" t="str">
        <f>CONCATENATE(CONCATENATE('Table of compositions'!$A$1,"(",'Table of compositions'!A364,")",'Table of compositions'!$B$1,"(",'Table of compositions'!B364,")"),IF('Table of compositions'!C364=0,"",CONCATENATE('Table of compositions'!C$1,"(",'Table of compositions'!C364,")")),IF('Table of compositions'!D364=0,"",CONCATENATE('Table of compositions'!D$1,"(",'Table of compositions'!D364,")")),IF('Table of compositions'!E364=0,"",CONCATENATE('Table of compositions'!E$1,"(",'Table of compositions'!E364,")")))</f>
        <v>HexNAc(7)Hex(3)Fuc(1)SO4/Phospho(1)</v>
      </c>
      <c r="B367" s="6" t="str">
        <f>'Table of compositions'!G364</f>
        <v>HexNAc(6+)(F)(x)</v>
      </c>
    </row>
    <row r="368" spans="1:2" x14ac:dyDescent="0.25">
      <c r="A368" s="6" t="str">
        <f>CONCATENATE(CONCATENATE('Table of compositions'!$A$1,"(",'Table of compositions'!A365,")",'Table of compositions'!$B$1,"(",'Table of compositions'!B365,")"),IF('Table of compositions'!C365=0,"",CONCATENATE('Table of compositions'!C$1,"(",'Table of compositions'!C365,")")),IF('Table of compositions'!D365=0,"",CONCATENATE('Table of compositions'!D$1,"(",'Table of compositions'!D365,")")),IF('Table of compositions'!E365=0,"",CONCATENATE('Table of compositions'!E$1,"(",'Table of compositions'!E365,")")))</f>
        <v>HexNAc(7)Hex(4)</v>
      </c>
      <c r="B368" s="6" t="str">
        <f>'Table of compositions'!G365</f>
        <v>HexNAc(6+)(x)</v>
      </c>
    </row>
    <row r="369" spans="1:2" x14ac:dyDescent="0.25">
      <c r="A369" s="6" t="str">
        <f>CONCATENATE(CONCATENATE('Table of compositions'!$A$1,"(",'Table of compositions'!A366,")",'Table of compositions'!$B$1,"(",'Table of compositions'!B366,")"),IF('Table of compositions'!C366=0,"",CONCATENATE('Table of compositions'!C$1,"(",'Table of compositions'!C366,")")),IF('Table of compositions'!D366=0,"",CONCATENATE('Table of compositions'!D$1,"(",'Table of compositions'!D366,")")),IF('Table of compositions'!E366=0,"",CONCATENATE('Table of compositions'!E$1,"(",'Table of compositions'!E366,")")))</f>
        <v>HexNAc(7)Hex(4)Fuc(1)</v>
      </c>
      <c r="B369" s="6" t="str">
        <f>'Table of compositions'!G366</f>
        <v>HexNAc(6+)(F)(x)</v>
      </c>
    </row>
    <row r="370" spans="1:2" x14ac:dyDescent="0.25">
      <c r="A370" s="6" t="str">
        <f>CONCATENATE(CONCATENATE('Table of compositions'!$A$1,"(",'Table of compositions'!A367,")",'Table of compositions'!$B$1,"(",'Table of compositions'!B367,")"),IF('Table of compositions'!C367=0,"",CONCATENATE('Table of compositions'!C$1,"(",'Table of compositions'!C367,")")),IF('Table of compositions'!D367=0,"",CONCATENATE('Table of compositions'!D$1,"(",'Table of compositions'!D367,")")),IF('Table of compositions'!E367=0,"",CONCATENATE('Table of compositions'!E$1,"(",'Table of compositions'!E367,")")))</f>
        <v>HexNAc(7)Hex(4)Fuc(1)SO4/Phospho(1)</v>
      </c>
      <c r="B370" s="6" t="str">
        <f>'Table of compositions'!G367</f>
        <v>HexNAc(6+)(F)(x)</v>
      </c>
    </row>
    <row r="371" spans="1:2" x14ac:dyDescent="0.25">
      <c r="A371" s="6" t="str">
        <f>CONCATENATE(CONCATENATE('Table of compositions'!$A$1,"(",'Table of compositions'!A368,")",'Table of compositions'!$B$1,"(",'Table of compositions'!B368,")"),IF('Table of compositions'!C368=0,"",CONCATENATE('Table of compositions'!C$1,"(",'Table of compositions'!C368,")")),IF('Table of compositions'!D368=0,"",CONCATENATE('Table of compositions'!D$1,"(",'Table of compositions'!D368,")")),IF('Table of compositions'!E368=0,"",CONCATENATE('Table of compositions'!E$1,"(",'Table of compositions'!E368,")")))</f>
        <v>HexNAc(7)Hex(4)Fuc(1)SO4/Phospho(2)</v>
      </c>
      <c r="B371" s="6" t="str">
        <f>'Table of compositions'!G368</f>
        <v>HexNAc(6+)(F)(x)</v>
      </c>
    </row>
    <row r="372" spans="1:2" x14ac:dyDescent="0.25">
      <c r="A372" s="6" t="str">
        <f>CONCATENATE(CONCATENATE('Table of compositions'!$A$1,"(",'Table of compositions'!A369,")",'Table of compositions'!$B$1,"(",'Table of compositions'!B369,")"),IF('Table of compositions'!C369=0,"",CONCATENATE('Table of compositions'!C$1,"(",'Table of compositions'!C369,")")),IF('Table of compositions'!D369=0,"",CONCATENATE('Table of compositions'!D$1,"(",'Table of compositions'!D369,")")),IF('Table of compositions'!E369=0,"",CONCATENATE('Table of compositions'!E$1,"(",'Table of compositions'!E369,")")))</f>
        <v>HexNAc(7)Hex(4)Fuc(1)SO4/Phospho(3)</v>
      </c>
      <c r="B372" s="6" t="str">
        <f>'Table of compositions'!G369</f>
        <v>HexNAc(6+)(F)(x)</v>
      </c>
    </row>
    <row r="373" spans="1:2" x14ac:dyDescent="0.25">
      <c r="A373" s="6" t="str">
        <f>CONCATENATE(CONCATENATE('Table of compositions'!$A$1,"(",'Table of compositions'!A370,")",'Table of compositions'!$B$1,"(",'Table of compositions'!B370,")"),IF('Table of compositions'!C370=0,"",CONCATENATE('Table of compositions'!C$1,"(",'Table of compositions'!C370,")")),IF('Table of compositions'!D370=0,"",CONCATENATE('Table of compositions'!D$1,"(",'Table of compositions'!D370,")")),IF('Table of compositions'!E370=0,"",CONCATENATE('Table of compositions'!E$1,"(",'Table of compositions'!E370,")")))</f>
        <v>HexNAc(7)Hex(4)Fuc(2)</v>
      </c>
      <c r="B373" s="6" t="str">
        <f>'Table of compositions'!G370</f>
        <v>HexNAc(6+)(F)(x)</v>
      </c>
    </row>
    <row r="374" spans="1:2" x14ac:dyDescent="0.25">
      <c r="A374" s="6" t="str">
        <f>CONCATENATE(CONCATENATE('Table of compositions'!$A$1,"(",'Table of compositions'!A371,")",'Table of compositions'!$B$1,"(",'Table of compositions'!B371,")"),IF('Table of compositions'!C371=0,"",CONCATENATE('Table of compositions'!C$1,"(",'Table of compositions'!C371,")")),IF('Table of compositions'!D371=0,"",CONCATENATE('Table of compositions'!D$1,"(",'Table of compositions'!D371,")")),IF('Table of compositions'!E371=0,"",CONCATENATE('Table of compositions'!E$1,"(",'Table of compositions'!E371,")")))</f>
        <v>HexNAc(7)Hex(4)Fuc(2)SO4/Phospho(1)</v>
      </c>
      <c r="B374" s="6" t="str">
        <f>'Table of compositions'!G371</f>
        <v>HexNAc(6+)(F)(x)</v>
      </c>
    </row>
    <row r="375" spans="1:2" x14ac:dyDescent="0.25">
      <c r="A375" s="6" t="str">
        <f>CONCATENATE(CONCATENATE('Table of compositions'!$A$1,"(",'Table of compositions'!A372,")",'Table of compositions'!$B$1,"(",'Table of compositions'!B372,")"),IF('Table of compositions'!C372=0,"",CONCATENATE('Table of compositions'!C$1,"(",'Table of compositions'!C372,")")),IF('Table of compositions'!D372=0,"",CONCATENATE('Table of compositions'!D$1,"(",'Table of compositions'!D372,")")),IF('Table of compositions'!E372=0,"",CONCATENATE('Table of compositions'!E$1,"(",'Table of compositions'!E372,")")))</f>
        <v>HexNAc(7)Hex(4)Fuc(2)SO4/Phospho(2)</v>
      </c>
      <c r="B375" s="6" t="str">
        <f>'Table of compositions'!G372</f>
        <v>HexNAc(6+)(F)(x)</v>
      </c>
    </row>
    <row r="376" spans="1:2" x14ac:dyDescent="0.25">
      <c r="A376" s="6" t="str">
        <f>CONCATENATE(CONCATENATE('Table of compositions'!$A$1,"(",'Table of compositions'!A373,")",'Table of compositions'!$B$1,"(",'Table of compositions'!B373,")"),IF('Table of compositions'!C373=0,"",CONCATENATE('Table of compositions'!C$1,"(",'Table of compositions'!C373,")")),IF('Table of compositions'!D373=0,"",CONCATENATE('Table of compositions'!D$1,"(",'Table of compositions'!D373,")")),IF('Table of compositions'!E373=0,"",CONCATENATE('Table of compositions'!E$1,"(",'Table of compositions'!E373,")")))</f>
        <v>HexNAc(7)Hex(4)Fuc(2)SO4/Phospho(3)</v>
      </c>
      <c r="B376" s="6" t="str">
        <f>'Table of compositions'!G373</f>
        <v>HexNAc(6+)(F)(x)</v>
      </c>
    </row>
    <row r="377" spans="1:2" x14ac:dyDescent="0.25">
      <c r="A377" s="6" t="str">
        <f>CONCATENATE(CONCATENATE('Table of compositions'!$A$1,"(",'Table of compositions'!A374,")",'Table of compositions'!$B$1,"(",'Table of compositions'!B374,")"),IF('Table of compositions'!C374=0,"",CONCATENATE('Table of compositions'!C$1,"(",'Table of compositions'!C374,")")),IF('Table of compositions'!D374=0,"",CONCATENATE('Table of compositions'!D$1,"(",'Table of compositions'!D374,")")),IF('Table of compositions'!E374=0,"",CONCATENATE('Table of compositions'!E$1,"(",'Table of compositions'!E374,")")))</f>
        <v>HexNAc(7)Hex(6)</v>
      </c>
      <c r="B377" s="6" t="str">
        <f>'Table of compositions'!G374</f>
        <v>HexNAc(6+)(x)</v>
      </c>
    </row>
    <row r="378" spans="1:2" x14ac:dyDescent="0.25">
      <c r="A378" s="6" t="str">
        <f>CONCATENATE(CONCATENATE('Table of compositions'!$A$1,"(",'Table of compositions'!A375,")",'Table of compositions'!$B$1,"(",'Table of compositions'!B375,")"),IF('Table of compositions'!C375=0,"",CONCATENATE('Table of compositions'!C$1,"(",'Table of compositions'!C375,")")),IF('Table of compositions'!D375=0,"",CONCATENATE('Table of compositions'!D$1,"(",'Table of compositions'!D375,")")),IF('Table of compositions'!E375=0,"",CONCATENATE('Table of compositions'!E$1,"(",'Table of compositions'!E375,")")))</f>
        <v>HexNAc(7)Hex(6)Fuc(1)</v>
      </c>
      <c r="B378" s="6" t="str">
        <f>'Table of compositions'!G375</f>
        <v>HexNAc(6+)(F)(x)</v>
      </c>
    </row>
    <row r="379" spans="1:2" x14ac:dyDescent="0.25">
      <c r="A379" s="6" t="str">
        <f>CONCATENATE(CONCATENATE('Table of compositions'!$A$1,"(",'Table of compositions'!A376,")",'Table of compositions'!$B$1,"(",'Table of compositions'!B376,")"),IF('Table of compositions'!C376=0,"",CONCATENATE('Table of compositions'!C$1,"(",'Table of compositions'!C376,")")),IF('Table of compositions'!D376=0,"",CONCATENATE('Table of compositions'!D$1,"(",'Table of compositions'!D376,")")),IF('Table of compositions'!E376=0,"",CONCATENATE('Table of compositions'!E$1,"(",'Table of compositions'!E376,")")))</f>
        <v>HexNAc(7)Hex(6)Fuc(1)NeuAc/NeuGc(4)</v>
      </c>
      <c r="B379" s="6" t="str">
        <f>'Table of compositions'!G376</f>
        <v>HexNAc(6+)(F)(x)</v>
      </c>
    </row>
    <row r="380" spans="1:2" x14ac:dyDescent="0.25">
      <c r="A380" s="6" t="str">
        <f>CONCATENATE(CONCATENATE('Table of compositions'!$A$1,"(",'Table of compositions'!A377,")",'Table of compositions'!$B$1,"(",'Table of compositions'!B377,")"),IF('Table of compositions'!C377=0,"",CONCATENATE('Table of compositions'!C$1,"(",'Table of compositions'!C377,")")),IF('Table of compositions'!D377=0,"",CONCATENATE('Table of compositions'!D$1,"(",'Table of compositions'!D377,")")),IF('Table of compositions'!E377=0,"",CONCATENATE('Table of compositions'!E$1,"(",'Table of compositions'!E377,")")))</f>
        <v>HexNAc(7)Hex(6)Fuc(1)NeuAc/NeuGc(4)</v>
      </c>
      <c r="B380" s="6" t="str">
        <f>'Table of compositions'!G377</f>
        <v>HexNAc(6+)(F)(x)</v>
      </c>
    </row>
    <row r="381" spans="1:2" x14ac:dyDescent="0.25">
      <c r="A381" s="6" t="str">
        <f>CONCATENATE(CONCATENATE('Table of compositions'!$A$1,"(",'Table of compositions'!A378,")",'Table of compositions'!$B$1,"(",'Table of compositions'!B378,")"),IF('Table of compositions'!C378=0,"",CONCATENATE('Table of compositions'!C$1,"(",'Table of compositions'!C378,")")),IF('Table of compositions'!D378=0,"",CONCATENATE('Table of compositions'!D$1,"(",'Table of compositions'!D378,")")),IF('Table of compositions'!E378=0,"",CONCATENATE('Table of compositions'!E$1,"(",'Table of compositions'!E378,")")))</f>
        <v>HexNAc(7)Hex(7)</v>
      </c>
      <c r="B381" s="6" t="str">
        <f>'Table of compositions'!G378</f>
        <v>HexNAc(6+)(x)</v>
      </c>
    </row>
    <row r="382" spans="1:2" x14ac:dyDescent="0.25">
      <c r="A382" s="6" t="str">
        <f>CONCATENATE(CONCATENATE('Table of compositions'!$A$1,"(",'Table of compositions'!A379,")",'Table of compositions'!$B$1,"(",'Table of compositions'!B379,")"),IF('Table of compositions'!C379=0,"",CONCATENATE('Table of compositions'!C$1,"(",'Table of compositions'!C379,")")),IF('Table of compositions'!D379=0,"",CONCATENATE('Table of compositions'!D$1,"(",'Table of compositions'!D379,")")),IF('Table of compositions'!E379=0,"",CONCATENATE('Table of compositions'!E$1,"(",'Table of compositions'!E379,")")))</f>
        <v>HexNAc(7)Hex(7)Fuc(1)</v>
      </c>
      <c r="B382" s="6" t="str">
        <f>'Table of compositions'!G379</f>
        <v>HexNAc(6+)(F)(x)</v>
      </c>
    </row>
    <row r="383" spans="1:2" x14ac:dyDescent="0.25">
      <c r="A383" s="6" t="str">
        <f>CONCATENATE(CONCATENATE('Table of compositions'!$A$1,"(",'Table of compositions'!A380,")",'Table of compositions'!$B$1,"(",'Table of compositions'!B380,")"),IF('Table of compositions'!C380=0,"",CONCATENATE('Table of compositions'!C$1,"(",'Table of compositions'!C380,")")),IF('Table of compositions'!D380=0,"",CONCATENATE('Table of compositions'!D$1,"(",'Table of compositions'!D380,")")),IF('Table of compositions'!E380=0,"",CONCATENATE('Table of compositions'!E$1,"(",'Table of compositions'!E380,")")))</f>
        <v>HexNAc(7)Hex(7)Fuc(1)NeuAc/NeuGc(3)</v>
      </c>
      <c r="B383" s="6" t="str">
        <f>'Table of compositions'!G380</f>
        <v>HexNAc(6+)(F)(x)</v>
      </c>
    </row>
    <row r="384" spans="1:2" x14ac:dyDescent="0.25">
      <c r="A384" s="6" t="str">
        <f>CONCATENATE(CONCATENATE('Table of compositions'!$A$1,"(",'Table of compositions'!A381,")",'Table of compositions'!$B$1,"(",'Table of compositions'!B381,")"),IF('Table of compositions'!C381=0,"",CONCATENATE('Table of compositions'!C$1,"(",'Table of compositions'!C381,")")),IF('Table of compositions'!D381=0,"",CONCATENATE('Table of compositions'!D$1,"(",'Table of compositions'!D381,")")),IF('Table of compositions'!E381=0,"",CONCATENATE('Table of compositions'!E$1,"(",'Table of compositions'!E381,")")))</f>
        <v>HexNAc(7)Hex(7)Fuc(1)NeuAc/NeuGc(2)</v>
      </c>
      <c r="B384" s="6" t="str">
        <f>'Table of compositions'!G381</f>
        <v>HexNAc(6+)(F)(x)</v>
      </c>
    </row>
    <row r="385" spans="1:2" x14ac:dyDescent="0.25">
      <c r="A385" s="6" t="str">
        <f>CONCATENATE(CONCATENATE('Table of compositions'!$A$1,"(",'Table of compositions'!A382,")",'Table of compositions'!$B$1,"(",'Table of compositions'!B382,")"),IF('Table of compositions'!C382=0,"",CONCATENATE('Table of compositions'!C$1,"(",'Table of compositions'!C382,")")),IF('Table of compositions'!D382=0,"",CONCATENATE('Table of compositions'!D$1,"(",'Table of compositions'!D382,")")),IF('Table of compositions'!E382=0,"",CONCATENATE('Table of compositions'!E$1,"(",'Table of compositions'!E382,")")))</f>
        <v>HexNAc(7)Hex(7)Fuc(1)NeuAc/NeuGc(3)</v>
      </c>
      <c r="B385" s="6" t="str">
        <f>'Table of compositions'!G382</f>
        <v>HexNAc(6+)(F)(x)</v>
      </c>
    </row>
    <row r="386" spans="1:2" x14ac:dyDescent="0.25">
      <c r="A386" s="6" t="str">
        <f>CONCATENATE(CONCATENATE('Table of compositions'!$A$1,"(",'Table of compositions'!A383,")",'Table of compositions'!$B$1,"(",'Table of compositions'!B383,")"),IF('Table of compositions'!C383=0,"",CONCATENATE('Table of compositions'!C$1,"(",'Table of compositions'!C383,")")),IF('Table of compositions'!D383=0,"",CONCATENATE('Table of compositions'!D$1,"(",'Table of compositions'!D383,")")),IF('Table of compositions'!E383=0,"",CONCATENATE('Table of compositions'!E$1,"(",'Table of compositions'!E383,")")))</f>
        <v>HexNAc(7)Hex(7)Fuc(1)NeuAc/NeuGc(2)SO4/Phospho(1)</v>
      </c>
      <c r="B386" s="6" t="str">
        <f>'Table of compositions'!G383</f>
        <v>HexNAc(6+)(F)(x)</v>
      </c>
    </row>
    <row r="387" spans="1:2" x14ac:dyDescent="0.25">
      <c r="A387" s="6" t="str">
        <f>CONCATENATE(CONCATENATE('Table of compositions'!$A$1,"(",'Table of compositions'!A384,")",'Table of compositions'!$B$1,"(",'Table of compositions'!B384,")"),IF('Table of compositions'!C384=0,"",CONCATENATE('Table of compositions'!C$1,"(",'Table of compositions'!C384,")")),IF('Table of compositions'!D384=0,"",CONCATENATE('Table of compositions'!D$1,"(",'Table of compositions'!D384,")")),IF('Table of compositions'!E384=0,"",CONCATENATE('Table of compositions'!E$1,"(",'Table of compositions'!E384,")")))</f>
        <v>HexNAc(7)Hex(7)Fuc(1)NeuAc/NeuGc(2)SO4/Phospho(2)</v>
      </c>
      <c r="B387" s="6" t="str">
        <f>'Table of compositions'!G384</f>
        <v>HexNAc(6+)(F)(x)</v>
      </c>
    </row>
    <row r="388" spans="1:2" x14ac:dyDescent="0.25">
      <c r="A388" s="6" t="str">
        <f>CONCATENATE(CONCATENATE('Table of compositions'!$A$1,"(",'Table of compositions'!A385,")",'Table of compositions'!$B$1,"(",'Table of compositions'!B385,")"),IF('Table of compositions'!C385=0,"",CONCATENATE('Table of compositions'!C$1,"(",'Table of compositions'!C385,")")),IF('Table of compositions'!D385=0,"",CONCATENATE('Table of compositions'!D$1,"(",'Table of compositions'!D385,")")),IF('Table of compositions'!E385=0,"",CONCATENATE('Table of compositions'!E$1,"(",'Table of compositions'!E385,")")))</f>
        <v>HexNAc(7)Hex(7)Fuc(1)NeuAc/NeuGc(2)SO4/Phospho(3)</v>
      </c>
      <c r="B388" s="6" t="str">
        <f>'Table of compositions'!G385</f>
        <v>HexNAc(6+)(F)(x)</v>
      </c>
    </row>
    <row r="389" spans="1:2" x14ac:dyDescent="0.25">
      <c r="A389" s="6" t="str">
        <f>CONCATENATE(CONCATENATE('Table of compositions'!$A$1,"(",'Table of compositions'!A386,")",'Table of compositions'!$B$1,"(",'Table of compositions'!B386,")"),IF('Table of compositions'!C386=0,"",CONCATENATE('Table of compositions'!C$1,"(",'Table of compositions'!C386,")")),IF('Table of compositions'!D386=0,"",CONCATENATE('Table of compositions'!D$1,"(",'Table of compositions'!D386,")")),IF('Table of compositions'!E386=0,"",CONCATENATE('Table of compositions'!E$1,"(",'Table of compositions'!E386,")")))</f>
        <v>HexNAc(7)Hex(7)Fuc(1)NeuAc/NeuGc(3)</v>
      </c>
      <c r="B389" s="6" t="str">
        <f>'Table of compositions'!G386</f>
        <v>HexNAc(6+)(F)(x)</v>
      </c>
    </row>
    <row r="390" spans="1:2" x14ac:dyDescent="0.25">
      <c r="A390" s="6" t="str">
        <f>CONCATENATE(CONCATENATE('Table of compositions'!$A$1,"(",'Table of compositions'!A387,")",'Table of compositions'!$B$1,"(",'Table of compositions'!B387,")"),IF('Table of compositions'!C387=0,"",CONCATENATE('Table of compositions'!C$1,"(",'Table of compositions'!C387,")")),IF('Table of compositions'!D387=0,"",CONCATENATE('Table of compositions'!D$1,"(",'Table of compositions'!D387,")")),IF('Table of compositions'!E387=0,"",CONCATENATE('Table of compositions'!E$1,"(",'Table of compositions'!E387,")")))</f>
        <v>HexNAc(7)Hex(7)Fuc(1)NeuAc/NeuGc(4)</v>
      </c>
      <c r="B390" s="6" t="str">
        <f>'Table of compositions'!G387</f>
        <v>HexNAc(6+)(F)(x)</v>
      </c>
    </row>
    <row r="391" spans="1:2" x14ac:dyDescent="0.25">
      <c r="A391" s="6" t="str">
        <f>CONCATENATE(CONCATENATE('Table of compositions'!$A$1,"(",'Table of compositions'!A388,")",'Table of compositions'!$B$1,"(",'Table of compositions'!B388,")"),IF('Table of compositions'!C388=0,"",CONCATENATE('Table of compositions'!C$1,"(",'Table of compositions'!C388,")")),IF('Table of compositions'!D388=0,"",CONCATENATE('Table of compositions'!D$1,"(",'Table of compositions'!D388,")")),IF('Table of compositions'!E388=0,"",CONCATENATE('Table of compositions'!E$1,"(",'Table of compositions'!E388,")")))</f>
        <v>HexNAc(7)Hex(8)</v>
      </c>
      <c r="B391" s="6" t="str">
        <f>'Table of compositions'!G388</f>
        <v>HexNAc(6+)(x)</v>
      </c>
    </row>
    <row r="392" spans="1:2" x14ac:dyDescent="0.25">
      <c r="A392" s="6" t="str">
        <f>CONCATENATE(CONCATENATE('Table of compositions'!$A$1,"(",'Table of compositions'!A389,")",'Table of compositions'!$B$1,"(",'Table of compositions'!B389,")"),IF('Table of compositions'!C389=0,"",CONCATENATE('Table of compositions'!C$1,"(",'Table of compositions'!C389,")")),IF('Table of compositions'!D389=0,"",CONCATENATE('Table of compositions'!D$1,"(",'Table of compositions'!D389,")")),IF('Table of compositions'!E389=0,"",CONCATENATE('Table of compositions'!E$1,"(",'Table of compositions'!E389,")")))</f>
        <v>HexNAc(7)Hex(8)Fuc(1)</v>
      </c>
      <c r="B392" s="6" t="str">
        <f>'Table of compositions'!G389</f>
        <v>HexNAc(6+)(F)(x)</v>
      </c>
    </row>
    <row r="393" spans="1:2" x14ac:dyDescent="0.25">
      <c r="A393" s="6" t="str">
        <f>CONCATENATE(CONCATENATE('Table of compositions'!$A$1,"(",'Table of compositions'!A390,")",'Table of compositions'!$B$1,"(",'Table of compositions'!B390,")"),IF('Table of compositions'!C390=0,"",CONCATENATE('Table of compositions'!C$1,"(",'Table of compositions'!C390,")")),IF('Table of compositions'!D390=0,"",CONCATENATE('Table of compositions'!D$1,"(",'Table of compositions'!D390,")")),IF('Table of compositions'!E390=0,"",CONCATENATE('Table of compositions'!E$1,"(",'Table of compositions'!E390,")")))</f>
        <v>HexNAc(7)Hex(8)Fuc(1)NeuAc/NeuGc(1)</v>
      </c>
      <c r="B393" s="6" t="str">
        <f>'Table of compositions'!G390</f>
        <v>HexNAc(6+)(F)(x)</v>
      </c>
    </row>
    <row r="394" spans="1:2" x14ac:dyDescent="0.25">
      <c r="A394" s="6" t="str">
        <f>CONCATENATE(CONCATENATE('Table of compositions'!$A$1,"(",'Table of compositions'!A391,")",'Table of compositions'!$B$1,"(",'Table of compositions'!B391,")"),IF('Table of compositions'!C391=0,"",CONCATENATE('Table of compositions'!C$1,"(",'Table of compositions'!C391,")")),IF('Table of compositions'!D391=0,"",CONCATENATE('Table of compositions'!D$1,"(",'Table of compositions'!D391,")")),IF('Table of compositions'!E391=0,"",CONCATENATE('Table of compositions'!E$1,"(",'Table of compositions'!E391,")")))</f>
        <v>HexNAc(7)Hex(8)Fuc(1)NeuAc/NeuGc(2)</v>
      </c>
      <c r="B394" s="6" t="str">
        <f>'Table of compositions'!G391</f>
        <v>HexNAc(6+)(F)(x)</v>
      </c>
    </row>
    <row r="395" spans="1:2" x14ac:dyDescent="0.25">
      <c r="A395" s="6" t="str">
        <f>CONCATENATE(CONCATENATE('Table of compositions'!$A$1,"(",'Table of compositions'!A392,")",'Table of compositions'!$B$1,"(",'Table of compositions'!B392,")"),IF('Table of compositions'!C392=0,"",CONCATENATE('Table of compositions'!C$1,"(",'Table of compositions'!C392,")")),IF('Table of compositions'!D392=0,"",CONCATENATE('Table of compositions'!D$1,"(",'Table of compositions'!D392,")")),IF('Table of compositions'!E392=0,"",CONCATENATE('Table of compositions'!E$1,"(",'Table of compositions'!E392,")")))</f>
        <v>HexNAc(7)Hex(8)Fuc(1)NeuAc/NeuGc(3)</v>
      </c>
      <c r="B395" s="6" t="str">
        <f>'Table of compositions'!G392</f>
        <v>HexNAc(6+)(F)(x)</v>
      </c>
    </row>
    <row r="396" spans="1:2" x14ac:dyDescent="0.25">
      <c r="A396" s="6" t="str">
        <f>CONCATENATE(CONCATENATE('Table of compositions'!$A$1,"(",'Table of compositions'!A393,")",'Table of compositions'!$B$1,"(",'Table of compositions'!B393,")"),IF('Table of compositions'!C393=0,"",CONCATENATE('Table of compositions'!C$1,"(",'Table of compositions'!C393,")")),IF('Table of compositions'!D393=0,"",CONCATENATE('Table of compositions'!D$1,"(",'Table of compositions'!D393,")")),IF('Table of compositions'!E393=0,"",CONCATENATE('Table of compositions'!E$1,"(",'Table of compositions'!E393,")")))</f>
        <v>HexNAc(7)Hex(8)Fuc(1)NeuAc/NeuGc(2)</v>
      </c>
      <c r="B396" s="6" t="str">
        <f>'Table of compositions'!G393</f>
        <v>HexNAc(6+)(F)(x)</v>
      </c>
    </row>
    <row r="397" spans="1:2" x14ac:dyDescent="0.25">
      <c r="A397" s="6" t="str">
        <f>CONCATENATE(CONCATENATE('Table of compositions'!$A$1,"(",'Table of compositions'!A394,")",'Table of compositions'!$B$1,"(",'Table of compositions'!B394,")"),IF('Table of compositions'!C394=0,"",CONCATENATE('Table of compositions'!C$1,"(",'Table of compositions'!C394,")")),IF('Table of compositions'!D394=0,"",CONCATENATE('Table of compositions'!D$1,"(",'Table of compositions'!D394,")")),IF('Table of compositions'!E394=0,"",CONCATENATE('Table of compositions'!E$1,"(",'Table of compositions'!E394,")")))</f>
        <v>HexNAc(7)Hex(8)Fuc(1)NeuAc/NeuGc(3)</v>
      </c>
      <c r="B397" s="6" t="str">
        <f>'Table of compositions'!G394</f>
        <v>HexNAc(6+)(F)(x)</v>
      </c>
    </row>
    <row r="398" spans="1:2" x14ac:dyDescent="0.25">
      <c r="A398" s="6" t="str">
        <f>CONCATENATE(CONCATENATE('Table of compositions'!$A$1,"(",'Table of compositions'!A395,")",'Table of compositions'!$B$1,"(",'Table of compositions'!B395,")"),IF('Table of compositions'!C395=0,"",CONCATENATE('Table of compositions'!C$1,"(",'Table of compositions'!C395,")")),IF('Table of compositions'!D395=0,"",CONCATENATE('Table of compositions'!D$1,"(",'Table of compositions'!D395,")")),IF('Table of compositions'!E395=0,"",CONCATENATE('Table of compositions'!E$1,"(",'Table of compositions'!E395,")")))</f>
        <v>HexNAc(7)Hex(8)Fuc(1)NeuAc/NeuGc(3)</v>
      </c>
      <c r="B398" s="6" t="str">
        <f>'Table of compositions'!G395</f>
        <v>HexNAc(6+)(F)(x)</v>
      </c>
    </row>
    <row r="399" spans="1:2" x14ac:dyDescent="0.25">
      <c r="A399" s="6" t="str">
        <f>CONCATENATE(CONCATENATE('Table of compositions'!$A$1,"(",'Table of compositions'!A396,")",'Table of compositions'!$B$1,"(",'Table of compositions'!B396,")"),IF('Table of compositions'!C396=0,"",CONCATENATE('Table of compositions'!C$1,"(",'Table of compositions'!C396,")")),IF('Table of compositions'!D396=0,"",CONCATENATE('Table of compositions'!D$1,"(",'Table of compositions'!D396,")")),IF('Table of compositions'!E396=0,"",CONCATENATE('Table of compositions'!E$1,"(",'Table of compositions'!E396,")")))</f>
        <v>HexNAc(7)Hex(8)Fuc(1)NeuAc/NeuGc(4)</v>
      </c>
      <c r="B399" s="6" t="str">
        <f>'Table of compositions'!G396</f>
        <v>HexNAc(6+)(F)(x)</v>
      </c>
    </row>
    <row r="400" spans="1:2" x14ac:dyDescent="0.25">
      <c r="A400" s="6" t="str">
        <f>CONCATENATE(CONCATENATE('Table of compositions'!$A$1,"(",'Table of compositions'!A397,")",'Table of compositions'!$B$1,"(",'Table of compositions'!B397,")"),IF('Table of compositions'!C397=0,"",CONCATENATE('Table of compositions'!C$1,"(",'Table of compositions'!C397,")")),IF('Table of compositions'!D397=0,"",CONCATENATE('Table of compositions'!D$1,"(",'Table of compositions'!D397,")")),IF('Table of compositions'!E397=0,"",CONCATENATE('Table of compositions'!E$1,"(",'Table of compositions'!E397,")")))</f>
        <v>HexNAc(7)Hex(8)Fuc(1)NeuAc/NeuGc(2)</v>
      </c>
      <c r="B400" s="6" t="str">
        <f>'Table of compositions'!G397</f>
        <v>HexNAc(6+)(F)(x)</v>
      </c>
    </row>
    <row r="401" spans="1:2" x14ac:dyDescent="0.25">
      <c r="A401" s="6" t="str">
        <f>CONCATENATE(CONCATENATE('Table of compositions'!$A$1,"(",'Table of compositions'!A398,")",'Table of compositions'!$B$1,"(",'Table of compositions'!B398,")"),IF('Table of compositions'!C398=0,"",CONCATENATE('Table of compositions'!C$1,"(",'Table of compositions'!C398,")")),IF('Table of compositions'!D398=0,"",CONCATENATE('Table of compositions'!D$1,"(",'Table of compositions'!D398,")")),IF('Table of compositions'!E398=0,"",CONCATENATE('Table of compositions'!E$1,"(",'Table of compositions'!E398,")")))</f>
        <v>HexNAc(7)Hex(8)Fuc(1)NeuAc/NeuGc(3)</v>
      </c>
      <c r="B401" s="6" t="str">
        <f>'Table of compositions'!G398</f>
        <v>HexNAc(6+)(F)(x)</v>
      </c>
    </row>
    <row r="402" spans="1:2" x14ac:dyDescent="0.25">
      <c r="A402" s="6" t="str">
        <f>CONCATENATE(CONCATENATE('Table of compositions'!$A$1,"(",'Table of compositions'!A399,")",'Table of compositions'!$B$1,"(",'Table of compositions'!B399,")"),IF('Table of compositions'!C399=0,"",CONCATENATE('Table of compositions'!C$1,"(",'Table of compositions'!C399,")")),IF('Table of compositions'!D399=0,"",CONCATENATE('Table of compositions'!D$1,"(",'Table of compositions'!D399,")")),IF('Table of compositions'!E399=0,"",CONCATENATE('Table of compositions'!E$1,"(",'Table of compositions'!E399,")")))</f>
        <v>HexNAc(7)Hex(8)NeuAc/NeuGc(1)</v>
      </c>
      <c r="B402" s="6" t="str">
        <f>'Table of compositions'!G399</f>
        <v>HexNAc(6+)(x)</v>
      </c>
    </row>
    <row r="403" spans="1:2" x14ac:dyDescent="0.25">
      <c r="A403" s="6" t="str">
        <f>CONCATENATE(CONCATENATE('Table of compositions'!$A$1,"(",'Table of compositions'!A400,")",'Table of compositions'!$B$1,"(",'Table of compositions'!B400,")"),IF('Table of compositions'!C400=0,"",CONCATENATE('Table of compositions'!C$1,"(",'Table of compositions'!C400,")")),IF('Table of compositions'!D400=0,"",CONCATENATE('Table of compositions'!D$1,"(",'Table of compositions'!D400,")")),IF('Table of compositions'!E400=0,"",CONCATENATE('Table of compositions'!E$1,"(",'Table of compositions'!E400,")")))</f>
        <v>HexNAc(7)Hex(8)NeuAc/NeuGc(1)</v>
      </c>
      <c r="B403" s="6" t="str">
        <f>'Table of compositions'!G400</f>
        <v>HexNAc(6+)(x)</v>
      </c>
    </row>
    <row r="404" spans="1:2" x14ac:dyDescent="0.25">
      <c r="A404" s="6" t="str">
        <f>CONCATENATE(CONCATENATE('Table of compositions'!$A$1,"(",'Table of compositions'!A401,")",'Table of compositions'!$B$1,"(",'Table of compositions'!B401,")"),IF('Table of compositions'!C401=0,"",CONCATENATE('Table of compositions'!C$1,"(",'Table of compositions'!C401,")")),IF('Table of compositions'!D401=0,"",CONCATENATE('Table of compositions'!D$1,"(",'Table of compositions'!D401,")")),IF('Table of compositions'!E401=0,"",CONCATENATE('Table of compositions'!E$1,"(",'Table of compositions'!E401,")")))</f>
        <v>HexNAc(7)Hex(8)SO4/Phospho(1)</v>
      </c>
      <c r="B404" s="6" t="str">
        <f>'Table of compositions'!G401</f>
        <v>HexNAc(6+)(x)</v>
      </c>
    </row>
    <row r="405" spans="1:2" x14ac:dyDescent="0.25">
      <c r="A405" s="6" t="str">
        <f>CONCATENATE(CONCATENATE('Table of compositions'!$A$1,"(",'Table of compositions'!A402,")",'Table of compositions'!$B$1,"(",'Table of compositions'!B402,")"),IF('Table of compositions'!C402=0,"",CONCATENATE('Table of compositions'!C$1,"(",'Table of compositions'!C402,")")),IF('Table of compositions'!D402=0,"",CONCATENATE('Table of compositions'!D$1,"(",'Table of compositions'!D402,")")),IF('Table of compositions'!E402=0,"",CONCATENATE('Table of compositions'!E$1,"(",'Table of compositions'!E402,")")))</f>
        <v>HexNAc(7)Hex(8)SO4/Phospho(2)</v>
      </c>
      <c r="B405" s="6" t="str">
        <f>'Table of compositions'!G402</f>
        <v>HexNAc(6+)(x)</v>
      </c>
    </row>
    <row r="406" spans="1:2" x14ac:dyDescent="0.25">
      <c r="A406" s="6" t="str">
        <f>CONCATENATE(CONCATENATE('Table of compositions'!$A$1,"(",'Table of compositions'!A403,")",'Table of compositions'!$B$1,"(",'Table of compositions'!B403,")"),IF('Table of compositions'!C403=0,"",CONCATENATE('Table of compositions'!C$1,"(",'Table of compositions'!C403,")")),IF('Table of compositions'!D403=0,"",CONCATENATE('Table of compositions'!D$1,"(",'Table of compositions'!D403,")")),IF('Table of compositions'!E403=0,"",CONCATENATE('Table of compositions'!E$1,"(",'Table of compositions'!E403,")")))</f>
        <v>HexNAc(7)Hex(8)SO4/Phospho(3)</v>
      </c>
      <c r="B406" s="6" t="str">
        <f>'Table of compositions'!G403</f>
        <v>HexNAc(6+)(x)</v>
      </c>
    </row>
    <row r="407" spans="1:2" x14ac:dyDescent="0.25">
      <c r="A407" s="6" t="str">
        <f>CONCATENATE(CONCATENATE('Table of compositions'!$A$1,"(",'Table of compositions'!A404,")",'Table of compositions'!$B$1,"(",'Table of compositions'!B404,")"),IF('Table of compositions'!C404=0,"",CONCATENATE('Table of compositions'!C$1,"(",'Table of compositions'!C404,")")),IF('Table of compositions'!D404=0,"",CONCATENATE('Table of compositions'!D$1,"(",'Table of compositions'!D404,")")),IF('Table of compositions'!E404=0,"",CONCATENATE('Table of compositions'!E$1,"(",'Table of compositions'!E404,")")))</f>
        <v>HexNAc(8)Hex(3)</v>
      </c>
      <c r="B407" s="6" t="str">
        <f>'Table of compositions'!G404</f>
        <v>HexNAc(6+)(x)</v>
      </c>
    </row>
    <row r="408" spans="1:2" x14ac:dyDescent="0.25">
      <c r="A408" s="6" t="str">
        <f>CONCATENATE(CONCATENATE('Table of compositions'!$A$1,"(",'Table of compositions'!A405,")",'Table of compositions'!$B$1,"(",'Table of compositions'!B405,")"),IF('Table of compositions'!C405=0,"",CONCATENATE('Table of compositions'!C$1,"(",'Table of compositions'!C405,")")),IF('Table of compositions'!D405=0,"",CONCATENATE('Table of compositions'!D$1,"(",'Table of compositions'!D405,")")),IF('Table of compositions'!E405=0,"",CONCATENATE('Table of compositions'!E$1,"(",'Table of compositions'!E405,")")))</f>
        <v>HexNAc(8)Hex(3)Fuc(1)</v>
      </c>
      <c r="B408" s="6" t="str">
        <f>'Table of compositions'!G405</f>
        <v>HexNAc(6+)(F)(x)</v>
      </c>
    </row>
    <row r="409" spans="1:2" x14ac:dyDescent="0.25">
      <c r="A409" s="6" t="str">
        <f>CONCATENATE(CONCATENATE('Table of compositions'!$A$1,"(",'Table of compositions'!A406,")",'Table of compositions'!$B$1,"(",'Table of compositions'!B406,")"),IF('Table of compositions'!C406=0,"",CONCATENATE('Table of compositions'!C$1,"(",'Table of compositions'!C406,")")),IF('Table of compositions'!D406=0,"",CONCATENATE('Table of compositions'!D$1,"(",'Table of compositions'!D406,")")),IF('Table of compositions'!E406=0,"",CONCATENATE('Table of compositions'!E$1,"(",'Table of compositions'!E406,")")))</f>
        <v>HexNAc(8)Hex(4)</v>
      </c>
      <c r="B409" s="6" t="str">
        <f>'Table of compositions'!G406</f>
        <v>HexNAc(6+)(x)</v>
      </c>
    </row>
    <row r="410" spans="1:2" x14ac:dyDescent="0.25">
      <c r="A410" s="6" t="str">
        <f>CONCATENATE(CONCATENATE('Table of compositions'!$A$1,"(",'Table of compositions'!A407,")",'Table of compositions'!$B$1,"(",'Table of compositions'!B407,")"),IF('Table of compositions'!C407=0,"",CONCATENATE('Table of compositions'!C$1,"(",'Table of compositions'!C407,")")),IF('Table of compositions'!D407=0,"",CONCATENATE('Table of compositions'!D$1,"(",'Table of compositions'!D407,")")),IF('Table of compositions'!E407=0,"",CONCATENATE('Table of compositions'!E$1,"(",'Table of compositions'!E407,")")))</f>
        <v>HexNAc(8)Hex(5)</v>
      </c>
      <c r="B410" s="6" t="str">
        <f>'Table of compositions'!G407</f>
        <v>HexNAc(6+)(x)</v>
      </c>
    </row>
    <row r="411" spans="1:2" x14ac:dyDescent="0.25">
      <c r="A411" s="6" t="str">
        <f>CONCATENATE(CONCATENATE('Table of compositions'!$A$1,"(",'Table of compositions'!A408,")",'Table of compositions'!$B$1,"(",'Table of compositions'!B408,")"),IF('Table of compositions'!C408=0,"",CONCATENATE('Table of compositions'!C$1,"(",'Table of compositions'!C408,")")),IF('Table of compositions'!D408=0,"",CONCATENATE('Table of compositions'!D$1,"(",'Table of compositions'!D408,")")),IF('Table of compositions'!E408=0,"",CONCATENATE('Table of compositions'!E$1,"(",'Table of compositions'!E408,")")))</f>
        <v>HexNAc(8)Hex(5)Fuc(1)</v>
      </c>
      <c r="B411" s="6" t="str">
        <f>'Table of compositions'!G408</f>
        <v>HexNAc(6+)(F)(x)</v>
      </c>
    </row>
    <row r="412" spans="1:2" x14ac:dyDescent="0.25">
      <c r="A412" s="6" t="str">
        <f>CONCATENATE(CONCATENATE('Table of compositions'!$A$1,"(",'Table of compositions'!A409,")",'Table of compositions'!$B$1,"(",'Table of compositions'!B409,")"),IF('Table of compositions'!C409=0,"",CONCATENATE('Table of compositions'!C$1,"(",'Table of compositions'!C409,")")),IF('Table of compositions'!D409=0,"",CONCATENATE('Table of compositions'!D$1,"(",'Table of compositions'!D409,")")),IF('Table of compositions'!E409=0,"",CONCATENATE('Table of compositions'!E$1,"(",'Table of compositions'!E409,")")))</f>
        <v>HexNAc(8)Hex(5)SO4/Phospho(1)</v>
      </c>
      <c r="B412" s="6" t="str">
        <f>'Table of compositions'!G409</f>
        <v>HexNAc(6+)(x)</v>
      </c>
    </row>
    <row r="413" spans="1:2" x14ac:dyDescent="0.25">
      <c r="A413" s="6" t="str">
        <f>CONCATENATE(CONCATENATE('Table of compositions'!$A$1,"(",'Table of compositions'!A410,")",'Table of compositions'!$B$1,"(",'Table of compositions'!B410,")"),IF('Table of compositions'!C410=0,"",CONCATENATE('Table of compositions'!C$1,"(",'Table of compositions'!C410,")")),IF('Table of compositions'!D410=0,"",CONCATENATE('Table of compositions'!D$1,"(",'Table of compositions'!D410,")")),IF('Table of compositions'!E410=0,"",CONCATENATE('Table of compositions'!E$1,"(",'Table of compositions'!E410,")")))</f>
        <v>HexNAc(8)Hex(5)SO4/Phospho(2)</v>
      </c>
      <c r="B413" s="6" t="str">
        <f>'Table of compositions'!G410</f>
        <v>HexNAc(6+)(x)</v>
      </c>
    </row>
    <row r="414" spans="1:2" x14ac:dyDescent="0.25">
      <c r="A414" s="6" t="str">
        <f>CONCATENATE(CONCATENATE('Table of compositions'!$A$1,"(",'Table of compositions'!A411,")",'Table of compositions'!$B$1,"(",'Table of compositions'!B411,")"),IF('Table of compositions'!C411=0,"",CONCATENATE('Table of compositions'!C$1,"(",'Table of compositions'!C411,")")),IF('Table of compositions'!D411=0,"",CONCATENATE('Table of compositions'!D$1,"(",'Table of compositions'!D411,")")),IF('Table of compositions'!E411=0,"",CONCATENATE('Table of compositions'!E$1,"(",'Table of compositions'!E411,")")))</f>
        <v>HexNAc(8)Hex(5)SO4/Phospho(3)</v>
      </c>
      <c r="B414" s="6" t="str">
        <f>'Table of compositions'!G411</f>
        <v>HexNAc(6+)(x)</v>
      </c>
    </row>
    <row r="415" spans="1:2" x14ac:dyDescent="0.25">
      <c r="A415" s="6" t="str">
        <f>CONCATENATE(CONCATENATE('Table of compositions'!$A$1,"(",'Table of compositions'!A412,")",'Table of compositions'!$B$1,"(",'Table of compositions'!B412,")"),IF('Table of compositions'!C412=0,"",CONCATENATE('Table of compositions'!C$1,"(",'Table of compositions'!C412,")")),IF('Table of compositions'!D412=0,"",CONCATENATE('Table of compositions'!D$1,"(",'Table of compositions'!D412,")")),IF('Table of compositions'!E412=0,"",CONCATENATE('Table of compositions'!E$1,"(",'Table of compositions'!E412,")")))</f>
        <v>HexNAc(8)Hex(6)</v>
      </c>
      <c r="B415" s="6" t="str">
        <f>'Table of compositions'!G412</f>
        <v>HexNAc(6+)(x)</v>
      </c>
    </row>
    <row r="416" spans="1:2" x14ac:dyDescent="0.25">
      <c r="A416" s="6" t="str">
        <f>CONCATENATE(CONCATENATE('Table of compositions'!$A$1,"(",'Table of compositions'!A413,")",'Table of compositions'!$B$1,"(",'Table of compositions'!B413,")"),IF('Table of compositions'!C413=0,"",CONCATENATE('Table of compositions'!C$1,"(",'Table of compositions'!C413,")")),IF('Table of compositions'!D413=0,"",CONCATENATE('Table of compositions'!D$1,"(",'Table of compositions'!D413,")")),IF('Table of compositions'!E413=0,"",CONCATENATE('Table of compositions'!E$1,"(",'Table of compositions'!E413,")")))</f>
        <v>HexNAc(8)Hex(7)</v>
      </c>
      <c r="B416" s="6" t="str">
        <f>'Table of compositions'!G413</f>
        <v>HexNAc(6+)(x)</v>
      </c>
    </row>
    <row r="417" spans="1:2" x14ac:dyDescent="0.25">
      <c r="A417" s="6" t="str">
        <f>CONCATENATE(CONCATENATE('Table of compositions'!$A$1,"(",'Table of compositions'!A414,")",'Table of compositions'!$B$1,"(",'Table of compositions'!B414,")"),IF('Table of compositions'!C414=0,"",CONCATENATE('Table of compositions'!C$1,"(",'Table of compositions'!C414,")")),IF('Table of compositions'!D414=0,"",CONCATENATE('Table of compositions'!D$1,"(",'Table of compositions'!D414,")")),IF('Table of compositions'!E414=0,"",CONCATENATE('Table of compositions'!E$1,"(",'Table of compositions'!E414,")")))</f>
        <v>HexNAc(8)Hex(8)</v>
      </c>
      <c r="B417" s="6" t="str">
        <f>'Table of compositions'!G414</f>
        <v>HexNAc(6+)(x)</v>
      </c>
    </row>
    <row r="418" spans="1:2" x14ac:dyDescent="0.25">
      <c r="A418" s="6" t="str">
        <f>CONCATENATE(CONCATENATE('Table of compositions'!$A$1,"(",'Table of compositions'!A415,")",'Table of compositions'!$B$1,"(",'Table of compositions'!B415,")"),IF('Table of compositions'!C415=0,"",CONCATENATE('Table of compositions'!C$1,"(",'Table of compositions'!C415,")")),IF('Table of compositions'!D415=0,"",CONCATENATE('Table of compositions'!D$1,"(",'Table of compositions'!D415,")")),IF('Table of compositions'!E415=0,"",CONCATENATE('Table of compositions'!E$1,"(",'Table of compositions'!E415,")")))</f>
        <v>HexNAc(8)Hex(8)Fuc(1)</v>
      </c>
      <c r="B418" s="6" t="str">
        <f>'Table of compositions'!G415</f>
        <v>HexNAc(6+)(F)(x)</v>
      </c>
    </row>
    <row r="419" spans="1:2" x14ac:dyDescent="0.25">
      <c r="A419" s="6" t="str">
        <f>CONCATENATE(CONCATENATE('Table of compositions'!$A$1,"(",'Table of compositions'!A416,")",'Table of compositions'!$B$1,"(",'Table of compositions'!B416,")"),IF('Table of compositions'!C416=0,"",CONCATENATE('Table of compositions'!C$1,"(",'Table of compositions'!C416,")")),IF('Table of compositions'!D416=0,"",CONCATENATE('Table of compositions'!D$1,"(",'Table of compositions'!D416,")")),IF('Table of compositions'!E416=0,"",CONCATENATE('Table of compositions'!E$1,"(",'Table of compositions'!E416,")")))</f>
        <v>HexNAc(8)Hex(9)</v>
      </c>
      <c r="B419" s="6" t="str">
        <f>'Table of compositions'!G416</f>
        <v>HexNAc(6+)(x)</v>
      </c>
    </row>
    <row r="420" spans="1:2" x14ac:dyDescent="0.25">
      <c r="A420" s="6" t="str">
        <f>CONCATENATE(CONCATENATE('Table of compositions'!$A$1,"(",'Table of compositions'!A417,")",'Table of compositions'!$B$1,"(",'Table of compositions'!B417,")"),IF('Table of compositions'!C417=0,"",CONCATENATE('Table of compositions'!C$1,"(",'Table of compositions'!C417,")")),IF('Table of compositions'!D417=0,"",CONCATENATE('Table of compositions'!D$1,"(",'Table of compositions'!D417,")")),IF('Table of compositions'!E417=0,"",CONCATENATE('Table of compositions'!E$1,"(",'Table of compositions'!E417,")")))</f>
        <v>HexNAc(8)Hex(9)Fuc(1)</v>
      </c>
      <c r="B420" s="6" t="str">
        <f>'Table of compositions'!G417</f>
        <v>HexNAc(6+)(F)(x)</v>
      </c>
    </row>
    <row r="421" spans="1:2" x14ac:dyDescent="0.25">
      <c r="A421" s="6" t="str">
        <f>CONCATENATE(CONCATENATE('Table of compositions'!$A$1,"(",'Table of compositions'!A418,")",'Table of compositions'!$B$1,"(",'Table of compositions'!B418,")"),IF('Table of compositions'!C418=0,"",CONCATENATE('Table of compositions'!C$1,"(",'Table of compositions'!C418,")")),IF('Table of compositions'!D418=0,"",CONCATENATE('Table of compositions'!D$1,"(",'Table of compositions'!D418,")")),IF('Table of compositions'!E418=0,"",CONCATENATE('Table of compositions'!E$1,"(",'Table of compositions'!E418,")")))</f>
        <v>HexNAc(8)Hex(9)Fuc(1)NeuAc/NeuGc(3)</v>
      </c>
      <c r="B421" s="6" t="str">
        <f>'Table of compositions'!G418</f>
        <v>HexNAc(6+)(F)(x)</v>
      </c>
    </row>
    <row r="422" spans="1:2" x14ac:dyDescent="0.25">
      <c r="A422" s="6" t="str">
        <f>CONCATENATE(CONCATENATE('Table of compositions'!$A$1,"(",'Table of compositions'!A419,")",'Table of compositions'!$B$1,"(",'Table of compositions'!B419,")"),IF('Table of compositions'!C419=0,"",CONCATENATE('Table of compositions'!C$1,"(",'Table of compositions'!C419,")")),IF('Table of compositions'!D419=0,"",CONCATENATE('Table of compositions'!D$1,"(",'Table of compositions'!D419,")")),IF('Table of compositions'!E419=0,"",CONCATENATE('Table of compositions'!E$1,"(",'Table of compositions'!E419,")")))</f>
        <v>HexNAc(8)Hex(9)Fuc(1)NeuAc/NeuGc(3)</v>
      </c>
      <c r="B422" s="6" t="str">
        <f>'Table of compositions'!G419</f>
        <v>HexNAc(6+)(F)(x)</v>
      </c>
    </row>
    <row r="423" spans="1:2" x14ac:dyDescent="0.25">
      <c r="A423" s="6" t="str">
        <f>CONCATENATE(CONCATENATE('Table of compositions'!$A$1,"(",'Table of compositions'!A420,")",'Table of compositions'!$B$1,"(",'Table of compositions'!B420,")"),IF('Table of compositions'!C420=0,"",CONCATENATE('Table of compositions'!C$1,"(",'Table of compositions'!C420,")")),IF('Table of compositions'!D420=0,"",CONCATENATE('Table of compositions'!D$1,"(",'Table of compositions'!D420,")")),IF('Table of compositions'!E420=0,"",CONCATENATE('Table of compositions'!E$1,"(",'Table of compositions'!E420,")")))</f>
        <v>HexNAc(8)Hex(9)Fuc(1)NeuAc/NeuGc(3)</v>
      </c>
      <c r="B423" s="6" t="str">
        <f>'Table of compositions'!G420</f>
        <v>HexNAc(6+)(F)(x)</v>
      </c>
    </row>
    <row r="424" spans="1:2" x14ac:dyDescent="0.25">
      <c r="A424" s="6" t="str">
        <f>CONCATENATE(CONCATENATE('Table of compositions'!$A$1,"(",'Table of compositions'!A421,")",'Table of compositions'!$B$1,"(",'Table of compositions'!B421,")"),IF('Table of compositions'!C421=0,"",CONCATENATE('Table of compositions'!C$1,"(",'Table of compositions'!C421,")")),IF('Table of compositions'!D421=0,"",CONCATENATE('Table of compositions'!D$1,"(",'Table of compositions'!D421,")")),IF('Table of compositions'!E421=0,"",CONCATENATE('Table of compositions'!E$1,"(",'Table of compositions'!E421,")")))</f>
        <v>HexNAc(8)Hex(9)Fuc(1)NeuAc/NeuGc(4)</v>
      </c>
      <c r="B424" s="6" t="str">
        <f>'Table of compositions'!G421</f>
        <v>HexNAc(6+)(F)(x)</v>
      </c>
    </row>
    <row r="425" spans="1:2" x14ac:dyDescent="0.25">
      <c r="A425" s="6" t="str">
        <f>CONCATENATE(CONCATENATE('Table of compositions'!$A$1,"(",'Table of compositions'!A422,")",'Table of compositions'!$B$1,"(",'Table of compositions'!B422,")"),IF('Table of compositions'!C422=0,"",CONCATENATE('Table of compositions'!C$1,"(",'Table of compositions'!C422,")")),IF('Table of compositions'!D422=0,"",CONCATENATE('Table of compositions'!D$1,"(",'Table of compositions'!D422,")")),IF('Table of compositions'!E422=0,"",CONCATENATE('Table of compositions'!E$1,"(",'Table of compositions'!E422,")")))</f>
        <v>HexNAc(9)Hex(10)</v>
      </c>
      <c r="B425" s="6" t="str">
        <f>'Table of compositions'!G422</f>
        <v>HexNAc(6+)(x)</v>
      </c>
    </row>
    <row r="426" spans="1:2" x14ac:dyDescent="0.25">
      <c r="A426" s="6" t="str">
        <f>CONCATENATE(CONCATENATE('Table of compositions'!$A$1,"(",'Table of compositions'!A423,")",'Table of compositions'!$B$1,"(",'Table of compositions'!B423,")"),IF('Table of compositions'!C423=0,"",CONCATENATE('Table of compositions'!C$1,"(",'Table of compositions'!C423,")")),IF('Table of compositions'!D423=0,"",CONCATENATE('Table of compositions'!D$1,"(",'Table of compositions'!D423,")")),IF('Table of compositions'!E423=0,"",CONCATENATE('Table of compositions'!E$1,"(",'Table of compositions'!E423,")")))</f>
        <v>HexNAc(9)Hex(10)Fuc(1)</v>
      </c>
      <c r="B426" s="6" t="str">
        <f>'Table of compositions'!G423</f>
        <v>HexNAc(6+)(F)(x)</v>
      </c>
    </row>
    <row r="427" spans="1:2" x14ac:dyDescent="0.25">
      <c r="A427" s="6" t="str">
        <f>CONCATENATE(CONCATENATE('Table of compositions'!$A$1,"(",'Table of compositions'!A424,")",'Table of compositions'!$B$1,"(",'Table of compositions'!B424,")"),IF('Table of compositions'!C424=0,"",CONCATENATE('Table of compositions'!C$1,"(",'Table of compositions'!C424,")")),IF('Table of compositions'!D424=0,"",CONCATENATE('Table of compositions'!D$1,"(",'Table of compositions'!D424,")")),IF('Table of compositions'!E424=0,"",CONCATENATE('Table of compositions'!E$1,"(",'Table of compositions'!E424,")")))</f>
        <v>HexNAc(9)Hex(10)Fuc(1)NeuAc/NeuGc(4)</v>
      </c>
      <c r="B427" s="6" t="str">
        <f>'Table of compositions'!G424</f>
        <v>HexNAc(6+)(F)(x)</v>
      </c>
    </row>
    <row r="428" spans="1:2" x14ac:dyDescent="0.25">
      <c r="A428" s="6" t="str">
        <f>CONCATENATE(CONCATENATE('Table of compositions'!$A$1,"(",'Table of compositions'!A425,")",'Table of compositions'!$B$1,"(",'Table of compositions'!B425,")"),IF('Table of compositions'!C425=0,"",CONCATENATE('Table of compositions'!C$1,"(",'Table of compositions'!C425,")")),IF('Table of compositions'!D425=0,"",CONCATENATE('Table of compositions'!D$1,"(",'Table of compositions'!D425,")")),IF('Table of compositions'!E425=0,"",CONCATENATE('Table of compositions'!E$1,"(",'Table of compositions'!E425,")")))</f>
        <v>HexNAc(9)Hex(3)</v>
      </c>
      <c r="B428" s="6" t="str">
        <f>'Table of compositions'!G425</f>
        <v>HexNAc(6+)(x)</v>
      </c>
    </row>
    <row r="429" spans="1:2" x14ac:dyDescent="0.25">
      <c r="A429" s="6" t="str">
        <f>CONCATENATE(CONCATENATE('Table of compositions'!$A$1,"(",'Table of compositions'!A426,")",'Table of compositions'!$B$1,"(",'Table of compositions'!B426,")"),IF('Table of compositions'!C426=0,"",CONCATENATE('Table of compositions'!C$1,"(",'Table of compositions'!C426,")")),IF('Table of compositions'!D426=0,"",CONCATENATE('Table of compositions'!D$1,"(",'Table of compositions'!D426,")")),IF('Table of compositions'!E426=0,"",CONCATENATE('Table of compositions'!E$1,"(",'Table of compositions'!E426,")")))</f>
        <v>HexNAc(9)Hex(3)Fuc(1)</v>
      </c>
      <c r="B429" s="6" t="str">
        <f>'Table of compositions'!G426</f>
        <v>HexNAc(6+)(F)(x)</v>
      </c>
    </row>
    <row r="430" spans="1:2" x14ac:dyDescent="0.25">
      <c r="A430" s="6" t="str">
        <f>CONCATENATE(CONCATENATE('Table of compositions'!$A$1,"(",'Table of compositions'!A427,")",'Table of compositions'!$B$1,"(",'Table of compositions'!B427,")"),IF('Table of compositions'!C427=0,"",CONCATENATE('Table of compositions'!C$1,"(",'Table of compositions'!C427,")")),IF('Table of compositions'!D427=0,"",CONCATENATE('Table of compositions'!D$1,"(",'Table of compositions'!D427,")")),IF('Table of compositions'!E427=0,"",CONCATENATE('Table of compositions'!E$1,"(",'Table of compositions'!E427,")")))</f>
        <v>HexNAc(9)Hex(4)</v>
      </c>
      <c r="B430" s="6" t="str">
        <f>'Table of compositions'!G427</f>
        <v>HexNAc(6+)(x)</v>
      </c>
    </row>
    <row r="431" spans="1:2" x14ac:dyDescent="0.25">
      <c r="A431" s="6" t="str">
        <f>CONCATENATE(CONCATENATE('Table of compositions'!$A$1,"(",'Table of compositions'!A428,")",'Table of compositions'!$B$1,"(",'Table of compositions'!B428,")"),IF('Table of compositions'!C428=0,"",CONCATENATE('Table of compositions'!C$1,"(",'Table of compositions'!C428,")")),IF('Table of compositions'!D428=0,"",CONCATENATE('Table of compositions'!D$1,"(",'Table of compositions'!D428,")")),IF('Table of compositions'!E428=0,"",CONCATENATE('Table of compositions'!E$1,"(",'Table of compositions'!E428,")")))</f>
        <v>HexNAc(9)Hex(4)Fuc(1)</v>
      </c>
      <c r="B431" s="6" t="str">
        <f>'Table of compositions'!G428</f>
        <v>HexNAc(6+)(F)(x)</v>
      </c>
    </row>
    <row r="432" spans="1:2" x14ac:dyDescent="0.25">
      <c r="A432" s="6" t="str">
        <f>CONCATENATE(CONCATENATE('Table of compositions'!$A$1,"(",'Table of compositions'!A429,")",'Table of compositions'!$B$1,"(",'Table of compositions'!B429,")"),IF('Table of compositions'!C429=0,"",CONCATENATE('Table of compositions'!C$1,"(",'Table of compositions'!C429,")")),IF('Table of compositions'!D429=0,"",CONCATENATE('Table of compositions'!D$1,"(",'Table of compositions'!D429,")")),IF('Table of compositions'!E429=0,"",CONCATENATE('Table of compositions'!E$1,"(",'Table of compositions'!E429,")")))</f>
        <v>HexNAc(9)Hex(6)</v>
      </c>
      <c r="B432" s="6" t="str">
        <f>'Table of compositions'!G429</f>
        <v>HexNAc(6+)(x)</v>
      </c>
    </row>
    <row r="433" spans="1:2" x14ac:dyDescent="0.25">
      <c r="A433" s="6" t="str">
        <f>CONCATENATE(CONCATENATE('Table of compositions'!$A$1,"(",'Table of compositions'!A430,")",'Table of compositions'!$B$1,"(",'Table of compositions'!B430,")"),IF('Table of compositions'!C430=0,"",CONCATENATE('Table of compositions'!C$1,"(",'Table of compositions'!C430,")")),IF('Table of compositions'!D430=0,"",CONCATENATE('Table of compositions'!D$1,"(",'Table of compositions'!D430,")")),IF('Table of compositions'!E430=0,"",CONCATENATE('Table of compositions'!E$1,"(",'Table of compositions'!E430,")")))</f>
        <v>HexNAc(9)Hex(6)Fuc(1)</v>
      </c>
      <c r="B433" s="6" t="str">
        <f>'Table of compositions'!G430</f>
        <v>HexNAc(6+)(F)(x)</v>
      </c>
    </row>
    <row r="434" spans="1:2" x14ac:dyDescent="0.25">
      <c r="A434" s="6" t="str">
        <f>CONCATENATE(CONCATENATE('Table of compositions'!$A$1,"(",'Table of compositions'!A431,")",'Table of compositions'!$B$1,"(",'Table of compositions'!B431,")"),IF('Table of compositions'!C431=0,"",CONCATENATE('Table of compositions'!C$1,"(",'Table of compositions'!C431,")")),IF('Table of compositions'!D431=0,"",CONCATENATE('Table of compositions'!D$1,"(",'Table of compositions'!D431,")")),IF('Table of compositions'!E431=0,"",CONCATENATE('Table of compositions'!E$1,"(",'Table of compositions'!E431,")")))</f>
        <v>HexNAc(9)Hex(9)Fuc(1)</v>
      </c>
      <c r="B434" s="6" t="str">
        <f>'Table of compositions'!G431</f>
        <v>HexNAc(6+)(F)(x)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</vt:i4>
      </vt:variant>
    </vt:vector>
  </HeadingPairs>
  <TitlesOfParts>
    <vt:vector size="34" baseType="lpstr">
      <vt:lpstr>csv paste</vt:lpstr>
      <vt:lpstr>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Table of compositions</vt:lpstr>
      <vt:lpstr>Formula for adding in new comp</vt:lpstr>
      <vt:lpstr>Library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Admin23</dc:creator>
  <cp:lastModifiedBy>Al</cp:lastModifiedBy>
  <cp:lastPrinted>2020-05-12T14:12:14Z</cp:lastPrinted>
  <dcterms:created xsi:type="dcterms:W3CDTF">2019-05-05T15:02:25Z</dcterms:created>
  <dcterms:modified xsi:type="dcterms:W3CDTF">2021-03-16T11:11:02Z</dcterms:modified>
</cp:coreProperties>
</file>